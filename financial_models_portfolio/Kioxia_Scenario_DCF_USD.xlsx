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mmy\Downloads\Finance - Equity Research\kioxia_build\"/>
    </mc:Choice>
  </mc:AlternateContent>
  <xr:revisionPtr revIDLastSave="0" documentId="13_ncr:1_{B6200FD1-43D7-474B-9914-53D415F5E75E}" xr6:coauthVersionLast="47" xr6:coauthVersionMax="47" xr10:uidLastSave="{00000000-0000-0000-0000-000000000000}"/>
  <bookViews>
    <workbookView xWindow="0" yWindow="1170" windowWidth="28800" windowHeight="14040" xr2:uid="{00000000-000D-0000-FFFF-FFFF00000000}"/>
  </bookViews>
  <sheets>
    <sheet name="Exec Summary" sheetId="1" r:id="rId1"/>
    <sheet name="Sources" sheetId="2" r:id="rId2"/>
    <sheet name="WACC" sheetId="3" r:id="rId3"/>
    <sheet name="Scenario Library" sheetId="4" r:id="rId4"/>
    <sheet name="Assumptions" sheetId="5" r:id="rId5"/>
    <sheet name="Model" sheetId="6" r:id="rId6"/>
    <sheet name="Summary" sheetId="7" r:id="rId7"/>
    <sheet name="3 Ps Filte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6" l="1"/>
  <c r="G16" i="6"/>
  <c r="F16" i="6"/>
  <c r="E16" i="6"/>
  <c r="D16" i="6"/>
  <c r="C12" i="6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C22" i="3"/>
  <c r="C17" i="3"/>
  <c r="C12" i="3"/>
  <c r="H57" i="6" l="1"/>
  <c r="H52" i="6"/>
  <c r="H43" i="6"/>
  <c r="H45" i="6" s="1"/>
  <c r="G43" i="6"/>
  <c r="G45" i="6" s="1"/>
  <c r="F43" i="6"/>
  <c r="F45" i="6" s="1"/>
  <c r="E43" i="6"/>
  <c r="E45" i="6" s="1"/>
  <c r="D43" i="6"/>
  <c r="D45" i="6" s="1"/>
  <c r="H37" i="6"/>
  <c r="G37" i="6"/>
  <c r="F37" i="6"/>
  <c r="E37" i="6"/>
  <c r="D37" i="6"/>
  <c r="H34" i="6"/>
  <c r="D34" i="6"/>
  <c r="H32" i="6"/>
  <c r="G27" i="6"/>
  <c r="E27" i="6"/>
  <c r="D21" i="6"/>
  <c r="H13" i="6"/>
  <c r="D32" i="6"/>
  <c r="H27" i="6"/>
  <c r="D27" i="6"/>
  <c r="F21" i="6"/>
  <c r="F13" i="6"/>
  <c r="D13" i="6"/>
  <c r="H11" i="6"/>
  <c r="F27" i="6"/>
  <c r="C15" i="6"/>
  <c r="C17" i="6" s="1"/>
  <c r="F11" i="6"/>
  <c r="D11" i="6"/>
  <c r="E11" i="6" s="1"/>
  <c r="H10" i="6"/>
  <c r="F10" i="6"/>
  <c r="D10" i="6"/>
  <c r="E10" i="6" s="1"/>
  <c r="H8" i="6"/>
  <c r="F8" i="6"/>
  <c r="D8" i="6"/>
  <c r="C23" i="3"/>
  <c r="H23" i="6"/>
  <c r="D23" i="6"/>
  <c r="H21" i="6"/>
  <c r="C24" i="3"/>
  <c r="G11" i="6" l="1"/>
  <c r="G8" i="6"/>
  <c r="G10" i="6"/>
  <c r="E21" i="6"/>
  <c r="G13" i="6"/>
  <c r="E34" i="6"/>
  <c r="F34" i="6"/>
  <c r="G34" i="6"/>
  <c r="E32" i="6"/>
  <c r="F32" i="6"/>
  <c r="G32" i="6"/>
  <c r="D14" i="6"/>
  <c r="E13" i="6"/>
  <c r="C33" i="6"/>
  <c r="C35" i="6"/>
  <c r="C22" i="6"/>
  <c r="C24" i="6"/>
  <c r="E8" i="6"/>
  <c r="D9" i="6"/>
  <c r="E23" i="6"/>
  <c r="F23" i="6"/>
  <c r="G23" i="6"/>
  <c r="C27" i="3"/>
  <c r="C29" i="3" s="1"/>
  <c r="G21" i="6"/>
  <c r="E14" i="6" l="1"/>
  <c r="F14" i="6" s="1"/>
  <c r="G14" i="6" s="1"/>
  <c r="H14" i="6" s="1"/>
  <c r="E9" i="6"/>
  <c r="D12" i="6"/>
  <c r="D15" i="6" s="1"/>
  <c r="D17" i="6" s="1"/>
  <c r="C25" i="6"/>
  <c r="F9" i="6" l="1"/>
  <c r="E12" i="6"/>
  <c r="E15" i="6" s="1"/>
  <c r="E17" i="6" s="1"/>
  <c r="D18" i="6"/>
  <c r="D33" i="6"/>
  <c r="D35" i="6"/>
  <c r="D36" i="6"/>
  <c r="D38" i="6" s="1"/>
  <c r="D22" i="6"/>
  <c r="D24" i="6"/>
  <c r="C28" i="6"/>
  <c r="C26" i="6"/>
  <c r="G9" i="6" l="1"/>
  <c r="F12" i="6"/>
  <c r="F15" i="6" s="1"/>
  <c r="F17" i="6" s="1"/>
  <c r="E33" i="6"/>
  <c r="E35" i="6"/>
  <c r="E36" i="6"/>
  <c r="E38" i="6" s="1"/>
  <c r="E22" i="6"/>
  <c r="E24" i="6"/>
  <c r="E18" i="6"/>
  <c r="D25" i="6"/>
  <c r="C29" i="6"/>
  <c r="H9" i="6" l="1"/>
  <c r="H12" i="6" s="1"/>
  <c r="H15" i="6" s="1"/>
  <c r="H17" i="6" s="1"/>
  <c r="G12" i="6"/>
  <c r="G15" i="6" s="1"/>
  <c r="G17" i="6" s="1"/>
  <c r="F18" i="6"/>
  <c r="F24" i="6"/>
  <c r="F33" i="6"/>
  <c r="F35" i="6"/>
  <c r="F36" i="6"/>
  <c r="F38" i="6" s="1"/>
  <c r="F22" i="6"/>
  <c r="D28" i="6"/>
  <c r="D26" i="6"/>
  <c r="E25" i="6"/>
  <c r="F25" i="6" l="1"/>
  <c r="D29" i="6"/>
  <c r="D39" i="6" s="1"/>
  <c r="H24" i="6"/>
  <c r="H33" i="6"/>
  <c r="H35" i="6"/>
  <c r="H36" i="6"/>
  <c r="H38" i="6" s="1"/>
  <c r="H22" i="6"/>
  <c r="H18" i="6"/>
  <c r="G35" i="6"/>
  <c r="G36" i="6"/>
  <c r="G38" i="6" s="1"/>
  <c r="G22" i="6"/>
  <c r="G18" i="6"/>
  <c r="G24" i="6"/>
  <c r="G33" i="6"/>
  <c r="E26" i="6"/>
  <c r="E28" i="6"/>
  <c r="H25" i="6" l="1"/>
  <c r="F26" i="6"/>
  <c r="F28" i="6"/>
  <c r="D40" i="6"/>
  <c r="D46" i="6"/>
  <c r="E29" i="6"/>
  <c r="E39" i="6" s="1"/>
  <c r="G25" i="6"/>
  <c r="H26" i="6" l="1"/>
  <c r="H28" i="6"/>
  <c r="H51" i="6"/>
  <c r="H53" i="6" s="1"/>
  <c r="H54" i="6" s="1"/>
  <c r="F29" i="6"/>
  <c r="F39" i="6" s="1"/>
  <c r="E46" i="6"/>
  <c r="E40" i="6"/>
  <c r="G28" i="6"/>
  <c r="G26" i="6"/>
  <c r="H29" i="6" l="1"/>
  <c r="H39" i="6" s="1"/>
  <c r="F46" i="6"/>
  <c r="F40" i="6"/>
  <c r="G29" i="6"/>
  <c r="G39" i="6" s="1"/>
  <c r="H58" i="6" l="1"/>
  <c r="H59" i="6" s="1"/>
  <c r="H60" i="6" s="1"/>
  <c r="H40" i="6"/>
  <c r="H46" i="6"/>
  <c r="G46" i="6"/>
  <c r="G40" i="6"/>
  <c r="D47" i="6" l="1"/>
  <c r="D64" i="6" l="1"/>
  <c r="D63" i="6"/>
  <c r="D65" i="6" l="1"/>
  <c r="D67" i="6" s="1"/>
  <c r="D69" i="6" s="1"/>
  <c r="D71" i="6" s="1"/>
</calcChain>
</file>

<file path=xl/sharedStrings.xml><?xml version="1.0" encoding="utf-8"?>
<sst xmlns="http://schemas.openxmlformats.org/spreadsheetml/2006/main" count="12472" uniqueCount="2374">
  <si>
    <t>Kioxia Holdings Corporation (TSE: 285A / OTC ADR: KXIAY)</t>
  </si>
  <si>
    <t>Market-Implied vs. Most-Likely Scenario DCF — All Figures in USD</t>
  </si>
  <si>
    <t>Valuation Date</t>
  </si>
  <si>
    <t>2026-06-16</t>
  </si>
  <si>
    <t>Fiscal Year End</t>
  </si>
  <si>
    <t>March 31</t>
  </si>
  <si>
    <t>Base Year (Historical, Hardcoded)</t>
  </si>
  <si>
    <t>FY26A (year ended Mar-2026), Actual — user-provided 285A-financials.xlsx</t>
  </si>
  <si>
    <t>Forecast Period</t>
  </si>
  <si>
    <t>FY27E to FY31E (5 fiscal years)</t>
  </si>
  <si>
    <t>Source Financials Currency</t>
  </si>
  <si>
    <t>USD (already converted; no FX layer in the operating model)</t>
  </si>
  <si>
    <t>Spot USD/JPY (for share-price translation only)</t>
  </si>
  <si>
    <t>Current Share Price, Ordinary (TSE 285A, JPY)</t>
  </si>
  <si>
    <t>Current Share Price, Ordinary (USD)</t>
  </si>
  <si>
    <t>Diluted Shares Outstanding (mm)</t>
  </si>
  <si>
    <t>Current Market Cap (USD mm)</t>
  </si>
  <si>
    <t>Cash (USD mm, FY26A)</t>
  </si>
  <si>
    <t>Total Debt (USD mm, FY26A)</t>
  </si>
  <si>
    <t>Net Debt (USD mm, FY26A)</t>
  </si>
  <si>
    <t>WACC, USD-equivalent, fundamental build (no beta)</t>
  </si>
  <si>
    <t>FY26A Historical Snapshot (from user-provided file)</t>
  </si>
  <si>
    <t>Revenue ($mm)</t>
  </si>
  <si>
    <t>Gross Margin</t>
  </si>
  <si>
    <t>EBIT Margin</t>
  </si>
  <si>
    <t>EBITDA ($mm)</t>
  </si>
  <si>
    <t>D&amp;A % of Revenue</t>
  </si>
  <si>
    <t>Capex % of Revenue</t>
  </si>
  <si>
    <t>Effective Tax Rate</t>
  </si>
  <si>
    <t>Scenario Engine Results (USD)</t>
  </si>
  <si>
    <t>Total Scenarios Run</t>
  </si>
  <si>
    <t>Minimum Implied Price (USD)</t>
  </si>
  <si>
    <t>Median Implied Price (USD)</t>
  </si>
  <si>
    <t>Maximum Implied Price (USD)</t>
  </si>
  <si>
    <t>Scenarios within ±5% of Current Price</t>
  </si>
  <si>
    <t>Scenarios Rejected — Impossible</t>
  </si>
  <si>
    <t>Scenarios Rejected — Implausible</t>
  </si>
  <si>
    <t>Scenarios Classified Probable</t>
  </si>
  <si>
    <t>Selected Market-Priced Scenario (what the price implies)</t>
  </si>
  <si>
    <t>Scenario ID / Name</t>
  </si>
  <si>
    <t>#1240 (Random Scenario 1224)</t>
  </si>
  <si>
    <t>Implied Share Price (USD)</t>
  </si>
  <si>
    <t>Current Share Price (USD)</t>
  </si>
  <si>
    <t>% Difference vs. Current Price</t>
  </si>
  <si>
    <t>Market Pricing Fit Score (0-100)</t>
  </si>
  <si>
    <t>Probability Score (0-100)</t>
  </si>
  <si>
    <t>3 Ps Classification</t>
  </si>
  <si>
    <t>Plausible-Uncertain</t>
  </si>
  <si>
    <t>Selected Most-Likely Scenario (best-evidenced real-world outcome)</t>
  </si>
  <si>
    <t>#1 (Base Case)</t>
  </si>
  <si>
    <t>Probable</t>
  </si>
  <si>
    <t>Gap Analysis</t>
  </si>
  <si>
    <t>Market-Priced Implied Price (USD)</t>
  </si>
  <si>
    <t>Most-Likely Implied Price (USD)</t>
  </si>
  <si>
    <t>Gap (USD per share)</t>
  </si>
  <si>
    <t>Gap (%, market priced vs. most likely)</t>
  </si>
  <si>
    <t>Conclusion</t>
  </si>
  <si>
    <t>Rebuilt on the user-provided 285A-financials.xlsx (reconciled multi-year statements, already USD-denominated). FY26A actual gross margin was 43.3% and EBIT margin 37.1%; the most recent quarter (Q4 FY26A) printed 64.1% gross margin on +189% YoY revenue growth, confirming the AI-driven NAND supercycle is even larger than typical cycles. The current price still requires assumptions at the aggressive edge of that evidence (scenario #1240, Plausible-Uncertain, probability score 50.7/100) and does not clear the Probable bar. The best-evidenced Probable scenario implies a price ~78% below the current quote.</t>
  </si>
  <si>
    <t>Sources</t>
  </si>
  <si>
    <t>#</t>
  </si>
  <si>
    <t>Name</t>
  </si>
  <si>
    <t>Type</t>
  </si>
  <si>
    <t>Date</t>
  </si>
  <si>
    <t>Data Used / Assumption Supported</t>
  </si>
  <si>
    <t>Link / Citation</t>
  </si>
  <si>
    <t>Quality Tier</t>
  </si>
  <si>
    <t>Reliability Note</t>
  </si>
  <si>
    <t>285A-financials.xlsx (user-provided)</t>
  </si>
  <si>
    <t>Reconciled financial statement export</t>
  </si>
  <si>
    <t>2026-06-16 (FY26A as of 2026-03-31)</t>
  </si>
  <si>
    <t>FY26A Income Statement, Balance Sheet, Cash Flow, Ratios (Annual/Quarterly/TTM). All historical hardcodes on the Model tab (revenue, COGS, opex, EBIT, tax rate, D&amp;A, capex, cash, debt, shares) sourced from this file.</t>
  </si>
  <si>
    <t>User-provided file, Downloads folder</t>
  </si>
  <si>
    <t>Tier 1</t>
  </si>
  <si>
    <t>Internally reconciled across statements (e.g. FY25 cash plus FY26 net cash flow equals FY26 cash, verified); supersedes prior session web-sourced balance sheet figures</t>
  </si>
  <si>
    <t>Kioxia (285A) TSE share price</t>
  </si>
  <si>
    <t>Exchange data (Investing.com / stockanalysis.com)</t>
  </si>
  <si>
    <t>Current ordinary share price 94,720 yen; used as the current-price anchor</t>
  </si>
  <si>
    <t>WebSearch result, June 2026</t>
  </si>
  <si>
    <t>Primary liquid listing</t>
  </si>
  <si>
    <t>KXIAY OTC ADR quote</t>
  </si>
  <si>
    <t>OTC Markets / Yahoo Finance</t>
  </si>
  <si>
    <t>2026-06-09</t>
  </si>
  <si>
    <t>Quoted ADR price approximately $476.78 - does not reconcile with theoretical parity (1 ADS to 0.1 ordinary) at spot FX; NOT used</t>
  </si>
  <si>
    <t>Weak</t>
  </si>
  <si>
    <t>Unsponsored Pink Limited ADR, thin liquidity; ordinary TSE price used instead</t>
  </si>
  <si>
    <t>USD/JPY spot exchange rate</t>
  </si>
  <si>
    <t>FX market data</t>
  </si>
  <si>
    <t>Spot USD/JPY 160.44; used only to translate the JPY-quoted current share price to USD (no longer used in the operating model, since FY26A financials are already USD-denominated)</t>
  </si>
  <si>
    <t>Liquid FX market</t>
  </si>
  <si>
    <t>Japan 10-Year JGB yield</t>
  </si>
  <si>
    <t>Bloomberg / Investing.com</t>
  </si>
  <si>
    <t>2026-06-02</t>
  </si>
  <si>
    <t>Risk-free rate input to cost of equity build, 2.57%</t>
  </si>
  <si>
    <t>Benchmark government bond yield</t>
  </si>
  <si>
    <t>US 10-Year Treasury yield</t>
  </si>
  <si>
    <t>Federal Reserve H.15 / CNBC</t>
  </si>
  <si>
    <t>Used for USD-JPY risk-free differential in WACC, 4.47%</t>
  </si>
  <si>
    <t>Official Fed release data</t>
  </si>
  <si>
    <t>NAND industry bit demand/supply growth, capacity timing</t>
  </si>
  <si>
    <t>TrendForce / IDC / Gartner</t>
  </si>
  <si>
    <t>2025 Q4 - 2026 Q2</t>
  </si>
  <si>
    <t>Bit demand CAGR approximately 16% through 2029; 2026 demand growth 20-22% vs supply 15-17%; no major new fab capacity before late 2027/2028; Kioxia targeting 2x capacity by FY29</t>
  </si>
  <si>
    <t>WebSearch results, industry trackers</t>
  </si>
  <si>
    <t>Tier 3</t>
  </si>
  <si>
    <t>Industry tracker consensus; directionally reliable</t>
  </si>
  <si>
    <t>2026 AI-driven NAND/DRAM price spike</t>
  </si>
  <si>
    <t>TrendForce / Tom's Hardware / Nikkei / Bloomberg</t>
  </si>
  <si>
    <t>2026 Q1-Q2</t>
  </si>
  <si>
    <t>NAND contract prices +55% to +95% QoQ in 1H26 on AI data-center demand and HBM-driven supply diversion away from NAND</t>
  </si>
  <si>
    <t>WebSearch results, June 2026</t>
  </si>
  <si>
    <t>Cross-validated against the user-provided file's own Q4 FY26A actual (+189% YoY revenue, 64.1% gross margin)</t>
  </si>
  <si>
    <t>Kioxia stock rally / market cap surge narrative</t>
  </si>
  <si>
    <t>Bloomberg / Nikkei Asia / Yahoo Finance</t>
  </si>
  <si>
    <t>2026-02 to 2026-06</t>
  </si>
  <si>
    <t>Shares +660% YTD, overtook Toyota as Japan's most valuable listed company, single-quarter net profit guided up approximately 46x YoY</t>
  </si>
  <si>
    <t>Corroborates the magnitude of the re-rating; cross-checked against Ratios-Annual market cap snapshot in source file</t>
  </si>
  <si>
    <t>Kioxia FY27E sell-side consensus (revenue/earnings)</t>
  </si>
  <si>
    <t>Simply Wall St / Yahoo Finance analyst aggregation</t>
  </si>
  <si>
    <t>Late 2025 / early 2026</t>
  </si>
  <si>
    <t>Consensus FY27E revenue/earnings figures found in earlier research were stale relative to the Q4 FY26A actual print; NOT used as a driver anchor</t>
  </si>
  <si>
    <t>Excluded; superseded by the user-provided file's own actual quarterly trend</t>
  </si>
  <si>
    <t>Cost of Capital — Fundamental Build (No Beta)</t>
  </si>
  <si>
    <t>Cost of Equity, Fundamental Risk Build</t>
  </si>
  <si>
    <t>Risk-Free Rate (Japan 10Y JGB, 2026-06-02)</t>
  </si>
  <si>
    <t>Equity Risk Premium (Japan, long-run)</t>
  </si>
  <si>
    <t>Long-run Japan ERP assumption</t>
  </si>
  <si>
    <t>(+) NAND Cyclicality Premium</t>
  </si>
  <si>
    <t>Historical revenue/margin swings are extreme - FY24A gross margin was -4.9%, FY26A was 43.3%</t>
  </si>
  <si>
    <t>(+) Customer Concentration Premium</t>
  </si>
  <si>
    <t>Top customers concentrated among hyperscalers/OEMs</t>
  </si>
  <si>
    <t>(+) Capital Intensity / Execution Risk</t>
  </si>
  <si>
    <t>12-27% capex intensity range, fab ramp and node-transition risk</t>
  </si>
  <si>
    <t>(+) China NAND Capacity Risk (YMTC)</t>
  </si>
  <si>
    <t>Chinese state-backed supply build threat</t>
  </si>
  <si>
    <t>(-) Scale / Technology Position Discount</t>
  </si>
  <si>
    <t>BiCS8/9 roadmap, #3 global share, established IP</t>
  </si>
  <si>
    <t>Cost of Equity (JPY)</t>
  </si>
  <si>
    <t>Cost of Debt</t>
  </si>
  <si>
    <t>Pre-Tax Cost of Debt</t>
  </si>
  <si>
    <t>Recent issuance / BB-area credit profile</t>
  </si>
  <si>
    <t>Japanese statutory rate</t>
  </si>
  <si>
    <t>After-Tax Cost of Debt</t>
  </si>
  <si>
    <t>Target Capital Structure</t>
  </si>
  <si>
    <t>Market Cap (USD mm)</t>
  </si>
  <si>
    <t>Total Debt (USD mm, FY26A actual)</t>
  </si>
  <si>
    <t>Total Capitalization</t>
  </si>
  <si>
    <t>Weight of Equity</t>
  </si>
  <si>
    <t>Weight of Debt</t>
  </si>
  <si>
    <t>WACC</t>
  </si>
  <si>
    <t>WACC (JPY-based)</t>
  </si>
  <si>
    <t>(+) USD-JPY Risk-Free Differential</t>
  </si>
  <si>
    <t>US 10Y (Fed H.15) less JGB 10Y</t>
  </si>
  <si>
    <t>WACC (USD-equivalent)</t>
  </si>
  <si>
    <t>Note: Beta is intentionally excluded.</t>
  </si>
  <si>
    <t>Fundamental risk factors used instead of beta: (a) NAND demand/price cyclicality (now confirmed extreme by actual history: FY24A gross margin -4.9%, FY26A 43.3%, Q4 FY26A 64.1%), (b) customer concentration among a few hyperscalers/OEMs, (c) capex execution risk on fab ramps and node transitions, (d) Chinese (YMTC) supply threat, offset by an established #3 global share and BiCS IP position. WACC range tested in the scenario engine: 10.0%-19.5%, bracketing this point estimate.</t>
  </si>
  <si>
    <t>Scenario Library — Named Scenarios (selector source)</t>
  </si>
  <si>
    <t>Select a scenario by name on the Assumptions tab; values below are pulled via INDEX/MATCH.</t>
  </si>
  <si>
    <t>Scenario Name</t>
  </si>
  <si>
    <t>demand_peak</t>
  </si>
  <si>
    <t>demand_trough</t>
  </si>
  <si>
    <t>demand_exit</t>
  </si>
  <si>
    <t>supply_peak</t>
  </si>
  <si>
    <t>supply_trough</t>
  </si>
  <si>
    <t>supply_exit</t>
  </si>
  <si>
    <t>share_fy27</t>
  </si>
  <si>
    <t>share_fy29</t>
  </si>
  <si>
    <t>share_fy31</t>
  </si>
  <si>
    <t>asp_peak</t>
  </si>
  <si>
    <t>asp_trough</t>
  </si>
  <si>
    <t>asp_exit</t>
  </si>
  <si>
    <t>gm_peak</t>
  </si>
  <si>
    <t>gm_trough</t>
  </si>
  <si>
    <t>gm_exit</t>
  </si>
  <si>
    <t>opex_fy27</t>
  </si>
  <si>
    <t>opex_fy31</t>
  </si>
  <si>
    <t>da_fy27</t>
  </si>
  <si>
    <t>da_fy31</t>
  </si>
  <si>
    <t>capex_fy27</t>
  </si>
  <si>
    <t>capex_fy31</t>
  </si>
  <si>
    <t>tax_rate</t>
  </si>
  <si>
    <t>nwc_pct</t>
  </si>
  <si>
    <t>wacc</t>
  </si>
  <si>
    <t>exit_multiple</t>
  </si>
  <si>
    <t>terminal_g</t>
  </si>
  <si>
    <t>Base Case</t>
  </si>
  <si>
    <t>Low Case (all drivers low)</t>
  </si>
  <si>
    <t>High Case (all drivers high)</t>
  </si>
  <si>
    <t>Demand-Constrained Downside</t>
  </si>
  <si>
    <t>Supply-Constrained Upside</t>
  </si>
  <si>
    <t>Margin Compression Stress</t>
  </si>
  <si>
    <t>Margin Expansion Bull</t>
  </si>
  <si>
    <t>High CapEx Share-Gain Case</t>
  </si>
  <si>
    <t>Low CapEx Harvest Case</t>
  </si>
  <si>
    <t>Working Capital Stress Case</t>
  </si>
  <si>
    <t>Rich Terminal Multiple Case</t>
  </si>
  <si>
    <t>Cheap Terminal Multiple Case</t>
  </si>
  <si>
    <t>WACC Sensitivity - Low Discount Rate</t>
  </si>
  <si>
    <t>WACC Sensitivity - High Discount Rate</t>
  </si>
  <si>
    <t>Stacked-Favorable Mixed Bull</t>
  </si>
  <si>
    <t>Stacked-Unfavorable Mixed Bear</t>
  </si>
  <si>
    <t>Assumptions — Driver Inputs (Scenario-Selectable)</t>
  </si>
  <si>
    <t>Scenario Selector:</t>
  </si>
  <si>
    <t>&lt;- choose a named scenario; Model tab recalculates automatically</t>
  </si>
  <si>
    <t>Driver</t>
  </si>
  <si>
    <t>Low</t>
  </si>
  <si>
    <t>Base</t>
  </si>
  <si>
    <t>High</t>
  </si>
  <si>
    <t>Active (Selected Scenario)</t>
  </si>
  <si>
    <t>Source / Economic Rationale</t>
  </si>
  <si>
    <t>Industry Bit Demand Growth — FY27 Peak (YoY)</t>
  </si>
  <si>
    <t>TrendForce/IDC industry trackers; AI data-center build-out</t>
  </si>
  <si>
    <t>Industry Bit Demand Growth — FY29 Trough (YoY)</t>
  </si>
  <si>
    <t>Mean reversion after initial AI-driven spike</t>
  </si>
  <si>
    <t>Industry Bit Demand Growth — FY31 Exit (YoY)</t>
  </si>
  <si>
    <t>Long-run bit-CAGR consensus ~13-16%</t>
  </si>
  <si>
    <t>Industry Bit Supply Growth — FY27 Peak (YoY)</t>
  </si>
  <si>
    <t>Capacity additions lag; no major new fab online before late FY28</t>
  </si>
  <si>
    <t>Industry Bit Supply Growth — FY29 Trough (YoY)</t>
  </si>
  <si>
    <t>Catch-up capacity from 2x-by-FY29 plans across industry</t>
  </si>
  <si>
    <t>Industry Bit Supply Growth — FY31 Exit (YoY)</t>
  </si>
  <si>
    <t>Normalization toward long-run capacity growth</t>
  </si>
  <si>
    <t>Kioxia Bit Market Share — FY27</t>
  </si>
  <si>
    <t>Current ~13.5-14.5% share (industry tracker), #3 global supplier</t>
  </si>
  <si>
    <t>Kioxia Bit Market Share — FY29</t>
  </si>
  <si>
    <t>Share path under capacity investment plan</t>
  </si>
  <si>
    <t>Kioxia Bit Market Share — FY31</t>
  </si>
  <si>
    <t>Upper bound capped at an 18% physical/competitive ceiling</t>
  </si>
  <si>
    <t>NAND ASP % YoY — FY27 Peak</t>
  </si>
  <si>
    <t>Sourced 2026 supercycle: NAND contract prices +55% to +95% QoQ; user file's own Q4 FY26A revenue was +189% YoY</t>
  </si>
  <si>
    <t>NAND ASP % YoY — FY29 Trough</t>
  </si>
  <si>
    <t>Historical post-shortage price correction pattern</t>
  </si>
  <si>
    <t>NAND ASP % YoY — FY31 Exit</t>
  </si>
  <si>
    <t>Partial normalization toward long-run price-decline trend</t>
  </si>
  <si>
    <t>Gross Margin — FY27 Peak</t>
  </si>
  <si>
    <t>User file's own Q4 FY26A actual was 64.1%; largely fixed/fab-amortized cost base amplifies margin in shortage</t>
  </si>
  <si>
    <t>Gross Margin — FY29 Trough</t>
  </si>
  <si>
    <t>Floor set by user file's own FY24A actual trough of -4.9%</t>
  </si>
  <si>
    <t>Gross Margin — FY31 Exit</t>
  </si>
  <si>
    <t>Structural margin versus FY26A actual (43.3%) on mix</t>
  </si>
  <si>
    <t>Opex % of Revenue — FY27</t>
  </si>
  <si>
    <t>FY26A actual was 6.3% of revenue (SG&amp;A only; R&amp;D reported as $0 in FY26A)</t>
  </si>
  <si>
    <t>Opex % of Revenue — FY31</t>
  </si>
  <si>
    <t>Normalized opex ratio as revenue growth decelerates</t>
  </si>
  <si>
    <t>D&amp;A % of Revenue — FY27</t>
  </si>
  <si>
    <t>FY26A actual was 13.4% of revenue</t>
  </si>
  <si>
    <t>D&amp;A % of Revenue — FY31</t>
  </si>
  <si>
    <t>Rises as capacity build-out depreciation phases in</t>
  </si>
  <si>
    <t>Capex % of Revenue — FY27</t>
  </si>
  <si>
    <t>FY26A actual was 12.0% of revenue; capacity build continues</t>
  </si>
  <si>
    <t>Capex % of Revenue — FY31</t>
  </si>
  <si>
    <t>Capex intensity normalizes post capacity-doubling plan (2x by FY29)</t>
  </si>
  <si>
    <t>FY26A actual effective rate was 29.3%</t>
  </si>
  <si>
    <t>Net Working Capital Investment, % of Δ Revenue</t>
  </si>
  <si>
    <t>Funds receivables/inventory build as revenue scales</t>
  </si>
  <si>
    <t>WACC, USD-equivalent</t>
  </si>
  <si>
    <t>Fundamental build derived on WACC tab (=WACC!C29 base case); independently scenario-ranged 10.0%-19.5% above</t>
  </si>
  <si>
    <t>Terminal Exit EV/EBITDA Multiple</t>
  </si>
  <si>
    <t>User file's own FYE Mar-26 EV/EBITDA was 9.4x on FY26A EBITDA (already including the Q4 spike); range allows further AI-cycle peer re-rating</t>
  </si>
  <si>
    <t>Terminal Growth Rate (Gordon Growth)</t>
  </si>
  <si>
    <t>Mature commodity memory business; capped near nominal GDP+</t>
  </si>
  <si>
    <t>Model — Active Scenario (selector on Assumptions tab)</t>
  </si>
  <si>
    <t>All figures in $mm except per-share and EB/ASP rows. Active scenario shown in Assumptions!C4.</t>
  </si>
  <si>
    <t>Fiscal Year</t>
  </si>
  <si>
    <t>FY26A</t>
  </si>
  <si>
    <t>FY27E</t>
  </si>
  <si>
    <t>FY28E</t>
  </si>
  <si>
    <t>FY29E</t>
  </si>
  <si>
    <t>FY30E</t>
  </si>
  <si>
    <t>FY31E</t>
  </si>
  <si>
    <t>Bottom-Up Bit-Shipment x ASP Revenue Build</t>
  </si>
  <si>
    <t>Industry Bit Demand Growth (YoY %)</t>
  </si>
  <si>
    <t>Industry Bit Shipments (EB)</t>
  </si>
  <si>
    <t>Industry Bit Supply Growth (YoY %, memo)</t>
  </si>
  <si>
    <t>Kioxia Bit Market Share</t>
  </si>
  <si>
    <t>Kioxia Bit Shipments (EB)</t>
  </si>
  <si>
    <t>NAND ASP, YoY % Change</t>
  </si>
  <si>
    <t>NAND ASP ($/GB-equivalent)</t>
  </si>
  <si>
    <t>NAND Revenue ($mm)</t>
  </si>
  <si>
    <t>Other Revenue ($mm)</t>
  </si>
  <si>
    <t>Total Revenue ($mm)</t>
  </si>
  <si>
    <t>Revenue Growth (YoY %)</t>
  </si>
  <si>
    <t>Income Statement ($mm)</t>
  </si>
  <si>
    <t>Gross Margin %</t>
  </si>
  <si>
    <t>Gross Profit ($mm)</t>
  </si>
  <si>
    <t>Operating Expenses % of Revenue</t>
  </si>
  <si>
    <t>Operating Expenses ($mm)</t>
  </si>
  <si>
    <t>EBIT ($mm)</t>
  </si>
  <si>
    <t>EBIT Margin %</t>
  </si>
  <si>
    <t>(-) Taxes on EBIT</t>
  </si>
  <si>
    <t>NOPAT ($mm)</t>
  </si>
  <si>
    <t>Unlevered Free Cash Flow Bridge ($mm)</t>
  </si>
  <si>
    <t>(+) D&amp;A ($mm)</t>
  </si>
  <si>
    <t>(-) Capex ($mm)</t>
  </si>
  <si>
    <t>Δ Revenue ($mm)</t>
  </si>
  <si>
    <t>NWC Investment, % of Δ Revenue</t>
  </si>
  <si>
    <t>(-) Δ Net Working Capital ($mm)</t>
  </si>
  <si>
    <t>Unlevered FCF ($mm)</t>
  </si>
  <si>
    <t>FCF Margin %</t>
  </si>
  <si>
    <t>Present Value Calculation</t>
  </si>
  <si>
    <t>WACC (USD)</t>
  </si>
  <si>
    <t>Discount Period (mid-year)</t>
  </si>
  <si>
    <t>Discount Factor</t>
  </si>
  <si>
    <t>PV of UFCF ($mm)</t>
  </si>
  <si>
    <t>Sum of PV of UFCF, FY27-FY31 ($mm)</t>
  </si>
  <si>
    <t>Terminal Value — Two Methods, Averaged</t>
  </si>
  <si>
    <t>Method 1: Exit EV/EBITDA Multiple</t>
  </si>
  <si>
    <t>Terminal EBITDA ($mm)</t>
  </si>
  <si>
    <t>Exit EV/EBITDA Multiple</t>
  </si>
  <si>
    <t>Terminal Enterprise Value, Exit Method ($mm)</t>
  </si>
  <si>
    <t>PV of Terminal Value, Exit Method ($mm)</t>
  </si>
  <si>
    <t>Method 2: Gordon Growth</t>
  </si>
  <si>
    <t>Terminal Growth Rate (g)</t>
  </si>
  <si>
    <t>Normalized Terminal FCF ($mm)</t>
  </si>
  <si>
    <t>Terminal Enterprise Value, Gordon ($mm)</t>
  </si>
  <si>
    <t>PV of Terminal Value, Gordon ($mm)</t>
  </si>
  <si>
    <t>Enterprise to Equity Bridge &amp; Implied Share Price ($mm except per-share)</t>
  </si>
  <si>
    <t>Enterprise Value, Exit Multiple Method ($mm)</t>
  </si>
  <si>
    <t>Enterprise Value, Gordon Growth Method ($mm)</t>
  </si>
  <si>
    <t>Average Enterprise Value ($mm)</t>
  </si>
  <si>
    <t>(-) Net Debt ($mm, FY26A actual)</t>
  </si>
  <si>
    <t>Equity Value ($mm)</t>
  </si>
  <si>
    <t>Implied Price per Share (USD)</t>
  </si>
  <si>
    <t>Current Price per Share (USD)</t>
  </si>
  <si>
    <t>Implied Upside / (Downside) vs. Current Price</t>
  </si>
  <si>
    <t>Summary — Full Scenario Log (All Scenarios Run)</t>
  </si>
  <si>
    <t>Total scenarios logged: 2000. All valuation figures in USD.</t>
  </si>
  <si>
    <t>Scenario #</t>
  </si>
  <si>
    <t>Demand Peak</t>
  </si>
  <si>
    <t>ASP Peak YoY</t>
  </si>
  <si>
    <t>GM Peak</t>
  </si>
  <si>
    <t>GM Exit</t>
  </si>
  <si>
    <t>Capex FY27</t>
  </si>
  <si>
    <t>Exit Multiple</t>
  </si>
  <si>
    <t>Terminal g</t>
  </si>
  <si>
    <t>Implied Price (USD)</t>
  </si>
  <si>
    <t>% Diff vs Current</t>
  </si>
  <si>
    <t>Within +/-5%</t>
  </si>
  <si>
    <t>Market Fit Score</t>
  </si>
  <si>
    <t>Probability Score</t>
  </si>
  <si>
    <t>Classification</t>
  </si>
  <si>
    <t>Rejection Reason</t>
  </si>
  <si>
    <t>Market-Priced Candidate</t>
  </si>
  <si>
    <t>Most-Likely Candidate</t>
  </si>
  <si>
    <t>No</t>
  </si>
  <si>
    <t>-</t>
  </si>
  <si>
    <t>Yes</t>
  </si>
  <si>
    <t>Plausible-Weak</t>
  </si>
  <si>
    <t>Plausible but probability score &lt;50; weak evidence support</t>
  </si>
  <si>
    <t>Implausible</t>
  </si>
  <si>
    <t>Stacks both an extreme peak AND an extreme trough margin without evidence of structural cost change; Stacks a &gt;95% YoY ASP spike with no subsequent give-back, ignoring memory's historical post-shortage price correction pattern</t>
  </si>
  <si>
    <t>Plausible but probability score 50-74; insufficient evidence concentration to call Probable</t>
  </si>
  <si>
    <t>Stacks both an extreme peak AND an extreme trough margin without evidence of structural cost change</t>
  </si>
  <si>
    <t>Random Scenario 1</t>
  </si>
  <si>
    <t>Capex below D&amp;A while share still rising contradicts disclosed 2x-capacity-by-FY29 plan</t>
  </si>
  <si>
    <t>Random Scenario 2</t>
  </si>
  <si>
    <t>Capex below D&amp;A while share still rising contradicts disclosed 2x-capacity-by-FY29 plan; Rich terminal multiple (&gt;10x) unsupported by sub-50% peak gross margin profitability</t>
  </si>
  <si>
    <t>Random Scenario 3</t>
  </si>
  <si>
    <t>Random Scenario 4</t>
  </si>
  <si>
    <t>Random Scenario 5</t>
  </si>
  <si>
    <t>Random Scenario 6</t>
  </si>
  <si>
    <t>Random Scenario 7</t>
  </si>
  <si>
    <t>Random Scenario 8</t>
  </si>
  <si>
    <t>Random Scenario 9</t>
  </si>
  <si>
    <t>Random Scenario 10</t>
  </si>
  <si>
    <t>Random Scenario 11</t>
  </si>
  <si>
    <t>Random Scenario 12</t>
  </si>
  <si>
    <t>Random Scenario 13</t>
  </si>
  <si>
    <t>Random Scenario 14</t>
  </si>
  <si>
    <t>Random Scenario 15</t>
  </si>
  <si>
    <t>Random Scenario 16</t>
  </si>
  <si>
    <t>Random Scenario 17</t>
  </si>
  <si>
    <t>Rich terminal multiple (&gt;10x) unsupported by sub-50% peak gross margin profitability</t>
  </si>
  <si>
    <t>Random Scenario 18</t>
  </si>
  <si>
    <t>Stacks both an extreme peak AND an extreme trough margin without evidence of structural cost change; Capex below D&amp;A while share still rising contradicts disclosed 2x-capacity-by-FY29 plan</t>
  </si>
  <si>
    <t>Random Scenario 19</t>
  </si>
  <si>
    <t>Stacks a &gt;95% YoY ASP spike with no subsequent give-back, ignoring memory's historical post-shortage price correction pattern</t>
  </si>
  <si>
    <t>Random Scenario 20</t>
  </si>
  <si>
    <t>Random Scenario 21</t>
  </si>
  <si>
    <t>Random Scenario 22</t>
  </si>
  <si>
    <t>Random Scenario 23</t>
  </si>
  <si>
    <t>Random Scenario 24</t>
  </si>
  <si>
    <t>Random Scenario 25</t>
  </si>
  <si>
    <t>Random Scenario 26</t>
  </si>
  <si>
    <t>Random Scenario 27</t>
  </si>
  <si>
    <t>Random Scenario 28</t>
  </si>
  <si>
    <t>Random Scenario 29</t>
  </si>
  <si>
    <t>Random Scenario 30</t>
  </si>
  <si>
    <t>Random Scenario 31</t>
  </si>
  <si>
    <t>Random Scenario 32</t>
  </si>
  <si>
    <t>Random Scenario 33</t>
  </si>
  <si>
    <t>Random Scenario 34</t>
  </si>
  <si>
    <t>Random Scenario 35</t>
  </si>
  <si>
    <t>Random Scenario 36</t>
  </si>
  <si>
    <t>Random Scenario 37</t>
  </si>
  <si>
    <t>Random Scenario 38</t>
  </si>
  <si>
    <t>Random Scenario 39</t>
  </si>
  <si>
    <t>Random Scenario 40</t>
  </si>
  <si>
    <t>Random Scenario 41</t>
  </si>
  <si>
    <t>Random Scenario 42</t>
  </si>
  <si>
    <t>Random Scenario 43</t>
  </si>
  <si>
    <t>Random Scenario 44</t>
  </si>
  <si>
    <t>Random Scenario 45</t>
  </si>
  <si>
    <t>Random Scenario 46</t>
  </si>
  <si>
    <t>Random Scenario 47</t>
  </si>
  <si>
    <t>Rich terminal multiple (&gt;10x) unsupported by sub-50% peak gross margin profitability; Stacks a &gt;95% YoY ASP spike with no subsequent give-back, ignoring memory's historical post-shortage price correction pattern</t>
  </si>
  <si>
    <t>Random Scenario 48</t>
  </si>
  <si>
    <t>Random Scenario 49</t>
  </si>
  <si>
    <t>Random Scenario 50</t>
  </si>
  <si>
    <t>Random Scenario 51</t>
  </si>
  <si>
    <t>Random Scenario 52</t>
  </si>
  <si>
    <t>Random Scenario 53</t>
  </si>
  <si>
    <t>Random Scenario 54</t>
  </si>
  <si>
    <t>Random Scenario 55</t>
  </si>
  <si>
    <t>Random Scenario 56</t>
  </si>
  <si>
    <t>Random Scenario 57</t>
  </si>
  <si>
    <t>Random Scenario 58</t>
  </si>
  <si>
    <t>Random Scenario 59</t>
  </si>
  <si>
    <t>Random Scenario 60</t>
  </si>
  <si>
    <t>Random Scenario 61</t>
  </si>
  <si>
    <t>Random Scenario 62</t>
  </si>
  <si>
    <t>Random Scenario 63</t>
  </si>
  <si>
    <t>Random Scenario 64</t>
  </si>
  <si>
    <t>Random Scenario 65</t>
  </si>
  <si>
    <t>Random Scenario 66</t>
  </si>
  <si>
    <t>Random Scenario 67</t>
  </si>
  <si>
    <t>Random Scenario 68</t>
  </si>
  <si>
    <t>Random Scenario 69</t>
  </si>
  <si>
    <t>Random Scenario 70</t>
  </si>
  <si>
    <t>Random Scenario 71</t>
  </si>
  <si>
    <t>Random Scenario 72</t>
  </si>
  <si>
    <t>Random Scenario 73</t>
  </si>
  <si>
    <t>Random Scenario 74</t>
  </si>
  <si>
    <t>Random Scenario 75</t>
  </si>
  <si>
    <t>Random Scenario 76</t>
  </si>
  <si>
    <t>Random Scenario 77</t>
  </si>
  <si>
    <t>Random Scenario 78</t>
  </si>
  <si>
    <t>Random Scenario 79</t>
  </si>
  <si>
    <t>Random Scenario 80</t>
  </si>
  <si>
    <t>Random Scenario 81</t>
  </si>
  <si>
    <t>Random Scenario 82</t>
  </si>
  <si>
    <t>Random Scenario 83</t>
  </si>
  <si>
    <t>Random Scenario 84</t>
  </si>
  <si>
    <t>Random Scenario 85</t>
  </si>
  <si>
    <t>Random Scenario 86</t>
  </si>
  <si>
    <t>Random Scenario 87</t>
  </si>
  <si>
    <t>Random Scenario 88</t>
  </si>
  <si>
    <t>Random Scenario 89</t>
  </si>
  <si>
    <t>Random Scenario 90</t>
  </si>
  <si>
    <t>Random Scenario 91</t>
  </si>
  <si>
    <t>Random Scenario 92</t>
  </si>
  <si>
    <t>Random Scenario 93</t>
  </si>
  <si>
    <t>Random Scenario 94</t>
  </si>
  <si>
    <t>Random Scenario 95</t>
  </si>
  <si>
    <t>Random Scenario 96</t>
  </si>
  <si>
    <t>Random Scenario 97</t>
  </si>
  <si>
    <t>Random Scenario 98</t>
  </si>
  <si>
    <t>Random Scenario 99</t>
  </si>
  <si>
    <t>Random Scenario 100</t>
  </si>
  <si>
    <t>Random Scenario 101</t>
  </si>
  <si>
    <t>Random Scenario 102</t>
  </si>
  <si>
    <t>Random Scenario 103</t>
  </si>
  <si>
    <t>Random Scenario 104</t>
  </si>
  <si>
    <t>Random Scenario 105</t>
  </si>
  <si>
    <t>Random Scenario 106</t>
  </si>
  <si>
    <t>Random Scenario 107</t>
  </si>
  <si>
    <t>Random Scenario 108</t>
  </si>
  <si>
    <t>Random Scenario 109</t>
  </si>
  <si>
    <t>Random Scenario 110</t>
  </si>
  <si>
    <t>Random Scenario 111</t>
  </si>
  <si>
    <t>Random Scenario 112</t>
  </si>
  <si>
    <t>Random Scenario 113</t>
  </si>
  <si>
    <t>Random Scenario 114</t>
  </si>
  <si>
    <t>Random Scenario 115</t>
  </si>
  <si>
    <t>Random Scenario 116</t>
  </si>
  <si>
    <t>Random Scenario 117</t>
  </si>
  <si>
    <t>Random Scenario 118</t>
  </si>
  <si>
    <t>Random Scenario 119</t>
  </si>
  <si>
    <t>Random Scenario 120</t>
  </si>
  <si>
    <t>Random Scenario 121</t>
  </si>
  <si>
    <t>Random Scenario 122</t>
  </si>
  <si>
    <t>Random Scenario 123</t>
  </si>
  <si>
    <t>Random Scenario 124</t>
  </si>
  <si>
    <t>Random Scenario 125</t>
  </si>
  <si>
    <t>Random Scenario 126</t>
  </si>
  <si>
    <t>Random Scenario 127</t>
  </si>
  <si>
    <t>Random Scenario 128</t>
  </si>
  <si>
    <t>Random Scenario 129</t>
  </si>
  <si>
    <t>Random Scenario 130</t>
  </si>
  <si>
    <t>Random Scenario 131</t>
  </si>
  <si>
    <t>Random Scenario 132</t>
  </si>
  <si>
    <t>Random Scenario 133</t>
  </si>
  <si>
    <t>Random Scenario 134</t>
  </si>
  <si>
    <t>Random Scenario 135</t>
  </si>
  <si>
    <t>Random Scenario 136</t>
  </si>
  <si>
    <t>Random Scenario 137</t>
  </si>
  <si>
    <t>Random Scenario 138</t>
  </si>
  <si>
    <t>Random Scenario 139</t>
  </si>
  <si>
    <t>Random Scenario 140</t>
  </si>
  <si>
    <t>Random Scenario 141</t>
  </si>
  <si>
    <t>Random Scenario 142</t>
  </si>
  <si>
    <t>Random Scenario 143</t>
  </si>
  <si>
    <t>Random Scenario 144</t>
  </si>
  <si>
    <t>Random Scenario 145</t>
  </si>
  <si>
    <t>Random Scenario 146</t>
  </si>
  <si>
    <t>Random Scenario 147</t>
  </si>
  <si>
    <t>Random Scenario 148</t>
  </si>
  <si>
    <t>Random Scenario 149</t>
  </si>
  <si>
    <t>Random Scenario 150</t>
  </si>
  <si>
    <t>Random Scenario 151</t>
  </si>
  <si>
    <t>Random Scenario 152</t>
  </si>
  <si>
    <t>Random Scenario 153</t>
  </si>
  <si>
    <t>Random Scenario 154</t>
  </si>
  <si>
    <t>Random Scenario 155</t>
  </si>
  <si>
    <t>Random Scenario 156</t>
  </si>
  <si>
    <t>Random Scenario 157</t>
  </si>
  <si>
    <t>Random Scenario 158</t>
  </si>
  <si>
    <t>Random Scenario 159</t>
  </si>
  <si>
    <t>Random Scenario 160</t>
  </si>
  <si>
    <t>Random Scenario 161</t>
  </si>
  <si>
    <t>Random Scenario 162</t>
  </si>
  <si>
    <t>Random Scenario 163</t>
  </si>
  <si>
    <t>Random Scenario 164</t>
  </si>
  <si>
    <t>Random Scenario 165</t>
  </si>
  <si>
    <t>Random Scenario 166</t>
  </si>
  <si>
    <t>Random Scenario 167</t>
  </si>
  <si>
    <t>Random Scenario 168</t>
  </si>
  <si>
    <t>Random Scenario 169</t>
  </si>
  <si>
    <t>Random Scenario 170</t>
  </si>
  <si>
    <t>Random Scenario 171</t>
  </si>
  <si>
    <t>Random Scenario 172</t>
  </si>
  <si>
    <t>Random Scenario 173</t>
  </si>
  <si>
    <t>Random Scenario 174</t>
  </si>
  <si>
    <t>Random Scenario 175</t>
  </si>
  <si>
    <t>Random Scenario 176</t>
  </si>
  <si>
    <t>Random Scenario 177</t>
  </si>
  <si>
    <t>Random Scenario 178</t>
  </si>
  <si>
    <t>Random Scenario 179</t>
  </si>
  <si>
    <t>Random Scenario 180</t>
  </si>
  <si>
    <t>Random Scenario 181</t>
  </si>
  <si>
    <t>Random Scenario 182</t>
  </si>
  <si>
    <t>Random Scenario 183</t>
  </si>
  <si>
    <t>Random Scenario 184</t>
  </si>
  <si>
    <t>Random Scenario 185</t>
  </si>
  <si>
    <t>Random Scenario 186</t>
  </si>
  <si>
    <t>Random Scenario 187</t>
  </si>
  <si>
    <t>Random Scenario 188</t>
  </si>
  <si>
    <t>Random Scenario 189</t>
  </si>
  <si>
    <t>Random Scenario 190</t>
  </si>
  <si>
    <t>Random Scenario 191</t>
  </si>
  <si>
    <t>Random Scenario 192</t>
  </si>
  <si>
    <t>Random Scenario 193</t>
  </si>
  <si>
    <t>Random Scenario 194</t>
  </si>
  <si>
    <t>Random Scenario 195</t>
  </si>
  <si>
    <t>Random Scenario 196</t>
  </si>
  <si>
    <t>Random Scenario 197</t>
  </si>
  <si>
    <t>Random Scenario 198</t>
  </si>
  <si>
    <t>Random Scenario 199</t>
  </si>
  <si>
    <t>Random Scenario 200</t>
  </si>
  <si>
    <t>Random Scenario 201</t>
  </si>
  <si>
    <t>Random Scenario 202</t>
  </si>
  <si>
    <t>Random Scenario 203</t>
  </si>
  <si>
    <t>Random Scenario 204</t>
  </si>
  <si>
    <t>Random Scenario 205</t>
  </si>
  <si>
    <t>Random Scenario 206</t>
  </si>
  <si>
    <t>Random Scenario 207</t>
  </si>
  <si>
    <t>Random Scenario 208</t>
  </si>
  <si>
    <t>Random Scenario 209</t>
  </si>
  <si>
    <t>Random Scenario 210</t>
  </si>
  <si>
    <t>Random Scenario 211</t>
  </si>
  <si>
    <t>Random Scenario 212</t>
  </si>
  <si>
    <t>Random Scenario 213</t>
  </si>
  <si>
    <t>Random Scenario 214</t>
  </si>
  <si>
    <t>Random Scenario 215</t>
  </si>
  <si>
    <t>Random Scenario 216</t>
  </si>
  <si>
    <t>Random Scenario 217</t>
  </si>
  <si>
    <t>Random Scenario 218</t>
  </si>
  <si>
    <t>Random Scenario 219</t>
  </si>
  <si>
    <t>Random Scenario 220</t>
  </si>
  <si>
    <t>Random Scenario 221</t>
  </si>
  <si>
    <t>Random Scenario 222</t>
  </si>
  <si>
    <t>Random Scenario 223</t>
  </si>
  <si>
    <t>Random Scenario 224</t>
  </si>
  <si>
    <t>Random Scenario 225</t>
  </si>
  <si>
    <t>Random Scenario 226</t>
  </si>
  <si>
    <t>Random Scenario 227</t>
  </si>
  <si>
    <t>Random Scenario 228</t>
  </si>
  <si>
    <t>Random Scenario 229</t>
  </si>
  <si>
    <t>Random Scenario 230</t>
  </si>
  <si>
    <t>Random Scenario 231</t>
  </si>
  <si>
    <t>Random Scenario 232</t>
  </si>
  <si>
    <t>Random Scenario 233</t>
  </si>
  <si>
    <t>Random Scenario 234</t>
  </si>
  <si>
    <t>Random Scenario 235</t>
  </si>
  <si>
    <t>Random Scenario 236</t>
  </si>
  <si>
    <t>Random Scenario 237</t>
  </si>
  <si>
    <t>Random Scenario 238</t>
  </si>
  <si>
    <t>Random Scenario 239</t>
  </si>
  <si>
    <t>Random Scenario 240</t>
  </si>
  <si>
    <t>Random Scenario 241</t>
  </si>
  <si>
    <t>Random Scenario 242</t>
  </si>
  <si>
    <t>Random Scenario 243</t>
  </si>
  <si>
    <t>Random Scenario 244</t>
  </si>
  <si>
    <t>Random Scenario 245</t>
  </si>
  <si>
    <t>Random Scenario 246</t>
  </si>
  <si>
    <t>Random Scenario 247</t>
  </si>
  <si>
    <t>Random Scenario 248</t>
  </si>
  <si>
    <t>Random Scenario 249</t>
  </si>
  <si>
    <t>Random Scenario 250</t>
  </si>
  <si>
    <t>Random Scenario 251</t>
  </si>
  <si>
    <t>Random Scenario 252</t>
  </si>
  <si>
    <t>Random Scenario 253</t>
  </si>
  <si>
    <t>Random Scenario 254</t>
  </si>
  <si>
    <t>Random Scenario 255</t>
  </si>
  <si>
    <t>Random Scenario 256</t>
  </si>
  <si>
    <t>Random Scenario 257</t>
  </si>
  <si>
    <t>Random Scenario 258</t>
  </si>
  <si>
    <t>Random Scenario 259</t>
  </si>
  <si>
    <t>Random Scenario 260</t>
  </si>
  <si>
    <t>Random Scenario 261</t>
  </si>
  <si>
    <t>Random Scenario 262</t>
  </si>
  <si>
    <t>Random Scenario 263</t>
  </si>
  <si>
    <t>Random Scenario 264</t>
  </si>
  <si>
    <t>Random Scenario 265</t>
  </si>
  <si>
    <t>Random Scenario 266</t>
  </si>
  <si>
    <t>Random Scenario 267</t>
  </si>
  <si>
    <t>Capex below D&amp;A while share still rising contradicts disclosed 2x-capacity-by-FY29 plan; Stacks a &gt;95% YoY ASP spike with no subsequent give-back, ignoring memory's historical post-shortage price correction pattern</t>
  </si>
  <si>
    <t>Random Scenario 268</t>
  </si>
  <si>
    <t>Random Scenario 269</t>
  </si>
  <si>
    <t>Random Scenario 270</t>
  </si>
  <si>
    <t>Random Scenario 271</t>
  </si>
  <si>
    <t>Random Scenario 272</t>
  </si>
  <si>
    <t>Random Scenario 273</t>
  </si>
  <si>
    <t>Random Scenario 274</t>
  </si>
  <si>
    <t>Random Scenario 275</t>
  </si>
  <si>
    <t>Random Scenario 276</t>
  </si>
  <si>
    <t>Random Scenario 277</t>
  </si>
  <si>
    <t>Random Scenario 278</t>
  </si>
  <si>
    <t>Random Scenario 279</t>
  </si>
  <si>
    <t>Random Scenario 280</t>
  </si>
  <si>
    <t>Random Scenario 281</t>
  </si>
  <si>
    <t>Random Scenario 282</t>
  </si>
  <si>
    <t>Random Scenario 283</t>
  </si>
  <si>
    <t>Random Scenario 284</t>
  </si>
  <si>
    <t>Random Scenario 285</t>
  </si>
  <si>
    <t>Random Scenario 286</t>
  </si>
  <si>
    <t>Random Scenario 287</t>
  </si>
  <si>
    <t>Random Scenario 288</t>
  </si>
  <si>
    <t>Random Scenario 289</t>
  </si>
  <si>
    <t>Random Scenario 290</t>
  </si>
  <si>
    <t>Random Scenario 291</t>
  </si>
  <si>
    <t>Random Scenario 292</t>
  </si>
  <si>
    <t>Random Scenario 293</t>
  </si>
  <si>
    <t>Random Scenario 294</t>
  </si>
  <si>
    <t>Random Scenario 295</t>
  </si>
  <si>
    <t>Random Scenario 296</t>
  </si>
  <si>
    <t>Random Scenario 297</t>
  </si>
  <si>
    <t>Random Scenario 298</t>
  </si>
  <si>
    <t>Random Scenario 299</t>
  </si>
  <si>
    <t>Random Scenario 300</t>
  </si>
  <si>
    <t>Random Scenario 301</t>
  </si>
  <si>
    <t>Random Scenario 302</t>
  </si>
  <si>
    <t>Random Scenario 303</t>
  </si>
  <si>
    <t>Random Scenario 304</t>
  </si>
  <si>
    <t>Random Scenario 305</t>
  </si>
  <si>
    <t>Random Scenario 306</t>
  </si>
  <si>
    <t>Random Scenario 307</t>
  </si>
  <si>
    <t>Random Scenario 308</t>
  </si>
  <si>
    <t>Random Scenario 309</t>
  </si>
  <si>
    <t>Random Scenario 310</t>
  </si>
  <si>
    <t>Random Scenario 311</t>
  </si>
  <si>
    <t>Random Scenario 312</t>
  </si>
  <si>
    <t>Random Scenario 313</t>
  </si>
  <si>
    <t>Random Scenario 314</t>
  </si>
  <si>
    <t>Random Scenario 315</t>
  </si>
  <si>
    <t>Random Scenario 316</t>
  </si>
  <si>
    <t>Random Scenario 317</t>
  </si>
  <si>
    <t>Random Scenario 318</t>
  </si>
  <si>
    <t>Random Scenario 319</t>
  </si>
  <si>
    <t>Random Scenario 320</t>
  </si>
  <si>
    <t>Random Scenario 321</t>
  </si>
  <si>
    <t>Random Scenario 322</t>
  </si>
  <si>
    <t>Random Scenario 323</t>
  </si>
  <si>
    <t>Random Scenario 324</t>
  </si>
  <si>
    <t>Random Scenario 325</t>
  </si>
  <si>
    <t>Random Scenario 326</t>
  </si>
  <si>
    <t>Random Scenario 327</t>
  </si>
  <si>
    <t>Random Scenario 328</t>
  </si>
  <si>
    <t>Random Scenario 329</t>
  </si>
  <si>
    <t>Random Scenario 330</t>
  </si>
  <si>
    <t>Random Scenario 331</t>
  </si>
  <si>
    <t>Random Scenario 332</t>
  </si>
  <si>
    <t>Random Scenario 333</t>
  </si>
  <si>
    <t>Random Scenario 334</t>
  </si>
  <si>
    <t>Random Scenario 335</t>
  </si>
  <si>
    <t>Random Scenario 336</t>
  </si>
  <si>
    <t>Random Scenario 337</t>
  </si>
  <si>
    <t>Random Scenario 338</t>
  </si>
  <si>
    <t>Random Scenario 339</t>
  </si>
  <si>
    <t>Random Scenario 340</t>
  </si>
  <si>
    <t>Random Scenario 341</t>
  </si>
  <si>
    <t>Capex below D&amp;A while share still rising contradicts disclosed 2x-capacity-by-FY29 plan; Rich terminal multiple (&gt;10x) unsupported by sub-50% peak gross margin profitability; Stacks a &gt;95% YoY ASP spike with no subsequent give-back, ignoring memory's historical post-shortage price correction pattern</t>
  </si>
  <si>
    <t>Random Scenario 342</t>
  </si>
  <si>
    <t>Random Scenario 343</t>
  </si>
  <si>
    <t>Random Scenario 344</t>
  </si>
  <si>
    <t>Random Scenario 345</t>
  </si>
  <si>
    <t>Random Scenario 346</t>
  </si>
  <si>
    <t>Random Scenario 347</t>
  </si>
  <si>
    <t>Random Scenario 348</t>
  </si>
  <si>
    <t>Random Scenario 349</t>
  </si>
  <si>
    <t>Random Scenario 350</t>
  </si>
  <si>
    <t>Random Scenario 351</t>
  </si>
  <si>
    <t>Random Scenario 352</t>
  </si>
  <si>
    <t>Random Scenario 353</t>
  </si>
  <si>
    <t>Random Scenario 354</t>
  </si>
  <si>
    <t>Random Scenario 355</t>
  </si>
  <si>
    <t>Random Scenario 356</t>
  </si>
  <si>
    <t>Random Scenario 357</t>
  </si>
  <si>
    <t>Random Scenario 358</t>
  </si>
  <si>
    <t>Random Scenario 359</t>
  </si>
  <si>
    <t>Random Scenario 360</t>
  </si>
  <si>
    <t>Random Scenario 361</t>
  </si>
  <si>
    <t>Random Scenario 362</t>
  </si>
  <si>
    <t>Random Scenario 363</t>
  </si>
  <si>
    <t>Random Scenario 364</t>
  </si>
  <si>
    <t>Random Scenario 365</t>
  </si>
  <si>
    <t>Random Scenario 366</t>
  </si>
  <si>
    <t>Random Scenario 367</t>
  </si>
  <si>
    <t>Random Scenario 368</t>
  </si>
  <si>
    <t>Random Scenario 369</t>
  </si>
  <si>
    <t>Random Scenario 370</t>
  </si>
  <si>
    <t>Random Scenario 371</t>
  </si>
  <si>
    <t>Random Scenario 372</t>
  </si>
  <si>
    <t>Random Scenario 373</t>
  </si>
  <si>
    <t>Random Scenario 374</t>
  </si>
  <si>
    <t>Random Scenario 375</t>
  </si>
  <si>
    <t>Random Scenario 376</t>
  </si>
  <si>
    <t>Random Scenario 377</t>
  </si>
  <si>
    <t>Random Scenario 378</t>
  </si>
  <si>
    <t>Random Scenario 379</t>
  </si>
  <si>
    <t>Random Scenario 380</t>
  </si>
  <si>
    <t>Random Scenario 381</t>
  </si>
  <si>
    <t>Random Scenario 382</t>
  </si>
  <si>
    <t>Random Scenario 383</t>
  </si>
  <si>
    <t>Random Scenario 384</t>
  </si>
  <si>
    <t>Random Scenario 385</t>
  </si>
  <si>
    <t>Random Scenario 386</t>
  </si>
  <si>
    <t>Random Scenario 387</t>
  </si>
  <si>
    <t>Random Scenario 388</t>
  </si>
  <si>
    <t>Random Scenario 389</t>
  </si>
  <si>
    <t>Random Scenario 390</t>
  </si>
  <si>
    <t>Random Scenario 391</t>
  </si>
  <si>
    <t>Random Scenario 392</t>
  </si>
  <si>
    <t>Random Scenario 393</t>
  </si>
  <si>
    <t>Random Scenario 394</t>
  </si>
  <si>
    <t>Random Scenario 395</t>
  </si>
  <si>
    <t>Random Scenario 396</t>
  </si>
  <si>
    <t>Random Scenario 397</t>
  </si>
  <si>
    <t>Random Scenario 398</t>
  </si>
  <si>
    <t>Random Scenario 399</t>
  </si>
  <si>
    <t>Random Scenario 400</t>
  </si>
  <si>
    <t>Random Scenario 401</t>
  </si>
  <si>
    <t>Random Scenario 402</t>
  </si>
  <si>
    <t>Random Scenario 403</t>
  </si>
  <si>
    <t>Random Scenario 404</t>
  </si>
  <si>
    <t>Random Scenario 405</t>
  </si>
  <si>
    <t>Random Scenario 406</t>
  </si>
  <si>
    <t>Random Scenario 407</t>
  </si>
  <si>
    <t>Random Scenario 408</t>
  </si>
  <si>
    <t>Random Scenario 409</t>
  </si>
  <si>
    <t>Random Scenario 410</t>
  </si>
  <si>
    <t>Random Scenario 411</t>
  </si>
  <si>
    <t>Random Scenario 412</t>
  </si>
  <si>
    <t>Random Scenario 413</t>
  </si>
  <si>
    <t>Random Scenario 414</t>
  </si>
  <si>
    <t>Random Scenario 415</t>
  </si>
  <si>
    <t>Random Scenario 416</t>
  </si>
  <si>
    <t>Random Scenario 417</t>
  </si>
  <si>
    <t>Random Scenario 418</t>
  </si>
  <si>
    <t>Random Scenario 419</t>
  </si>
  <si>
    <t>Random Scenario 420</t>
  </si>
  <si>
    <t>Random Scenario 421</t>
  </si>
  <si>
    <t>Random Scenario 422</t>
  </si>
  <si>
    <t>Random Scenario 423</t>
  </si>
  <si>
    <t>Random Scenario 424</t>
  </si>
  <si>
    <t>Random Scenario 425</t>
  </si>
  <si>
    <t>Random Scenario 426</t>
  </si>
  <si>
    <t>Random Scenario 427</t>
  </si>
  <si>
    <t>Random Scenario 428</t>
  </si>
  <si>
    <t>Random Scenario 429</t>
  </si>
  <si>
    <t>Random Scenario 430</t>
  </si>
  <si>
    <t>Random Scenario 431</t>
  </si>
  <si>
    <t>Random Scenario 432</t>
  </si>
  <si>
    <t>Random Scenario 433</t>
  </si>
  <si>
    <t>Random Scenario 434</t>
  </si>
  <si>
    <t>Random Scenario 435</t>
  </si>
  <si>
    <t>Random Scenario 436</t>
  </si>
  <si>
    <t>Random Scenario 437</t>
  </si>
  <si>
    <t>Random Scenario 438</t>
  </si>
  <si>
    <t>Random Scenario 439</t>
  </si>
  <si>
    <t>Random Scenario 440</t>
  </si>
  <si>
    <t>Random Scenario 441</t>
  </si>
  <si>
    <t>Random Scenario 442</t>
  </si>
  <si>
    <t>Random Scenario 443</t>
  </si>
  <si>
    <t>Random Scenario 444</t>
  </si>
  <si>
    <t>Random Scenario 445</t>
  </si>
  <si>
    <t>Random Scenario 446</t>
  </si>
  <si>
    <t>Random Scenario 447</t>
  </si>
  <si>
    <t>Random Scenario 448</t>
  </si>
  <si>
    <t>Random Scenario 449</t>
  </si>
  <si>
    <t>Random Scenario 450</t>
  </si>
  <si>
    <t>Random Scenario 451</t>
  </si>
  <si>
    <t>Random Scenario 452</t>
  </si>
  <si>
    <t>Random Scenario 453</t>
  </si>
  <si>
    <t>Random Scenario 454</t>
  </si>
  <si>
    <t>Random Scenario 455</t>
  </si>
  <si>
    <t>Random Scenario 456</t>
  </si>
  <si>
    <t>Random Scenario 457</t>
  </si>
  <si>
    <t>Random Scenario 458</t>
  </si>
  <si>
    <t>Random Scenario 459</t>
  </si>
  <si>
    <t>Random Scenario 460</t>
  </si>
  <si>
    <t>Random Scenario 461</t>
  </si>
  <si>
    <t>Random Scenario 462</t>
  </si>
  <si>
    <t>Random Scenario 463</t>
  </si>
  <si>
    <t>Random Scenario 464</t>
  </si>
  <si>
    <t>Random Scenario 465</t>
  </si>
  <si>
    <t>Random Scenario 466</t>
  </si>
  <si>
    <t>Random Scenario 467</t>
  </si>
  <si>
    <t>Random Scenario 468</t>
  </si>
  <si>
    <t>Random Scenario 469</t>
  </si>
  <si>
    <t>Random Scenario 470</t>
  </si>
  <si>
    <t>Random Scenario 471</t>
  </si>
  <si>
    <t>Random Scenario 472</t>
  </si>
  <si>
    <t>Random Scenario 473</t>
  </si>
  <si>
    <t>Random Scenario 474</t>
  </si>
  <si>
    <t>Random Scenario 475</t>
  </si>
  <si>
    <t>Random Scenario 476</t>
  </si>
  <si>
    <t>Random Scenario 477</t>
  </si>
  <si>
    <t>Random Scenario 478</t>
  </si>
  <si>
    <t>Random Scenario 479</t>
  </si>
  <si>
    <t>Random Scenario 480</t>
  </si>
  <si>
    <t>Random Scenario 481</t>
  </si>
  <si>
    <t>Random Scenario 482</t>
  </si>
  <si>
    <t>Random Scenario 483</t>
  </si>
  <si>
    <t>Random Scenario 484</t>
  </si>
  <si>
    <t>Random Scenario 485</t>
  </si>
  <si>
    <t>Random Scenario 486</t>
  </si>
  <si>
    <t>Random Scenario 487</t>
  </si>
  <si>
    <t>Random Scenario 488</t>
  </si>
  <si>
    <t>Random Scenario 489</t>
  </si>
  <si>
    <t>Random Scenario 490</t>
  </si>
  <si>
    <t>Random Scenario 491</t>
  </si>
  <si>
    <t>Random Scenario 492</t>
  </si>
  <si>
    <t>Random Scenario 493</t>
  </si>
  <si>
    <t>Random Scenario 494</t>
  </si>
  <si>
    <t>Random Scenario 495</t>
  </si>
  <si>
    <t>Random Scenario 496</t>
  </si>
  <si>
    <t>Random Scenario 497</t>
  </si>
  <si>
    <t>Random Scenario 498</t>
  </si>
  <si>
    <t>Random Scenario 499</t>
  </si>
  <si>
    <t>Random Scenario 500</t>
  </si>
  <si>
    <t>Random Scenario 501</t>
  </si>
  <si>
    <t>Random Scenario 502</t>
  </si>
  <si>
    <t>Random Scenario 503</t>
  </si>
  <si>
    <t>Random Scenario 504</t>
  </si>
  <si>
    <t>Random Scenario 505</t>
  </si>
  <si>
    <t>Random Scenario 506</t>
  </si>
  <si>
    <t>Random Scenario 507</t>
  </si>
  <si>
    <t>Random Scenario 508</t>
  </si>
  <si>
    <t>Random Scenario 509</t>
  </si>
  <si>
    <t>Random Scenario 510</t>
  </si>
  <si>
    <t>Random Scenario 511</t>
  </si>
  <si>
    <t>Random Scenario 512</t>
  </si>
  <si>
    <t>Random Scenario 513</t>
  </si>
  <si>
    <t>Random Scenario 514</t>
  </si>
  <si>
    <t>Random Scenario 515</t>
  </si>
  <si>
    <t>Random Scenario 516</t>
  </si>
  <si>
    <t>Random Scenario 517</t>
  </si>
  <si>
    <t>Random Scenario 518</t>
  </si>
  <si>
    <t>Random Scenario 519</t>
  </si>
  <si>
    <t>Random Scenario 520</t>
  </si>
  <si>
    <t>Random Scenario 521</t>
  </si>
  <si>
    <t>Random Scenario 522</t>
  </si>
  <si>
    <t>Random Scenario 523</t>
  </si>
  <si>
    <t>Random Scenario 524</t>
  </si>
  <si>
    <t>Random Scenario 525</t>
  </si>
  <si>
    <t>Random Scenario 526</t>
  </si>
  <si>
    <t>Random Scenario 527</t>
  </si>
  <si>
    <t>Random Scenario 528</t>
  </si>
  <si>
    <t>Random Scenario 529</t>
  </si>
  <si>
    <t>Random Scenario 530</t>
  </si>
  <si>
    <t>Random Scenario 531</t>
  </si>
  <si>
    <t>Random Scenario 532</t>
  </si>
  <si>
    <t>Random Scenario 533</t>
  </si>
  <si>
    <t>Random Scenario 534</t>
  </si>
  <si>
    <t>Random Scenario 535</t>
  </si>
  <si>
    <t>Random Scenario 536</t>
  </si>
  <si>
    <t>Random Scenario 537</t>
  </si>
  <si>
    <t>Random Scenario 538</t>
  </si>
  <si>
    <t>Random Scenario 539</t>
  </si>
  <si>
    <t>Random Scenario 540</t>
  </si>
  <si>
    <t>Random Scenario 541</t>
  </si>
  <si>
    <t>Random Scenario 542</t>
  </si>
  <si>
    <t>Random Scenario 543</t>
  </si>
  <si>
    <t>Random Scenario 544</t>
  </si>
  <si>
    <t>Random Scenario 545</t>
  </si>
  <si>
    <t>Random Scenario 546</t>
  </si>
  <si>
    <t>Random Scenario 547</t>
  </si>
  <si>
    <t>Random Scenario 548</t>
  </si>
  <si>
    <t>Random Scenario 549</t>
  </si>
  <si>
    <t>Random Scenario 550</t>
  </si>
  <si>
    <t>Random Scenario 551</t>
  </si>
  <si>
    <t>Random Scenario 552</t>
  </si>
  <si>
    <t>Random Scenario 553</t>
  </si>
  <si>
    <t>Random Scenario 554</t>
  </si>
  <si>
    <t>Random Scenario 555</t>
  </si>
  <si>
    <t>Random Scenario 556</t>
  </si>
  <si>
    <t>Random Scenario 557</t>
  </si>
  <si>
    <t>Random Scenario 558</t>
  </si>
  <si>
    <t>Random Scenario 559</t>
  </si>
  <si>
    <t>Random Scenario 560</t>
  </si>
  <si>
    <t>Random Scenario 561</t>
  </si>
  <si>
    <t>Random Scenario 562</t>
  </si>
  <si>
    <t>Random Scenario 563</t>
  </si>
  <si>
    <t>Stacks both an extreme peak AND an extreme trough margin without evidence of structural cost change; Capex below D&amp;A while share still rising contradicts disclosed 2x-capacity-by-FY29 plan; Stacks a &gt;95% YoY ASP spike with no subsequent give-back, ignoring memory's historical post-shortage price correction pattern</t>
  </si>
  <si>
    <t>Random Scenario 564</t>
  </si>
  <si>
    <t>Random Scenario 565</t>
  </si>
  <si>
    <t>Random Scenario 566</t>
  </si>
  <si>
    <t>Random Scenario 567</t>
  </si>
  <si>
    <t>Random Scenario 568</t>
  </si>
  <si>
    <t>Random Scenario 569</t>
  </si>
  <si>
    <t>Random Scenario 570</t>
  </si>
  <si>
    <t>Random Scenario 571</t>
  </si>
  <si>
    <t>Random Scenario 572</t>
  </si>
  <si>
    <t>Random Scenario 573</t>
  </si>
  <si>
    <t>Random Scenario 574</t>
  </si>
  <si>
    <t>Random Scenario 575</t>
  </si>
  <si>
    <t>Random Scenario 576</t>
  </si>
  <si>
    <t>Random Scenario 577</t>
  </si>
  <si>
    <t>Random Scenario 578</t>
  </si>
  <si>
    <t>Random Scenario 579</t>
  </si>
  <si>
    <t>Random Scenario 580</t>
  </si>
  <si>
    <t>Random Scenario 581</t>
  </si>
  <si>
    <t>Random Scenario 582</t>
  </si>
  <si>
    <t>Random Scenario 583</t>
  </si>
  <si>
    <t>Random Scenario 584</t>
  </si>
  <si>
    <t>Random Scenario 585</t>
  </si>
  <si>
    <t>Random Scenario 586</t>
  </si>
  <si>
    <t>Random Scenario 587</t>
  </si>
  <si>
    <t>Random Scenario 588</t>
  </si>
  <si>
    <t>Random Scenario 589</t>
  </si>
  <si>
    <t>Random Scenario 590</t>
  </si>
  <si>
    <t>Random Scenario 591</t>
  </si>
  <si>
    <t>Random Scenario 592</t>
  </si>
  <si>
    <t>Random Scenario 593</t>
  </si>
  <si>
    <t>Random Scenario 594</t>
  </si>
  <si>
    <t>Random Scenario 595</t>
  </si>
  <si>
    <t>Random Scenario 596</t>
  </si>
  <si>
    <t>Random Scenario 597</t>
  </si>
  <si>
    <t>Random Scenario 598</t>
  </si>
  <si>
    <t>Random Scenario 599</t>
  </si>
  <si>
    <t>Random Scenario 600</t>
  </si>
  <si>
    <t>Random Scenario 601</t>
  </si>
  <si>
    <t>Random Scenario 602</t>
  </si>
  <si>
    <t>Random Scenario 603</t>
  </si>
  <si>
    <t>Random Scenario 604</t>
  </si>
  <si>
    <t>Random Scenario 605</t>
  </si>
  <si>
    <t>Random Scenario 606</t>
  </si>
  <si>
    <t>Random Scenario 607</t>
  </si>
  <si>
    <t>Random Scenario 608</t>
  </si>
  <si>
    <t>Random Scenario 609</t>
  </si>
  <si>
    <t>Random Scenario 610</t>
  </si>
  <si>
    <t>Random Scenario 611</t>
  </si>
  <si>
    <t>Random Scenario 612</t>
  </si>
  <si>
    <t>Random Scenario 613</t>
  </si>
  <si>
    <t>Random Scenario 614</t>
  </si>
  <si>
    <t>Random Scenario 615</t>
  </si>
  <si>
    <t>Random Scenario 616</t>
  </si>
  <si>
    <t>Random Scenario 617</t>
  </si>
  <si>
    <t>Random Scenario 618</t>
  </si>
  <si>
    <t>Random Scenario 619</t>
  </si>
  <si>
    <t>Random Scenario 620</t>
  </si>
  <si>
    <t>Random Scenario 621</t>
  </si>
  <si>
    <t>Random Scenario 622</t>
  </si>
  <si>
    <t>Random Scenario 623</t>
  </si>
  <si>
    <t>Random Scenario 624</t>
  </si>
  <si>
    <t>Random Scenario 625</t>
  </si>
  <si>
    <t>Random Scenario 626</t>
  </si>
  <si>
    <t>Random Scenario 627</t>
  </si>
  <si>
    <t>Random Scenario 628</t>
  </si>
  <si>
    <t>Random Scenario 629</t>
  </si>
  <si>
    <t>Random Scenario 630</t>
  </si>
  <si>
    <t>Random Scenario 631</t>
  </si>
  <si>
    <t>Random Scenario 632</t>
  </si>
  <si>
    <t>Random Scenario 633</t>
  </si>
  <si>
    <t>Random Scenario 634</t>
  </si>
  <si>
    <t>Random Scenario 635</t>
  </si>
  <si>
    <t>Random Scenario 636</t>
  </si>
  <si>
    <t>Random Scenario 637</t>
  </si>
  <si>
    <t>Random Scenario 638</t>
  </si>
  <si>
    <t>Random Scenario 639</t>
  </si>
  <si>
    <t>Random Scenario 640</t>
  </si>
  <si>
    <t>Random Scenario 641</t>
  </si>
  <si>
    <t>Random Scenario 642</t>
  </si>
  <si>
    <t>Random Scenario 643</t>
  </si>
  <si>
    <t>Random Scenario 644</t>
  </si>
  <si>
    <t>Random Scenario 645</t>
  </si>
  <si>
    <t>Random Scenario 646</t>
  </si>
  <si>
    <t>Random Scenario 647</t>
  </si>
  <si>
    <t>Random Scenario 648</t>
  </si>
  <si>
    <t>Random Scenario 649</t>
  </si>
  <si>
    <t>Random Scenario 650</t>
  </si>
  <si>
    <t>Random Scenario 651</t>
  </si>
  <si>
    <t>Random Scenario 652</t>
  </si>
  <si>
    <t>Random Scenario 653</t>
  </si>
  <si>
    <t>Random Scenario 654</t>
  </si>
  <si>
    <t>Random Scenario 655</t>
  </si>
  <si>
    <t>Random Scenario 656</t>
  </si>
  <si>
    <t>Random Scenario 657</t>
  </si>
  <si>
    <t>Random Scenario 658</t>
  </si>
  <si>
    <t>Random Scenario 659</t>
  </si>
  <si>
    <t>Random Scenario 660</t>
  </si>
  <si>
    <t>Random Scenario 661</t>
  </si>
  <si>
    <t>Random Scenario 662</t>
  </si>
  <si>
    <t>Random Scenario 663</t>
  </si>
  <si>
    <t>Random Scenario 664</t>
  </si>
  <si>
    <t>Random Scenario 665</t>
  </si>
  <si>
    <t>Random Scenario 666</t>
  </si>
  <si>
    <t>Random Scenario 667</t>
  </si>
  <si>
    <t>Random Scenario 668</t>
  </si>
  <si>
    <t>Random Scenario 669</t>
  </si>
  <si>
    <t>Random Scenario 670</t>
  </si>
  <si>
    <t>Random Scenario 671</t>
  </si>
  <si>
    <t>Random Scenario 672</t>
  </si>
  <si>
    <t>Random Scenario 673</t>
  </si>
  <si>
    <t>Random Scenario 674</t>
  </si>
  <si>
    <t>Random Scenario 675</t>
  </si>
  <si>
    <t>Random Scenario 676</t>
  </si>
  <si>
    <t>Random Scenario 677</t>
  </si>
  <si>
    <t>Random Scenario 678</t>
  </si>
  <si>
    <t>Random Scenario 679</t>
  </si>
  <si>
    <t>Random Scenario 680</t>
  </si>
  <si>
    <t>Random Scenario 681</t>
  </si>
  <si>
    <t>Random Scenario 682</t>
  </si>
  <si>
    <t>Random Scenario 683</t>
  </si>
  <si>
    <t>Random Scenario 684</t>
  </si>
  <si>
    <t>Random Scenario 685</t>
  </si>
  <si>
    <t>Random Scenario 686</t>
  </si>
  <si>
    <t>Random Scenario 687</t>
  </si>
  <si>
    <t>Random Scenario 688</t>
  </si>
  <si>
    <t>Random Scenario 689</t>
  </si>
  <si>
    <t>Random Scenario 690</t>
  </si>
  <si>
    <t>Random Scenario 691</t>
  </si>
  <si>
    <t>Random Scenario 692</t>
  </si>
  <si>
    <t>Random Scenario 693</t>
  </si>
  <si>
    <t>Random Scenario 694</t>
  </si>
  <si>
    <t>Random Scenario 695</t>
  </si>
  <si>
    <t>Random Scenario 696</t>
  </si>
  <si>
    <t>Random Scenario 697</t>
  </si>
  <si>
    <t>Random Scenario 698</t>
  </si>
  <si>
    <t>Random Scenario 699</t>
  </si>
  <si>
    <t>Random Scenario 700</t>
  </si>
  <si>
    <t>Random Scenario 701</t>
  </si>
  <si>
    <t>Random Scenario 702</t>
  </si>
  <si>
    <t>Random Scenario 703</t>
  </si>
  <si>
    <t>Random Scenario 704</t>
  </si>
  <si>
    <t>Random Scenario 705</t>
  </si>
  <si>
    <t>Random Scenario 706</t>
  </si>
  <si>
    <t>Random Scenario 707</t>
  </si>
  <si>
    <t>Random Scenario 708</t>
  </si>
  <si>
    <t>Random Scenario 709</t>
  </si>
  <si>
    <t>Random Scenario 710</t>
  </si>
  <si>
    <t>Random Scenario 711</t>
  </si>
  <si>
    <t>Random Scenario 712</t>
  </si>
  <si>
    <t>Random Scenario 713</t>
  </si>
  <si>
    <t>Random Scenario 714</t>
  </si>
  <si>
    <t>Random Scenario 715</t>
  </si>
  <si>
    <t>Random Scenario 716</t>
  </si>
  <si>
    <t>Random Scenario 717</t>
  </si>
  <si>
    <t>Random Scenario 718</t>
  </si>
  <si>
    <t>Random Scenario 719</t>
  </si>
  <si>
    <t>Random Scenario 720</t>
  </si>
  <si>
    <t>Random Scenario 721</t>
  </si>
  <si>
    <t>Random Scenario 722</t>
  </si>
  <si>
    <t>Random Scenario 723</t>
  </si>
  <si>
    <t>Random Scenario 724</t>
  </si>
  <si>
    <t>Random Scenario 725</t>
  </si>
  <si>
    <t>Random Scenario 726</t>
  </si>
  <si>
    <t>Random Scenario 727</t>
  </si>
  <si>
    <t>Random Scenario 728</t>
  </si>
  <si>
    <t>Random Scenario 729</t>
  </si>
  <si>
    <t>Random Scenario 730</t>
  </si>
  <si>
    <t>Random Scenario 731</t>
  </si>
  <si>
    <t>Random Scenario 732</t>
  </si>
  <si>
    <t>Random Scenario 733</t>
  </si>
  <si>
    <t>Random Scenario 734</t>
  </si>
  <si>
    <t>Random Scenario 735</t>
  </si>
  <si>
    <t>Random Scenario 736</t>
  </si>
  <si>
    <t>Random Scenario 737</t>
  </si>
  <si>
    <t>Random Scenario 738</t>
  </si>
  <si>
    <t>Random Scenario 739</t>
  </si>
  <si>
    <t>Random Scenario 740</t>
  </si>
  <si>
    <t>Random Scenario 741</t>
  </si>
  <si>
    <t>Random Scenario 742</t>
  </si>
  <si>
    <t>Random Scenario 743</t>
  </si>
  <si>
    <t>Random Scenario 744</t>
  </si>
  <si>
    <t>Random Scenario 745</t>
  </si>
  <si>
    <t>Random Scenario 746</t>
  </si>
  <si>
    <t>Random Scenario 747</t>
  </si>
  <si>
    <t>Random Scenario 748</t>
  </si>
  <si>
    <t>Random Scenario 749</t>
  </si>
  <si>
    <t>Random Scenario 750</t>
  </si>
  <si>
    <t>Random Scenario 751</t>
  </si>
  <si>
    <t>Random Scenario 752</t>
  </si>
  <si>
    <t>Random Scenario 753</t>
  </si>
  <si>
    <t>Random Scenario 754</t>
  </si>
  <si>
    <t>Random Scenario 755</t>
  </si>
  <si>
    <t>Random Scenario 756</t>
  </si>
  <si>
    <t>Random Scenario 757</t>
  </si>
  <si>
    <t>Random Scenario 758</t>
  </si>
  <si>
    <t>Random Scenario 759</t>
  </si>
  <si>
    <t>Random Scenario 760</t>
  </si>
  <si>
    <t>Random Scenario 761</t>
  </si>
  <si>
    <t>Random Scenario 762</t>
  </si>
  <si>
    <t>Random Scenario 763</t>
  </si>
  <si>
    <t>Random Scenario 764</t>
  </si>
  <si>
    <t>Random Scenario 765</t>
  </si>
  <si>
    <t>Random Scenario 766</t>
  </si>
  <si>
    <t>Random Scenario 767</t>
  </si>
  <si>
    <t>Random Scenario 768</t>
  </si>
  <si>
    <t>Random Scenario 769</t>
  </si>
  <si>
    <t>Random Scenario 770</t>
  </si>
  <si>
    <t>Random Scenario 771</t>
  </si>
  <si>
    <t>Random Scenario 772</t>
  </si>
  <si>
    <t>Random Scenario 773</t>
  </si>
  <si>
    <t>Random Scenario 774</t>
  </si>
  <si>
    <t>Random Scenario 775</t>
  </si>
  <si>
    <t>Random Scenario 776</t>
  </si>
  <si>
    <t>Random Scenario 777</t>
  </si>
  <si>
    <t>Random Scenario 778</t>
  </si>
  <si>
    <t>Random Scenario 779</t>
  </si>
  <si>
    <t>Random Scenario 780</t>
  </si>
  <si>
    <t>Random Scenario 781</t>
  </si>
  <si>
    <t>Random Scenario 782</t>
  </si>
  <si>
    <t>Random Scenario 783</t>
  </si>
  <si>
    <t>Random Scenario 784</t>
  </si>
  <si>
    <t>Random Scenario 785</t>
  </si>
  <si>
    <t>Random Scenario 786</t>
  </si>
  <si>
    <t>Random Scenario 787</t>
  </si>
  <si>
    <t>Random Scenario 788</t>
  </si>
  <si>
    <t>Random Scenario 789</t>
  </si>
  <si>
    <t>Random Scenario 790</t>
  </si>
  <si>
    <t>Random Scenario 791</t>
  </si>
  <si>
    <t>Random Scenario 792</t>
  </si>
  <si>
    <t>Random Scenario 793</t>
  </si>
  <si>
    <t>Random Scenario 794</t>
  </si>
  <si>
    <t>Random Scenario 795</t>
  </si>
  <si>
    <t>Random Scenario 796</t>
  </si>
  <si>
    <t>Random Scenario 797</t>
  </si>
  <si>
    <t>Random Scenario 798</t>
  </si>
  <si>
    <t>Random Scenario 799</t>
  </si>
  <si>
    <t>Random Scenario 800</t>
  </si>
  <si>
    <t>Random Scenario 801</t>
  </si>
  <si>
    <t>Random Scenario 802</t>
  </si>
  <si>
    <t>Random Scenario 803</t>
  </si>
  <si>
    <t>Random Scenario 804</t>
  </si>
  <si>
    <t>Random Scenario 805</t>
  </si>
  <si>
    <t>Random Scenario 806</t>
  </si>
  <si>
    <t>Random Scenario 807</t>
  </si>
  <si>
    <t>Random Scenario 808</t>
  </si>
  <si>
    <t>Random Scenario 809</t>
  </si>
  <si>
    <t>Random Scenario 810</t>
  </si>
  <si>
    <t>Random Scenario 811</t>
  </si>
  <si>
    <t>Random Scenario 812</t>
  </si>
  <si>
    <t>Random Scenario 813</t>
  </si>
  <si>
    <t>Random Scenario 814</t>
  </si>
  <si>
    <t>Random Scenario 815</t>
  </si>
  <si>
    <t>Random Scenario 816</t>
  </si>
  <si>
    <t>Random Scenario 817</t>
  </si>
  <si>
    <t>Random Scenario 818</t>
  </si>
  <si>
    <t>Random Scenario 819</t>
  </si>
  <si>
    <t>Random Scenario 820</t>
  </si>
  <si>
    <t>Random Scenario 821</t>
  </si>
  <si>
    <t>Random Scenario 822</t>
  </si>
  <si>
    <t>Random Scenario 823</t>
  </si>
  <si>
    <t>Random Scenario 824</t>
  </si>
  <si>
    <t>Random Scenario 825</t>
  </si>
  <si>
    <t>Random Scenario 826</t>
  </si>
  <si>
    <t>Random Scenario 827</t>
  </si>
  <si>
    <t>Random Scenario 828</t>
  </si>
  <si>
    <t>Random Scenario 829</t>
  </si>
  <si>
    <t>Random Scenario 830</t>
  </si>
  <si>
    <t>Random Scenario 831</t>
  </si>
  <si>
    <t>Random Scenario 832</t>
  </si>
  <si>
    <t>Random Scenario 833</t>
  </si>
  <si>
    <t>Random Scenario 834</t>
  </si>
  <si>
    <t>Random Scenario 835</t>
  </si>
  <si>
    <t>Random Scenario 836</t>
  </si>
  <si>
    <t>Random Scenario 837</t>
  </si>
  <si>
    <t>Random Scenario 838</t>
  </si>
  <si>
    <t>Random Scenario 839</t>
  </si>
  <si>
    <t>Random Scenario 840</t>
  </si>
  <si>
    <t>Random Scenario 841</t>
  </si>
  <si>
    <t>Random Scenario 842</t>
  </si>
  <si>
    <t>Random Scenario 843</t>
  </si>
  <si>
    <t>Random Scenario 844</t>
  </si>
  <si>
    <t>Random Scenario 845</t>
  </si>
  <si>
    <t>Random Scenario 846</t>
  </si>
  <si>
    <t>Random Scenario 847</t>
  </si>
  <si>
    <t>Random Scenario 848</t>
  </si>
  <si>
    <t>Random Scenario 849</t>
  </si>
  <si>
    <t>Random Scenario 850</t>
  </si>
  <si>
    <t>Random Scenario 851</t>
  </si>
  <si>
    <t>Random Scenario 852</t>
  </si>
  <si>
    <t>Random Scenario 853</t>
  </si>
  <si>
    <t>Random Scenario 854</t>
  </si>
  <si>
    <t>Random Scenario 855</t>
  </si>
  <si>
    <t>Random Scenario 856</t>
  </si>
  <si>
    <t>Random Scenario 857</t>
  </si>
  <si>
    <t>Random Scenario 858</t>
  </si>
  <si>
    <t>Random Scenario 859</t>
  </si>
  <si>
    <t>Random Scenario 860</t>
  </si>
  <si>
    <t>Random Scenario 861</t>
  </si>
  <si>
    <t>Random Scenario 862</t>
  </si>
  <si>
    <t>Random Scenario 863</t>
  </si>
  <si>
    <t>Random Scenario 864</t>
  </si>
  <si>
    <t>Random Scenario 865</t>
  </si>
  <si>
    <t>Random Scenario 866</t>
  </si>
  <si>
    <t>Random Scenario 867</t>
  </si>
  <si>
    <t>Random Scenario 868</t>
  </si>
  <si>
    <t>Random Scenario 869</t>
  </si>
  <si>
    <t>Random Scenario 870</t>
  </si>
  <si>
    <t>Random Scenario 871</t>
  </si>
  <si>
    <t>Random Scenario 872</t>
  </si>
  <si>
    <t>Random Scenario 873</t>
  </si>
  <si>
    <t>Random Scenario 874</t>
  </si>
  <si>
    <t>Random Scenario 875</t>
  </si>
  <si>
    <t>Random Scenario 876</t>
  </si>
  <si>
    <t>Random Scenario 877</t>
  </si>
  <si>
    <t>Random Scenario 878</t>
  </si>
  <si>
    <t>Random Scenario 879</t>
  </si>
  <si>
    <t>Random Scenario 880</t>
  </si>
  <si>
    <t>Random Scenario 881</t>
  </si>
  <si>
    <t>Random Scenario 882</t>
  </si>
  <si>
    <t>Random Scenario 883</t>
  </si>
  <si>
    <t>Random Scenario 884</t>
  </si>
  <si>
    <t>Random Scenario 885</t>
  </si>
  <si>
    <t>Random Scenario 886</t>
  </si>
  <si>
    <t>Random Scenario 887</t>
  </si>
  <si>
    <t>Random Scenario 888</t>
  </si>
  <si>
    <t>Random Scenario 889</t>
  </si>
  <si>
    <t>Random Scenario 890</t>
  </si>
  <si>
    <t>Random Scenario 891</t>
  </si>
  <si>
    <t>Random Scenario 892</t>
  </si>
  <si>
    <t>Random Scenario 893</t>
  </si>
  <si>
    <t>Random Scenario 894</t>
  </si>
  <si>
    <t>Random Scenario 895</t>
  </si>
  <si>
    <t>Random Scenario 896</t>
  </si>
  <si>
    <t>Random Scenario 897</t>
  </si>
  <si>
    <t>Random Scenario 898</t>
  </si>
  <si>
    <t>Random Scenario 899</t>
  </si>
  <si>
    <t>Random Scenario 900</t>
  </si>
  <si>
    <t>Random Scenario 901</t>
  </si>
  <si>
    <t>Random Scenario 902</t>
  </si>
  <si>
    <t>Random Scenario 903</t>
  </si>
  <si>
    <t>Random Scenario 904</t>
  </si>
  <si>
    <t>Random Scenario 905</t>
  </si>
  <si>
    <t>Random Scenario 906</t>
  </si>
  <si>
    <t>Random Scenario 907</t>
  </si>
  <si>
    <t>Random Scenario 908</t>
  </si>
  <si>
    <t>Random Scenario 909</t>
  </si>
  <si>
    <t>Random Scenario 910</t>
  </si>
  <si>
    <t>Random Scenario 911</t>
  </si>
  <si>
    <t>Random Scenario 912</t>
  </si>
  <si>
    <t>Random Scenario 913</t>
  </si>
  <si>
    <t>Random Scenario 914</t>
  </si>
  <si>
    <t>Random Scenario 915</t>
  </si>
  <si>
    <t>Random Scenario 916</t>
  </si>
  <si>
    <t>Random Scenario 917</t>
  </si>
  <si>
    <t>Random Scenario 918</t>
  </si>
  <si>
    <t>Random Scenario 919</t>
  </si>
  <si>
    <t>Random Scenario 920</t>
  </si>
  <si>
    <t>Random Scenario 921</t>
  </si>
  <si>
    <t>Random Scenario 922</t>
  </si>
  <si>
    <t>Random Scenario 923</t>
  </si>
  <si>
    <t>Random Scenario 924</t>
  </si>
  <si>
    <t>Random Scenario 925</t>
  </si>
  <si>
    <t>Random Scenario 926</t>
  </si>
  <si>
    <t>Random Scenario 927</t>
  </si>
  <si>
    <t>Random Scenario 928</t>
  </si>
  <si>
    <t>Random Scenario 929</t>
  </si>
  <si>
    <t>Random Scenario 930</t>
  </si>
  <si>
    <t>Random Scenario 931</t>
  </si>
  <si>
    <t>Random Scenario 932</t>
  </si>
  <si>
    <t>Random Scenario 933</t>
  </si>
  <si>
    <t>Random Scenario 934</t>
  </si>
  <si>
    <t>Random Scenario 935</t>
  </si>
  <si>
    <t>Random Scenario 936</t>
  </si>
  <si>
    <t>Random Scenario 937</t>
  </si>
  <si>
    <t>Random Scenario 938</t>
  </si>
  <si>
    <t>Random Scenario 939</t>
  </si>
  <si>
    <t>Random Scenario 940</t>
  </si>
  <si>
    <t>Random Scenario 941</t>
  </si>
  <si>
    <t>Random Scenario 942</t>
  </si>
  <si>
    <t>Random Scenario 943</t>
  </si>
  <si>
    <t>Random Scenario 944</t>
  </si>
  <si>
    <t>Random Scenario 945</t>
  </si>
  <si>
    <t>Random Scenario 946</t>
  </si>
  <si>
    <t>Random Scenario 947</t>
  </si>
  <si>
    <t>Random Scenario 948</t>
  </si>
  <si>
    <t>Random Scenario 949</t>
  </si>
  <si>
    <t>Random Scenario 950</t>
  </si>
  <si>
    <t>Random Scenario 951</t>
  </si>
  <si>
    <t>Random Scenario 952</t>
  </si>
  <si>
    <t>Random Scenario 953</t>
  </si>
  <si>
    <t>Random Scenario 954</t>
  </si>
  <si>
    <t>Random Scenario 955</t>
  </si>
  <si>
    <t>Random Scenario 956</t>
  </si>
  <si>
    <t>Random Scenario 957</t>
  </si>
  <si>
    <t>Random Scenario 958</t>
  </si>
  <si>
    <t>Random Scenario 959</t>
  </si>
  <si>
    <t>Random Scenario 960</t>
  </si>
  <si>
    <t>Random Scenario 961</t>
  </si>
  <si>
    <t>Random Scenario 962</t>
  </si>
  <si>
    <t>Random Scenario 963</t>
  </si>
  <si>
    <t>Random Scenario 964</t>
  </si>
  <si>
    <t>Random Scenario 965</t>
  </si>
  <si>
    <t>Random Scenario 966</t>
  </si>
  <si>
    <t>Random Scenario 967</t>
  </si>
  <si>
    <t>Random Scenario 968</t>
  </si>
  <si>
    <t>Random Scenario 969</t>
  </si>
  <si>
    <t>Random Scenario 970</t>
  </si>
  <si>
    <t>Random Scenario 971</t>
  </si>
  <si>
    <t>Random Scenario 972</t>
  </si>
  <si>
    <t>Random Scenario 973</t>
  </si>
  <si>
    <t>Random Scenario 974</t>
  </si>
  <si>
    <t>Random Scenario 975</t>
  </si>
  <si>
    <t>Random Scenario 976</t>
  </si>
  <si>
    <t>Random Scenario 977</t>
  </si>
  <si>
    <t>Random Scenario 978</t>
  </si>
  <si>
    <t>Random Scenario 979</t>
  </si>
  <si>
    <t>Random Scenario 980</t>
  </si>
  <si>
    <t>Random Scenario 981</t>
  </si>
  <si>
    <t>Random Scenario 982</t>
  </si>
  <si>
    <t>Random Scenario 983</t>
  </si>
  <si>
    <t>Random Scenario 984</t>
  </si>
  <si>
    <t>Random Scenario 985</t>
  </si>
  <si>
    <t>Random Scenario 986</t>
  </si>
  <si>
    <t>Random Scenario 987</t>
  </si>
  <si>
    <t>Random Scenario 988</t>
  </si>
  <si>
    <t>Random Scenario 989</t>
  </si>
  <si>
    <t>Random Scenario 990</t>
  </si>
  <si>
    <t>Random Scenario 991</t>
  </si>
  <si>
    <t>Random Scenario 992</t>
  </si>
  <si>
    <t>Random Scenario 993</t>
  </si>
  <si>
    <t>Random Scenario 994</t>
  </si>
  <si>
    <t>Random Scenario 995</t>
  </si>
  <si>
    <t>Random Scenario 996</t>
  </si>
  <si>
    <t>Random Scenario 997</t>
  </si>
  <si>
    <t>Random Scenario 998</t>
  </si>
  <si>
    <t>Random Scenario 999</t>
  </si>
  <si>
    <t>Random Scenario 1000</t>
  </si>
  <si>
    <t>Random Scenario 1001</t>
  </si>
  <si>
    <t>Random Scenario 1002</t>
  </si>
  <si>
    <t>Random Scenario 1003</t>
  </si>
  <si>
    <t>Random Scenario 1004</t>
  </si>
  <si>
    <t>Random Scenario 1005</t>
  </si>
  <si>
    <t>Random Scenario 1006</t>
  </si>
  <si>
    <t>Random Scenario 1007</t>
  </si>
  <si>
    <t>Random Scenario 1008</t>
  </si>
  <si>
    <t>Random Scenario 1009</t>
  </si>
  <si>
    <t>Random Scenario 1010</t>
  </si>
  <si>
    <t>Random Scenario 1011</t>
  </si>
  <si>
    <t>Random Scenario 1012</t>
  </si>
  <si>
    <t>Random Scenario 1013</t>
  </si>
  <si>
    <t>Random Scenario 1014</t>
  </si>
  <si>
    <t>Random Scenario 1015</t>
  </si>
  <si>
    <t>Random Scenario 1016</t>
  </si>
  <si>
    <t>Random Scenario 1017</t>
  </si>
  <si>
    <t>Random Scenario 1018</t>
  </si>
  <si>
    <t>Random Scenario 1019</t>
  </si>
  <si>
    <t>Random Scenario 1020</t>
  </si>
  <si>
    <t>Random Scenario 1021</t>
  </si>
  <si>
    <t>Random Scenario 1022</t>
  </si>
  <si>
    <t>Random Scenario 1023</t>
  </si>
  <si>
    <t>Random Scenario 1024</t>
  </si>
  <si>
    <t>Random Scenario 1025</t>
  </si>
  <si>
    <t>Random Scenario 1026</t>
  </si>
  <si>
    <t>Random Scenario 1027</t>
  </si>
  <si>
    <t>Random Scenario 1028</t>
  </si>
  <si>
    <t>Random Scenario 1029</t>
  </si>
  <si>
    <t>Random Scenario 1030</t>
  </si>
  <si>
    <t>Random Scenario 1031</t>
  </si>
  <si>
    <t>Random Scenario 1032</t>
  </si>
  <si>
    <t>Random Scenario 1033</t>
  </si>
  <si>
    <t>Random Scenario 1034</t>
  </si>
  <si>
    <t>Random Scenario 1035</t>
  </si>
  <si>
    <t>Random Scenario 1036</t>
  </si>
  <si>
    <t>Random Scenario 1037</t>
  </si>
  <si>
    <t>Random Scenario 1038</t>
  </si>
  <si>
    <t>Random Scenario 1039</t>
  </si>
  <si>
    <t>Random Scenario 1040</t>
  </si>
  <si>
    <t>Random Scenario 1041</t>
  </si>
  <si>
    <t>Random Scenario 1042</t>
  </si>
  <si>
    <t>Random Scenario 1043</t>
  </si>
  <si>
    <t>Random Scenario 1044</t>
  </si>
  <si>
    <t>Random Scenario 1045</t>
  </si>
  <si>
    <t>Random Scenario 1046</t>
  </si>
  <si>
    <t>Random Scenario 1047</t>
  </si>
  <si>
    <t>Random Scenario 1048</t>
  </si>
  <si>
    <t>Random Scenario 1049</t>
  </si>
  <si>
    <t>Random Scenario 1050</t>
  </si>
  <si>
    <t>Random Scenario 1051</t>
  </si>
  <si>
    <t>Random Scenario 1052</t>
  </si>
  <si>
    <t>Random Scenario 1053</t>
  </si>
  <si>
    <t>Random Scenario 1054</t>
  </si>
  <si>
    <t>Random Scenario 1055</t>
  </si>
  <si>
    <t>Random Scenario 1056</t>
  </si>
  <si>
    <t>Random Scenario 1057</t>
  </si>
  <si>
    <t>Random Scenario 1058</t>
  </si>
  <si>
    <t>Random Scenario 1059</t>
  </si>
  <si>
    <t>Random Scenario 1060</t>
  </si>
  <si>
    <t>Random Scenario 1061</t>
  </si>
  <si>
    <t>Random Scenario 1062</t>
  </si>
  <si>
    <t>Random Scenario 1063</t>
  </si>
  <si>
    <t>Random Scenario 1064</t>
  </si>
  <si>
    <t>Random Scenario 1065</t>
  </si>
  <si>
    <t>Random Scenario 1066</t>
  </si>
  <si>
    <t>Random Scenario 1067</t>
  </si>
  <si>
    <t>Random Scenario 1068</t>
  </si>
  <si>
    <t>Random Scenario 1069</t>
  </si>
  <si>
    <t>Random Scenario 1070</t>
  </si>
  <si>
    <t>Random Scenario 1071</t>
  </si>
  <si>
    <t>Random Scenario 1072</t>
  </si>
  <si>
    <t>Random Scenario 1073</t>
  </si>
  <si>
    <t>Random Scenario 1074</t>
  </si>
  <si>
    <t>Random Scenario 1075</t>
  </si>
  <si>
    <t>Random Scenario 1076</t>
  </si>
  <si>
    <t>Random Scenario 1077</t>
  </si>
  <si>
    <t>Random Scenario 1078</t>
  </si>
  <si>
    <t>Random Scenario 1079</t>
  </si>
  <si>
    <t>Random Scenario 1080</t>
  </si>
  <si>
    <t>Random Scenario 1081</t>
  </si>
  <si>
    <t>Random Scenario 1082</t>
  </si>
  <si>
    <t>Random Scenario 1083</t>
  </si>
  <si>
    <t>Random Scenario 1084</t>
  </si>
  <si>
    <t>Random Scenario 1085</t>
  </si>
  <si>
    <t>Random Scenario 1086</t>
  </si>
  <si>
    <t>Random Scenario 1087</t>
  </si>
  <si>
    <t>Random Scenario 1088</t>
  </si>
  <si>
    <t>Random Scenario 1089</t>
  </si>
  <si>
    <t>Random Scenario 1090</t>
  </si>
  <si>
    <t>Random Scenario 1091</t>
  </si>
  <si>
    <t>Random Scenario 1092</t>
  </si>
  <si>
    <t>Random Scenario 1093</t>
  </si>
  <si>
    <t>Random Scenario 1094</t>
  </si>
  <si>
    <t>Random Scenario 1095</t>
  </si>
  <si>
    <t>Random Scenario 1096</t>
  </si>
  <si>
    <t>Random Scenario 1097</t>
  </si>
  <si>
    <t>Random Scenario 1098</t>
  </si>
  <si>
    <t>Random Scenario 1099</t>
  </si>
  <si>
    <t>Random Scenario 1100</t>
  </si>
  <si>
    <t>Random Scenario 1101</t>
  </si>
  <si>
    <t>Random Scenario 1102</t>
  </si>
  <si>
    <t>Random Scenario 1103</t>
  </si>
  <si>
    <t>Random Scenario 1104</t>
  </si>
  <si>
    <t>Random Scenario 1105</t>
  </si>
  <si>
    <t>Random Scenario 1106</t>
  </si>
  <si>
    <t>Random Scenario 1107</t>
  </si>
  <si>
    <t>Random Scenario 1108</t>
  </si>
  <si>
    <t>Random Scenario 1109</t>
  </si>
  <si>
    <t>Random Scenario 1110</t>
  </si>
  <si>
    <t>Random Scenario 1111</t>
  </si>
  <si>
    <t>Random Scenario 1112</t>
  </si>
  <si>
    <t>Random Scenario 1113</t>
  </si>
  <si>
    <t>Random Scenario 1114</t>
  </si>
  <si>
    <t>Random Scenario 1115</t>
  </si>
  <si>
    <t>Random Scenario 1116</t>
  </si>
  <si>
    <t>Random Scenario 1117</t>
  </si>
  <si>
    <t>Random Scenario 1118</t>
  </si>
  <si>
    <t>Random Scenario 1119</t>
  </si>
  <si>
    <t>Random Scenario 1120</t>
  </si>
  <si>
    <t>Random Scenario 1121</t>
  </si>
  <si>
    <t>Random Scenario 1122</t>
  </si>
  <si>
    <t>Random Scenario 1123</t>
  </si>
  <si>
    <t>Random Scenario 1124</t>
  </si>
  <si>
    <t>Random Scenario 1125</t>
  </si>
  <si>
    <t>Random Scenario 1126</t>
  </si>
  <si>
    <t>Random Scenario 1127</t>
  </si>
  <si>
    <t>Random Scenario 1128</t>
  </si>
  <si>
    <t>Random Scenario 1129</t>
  </si>
  <si>
    <t>Random Scenario 1130</t>
  </si>
  <si>
    <t>Random Scenario 1131</t>
  </si>
  <si>
    <t>Random Scenario 1132</t>
  </si>
  <si>
    <t>Random Scenario 1133</t>
  </si>
  <si>
    <t>Random Scenario 1134</t>
  </si>
  <si>
    <t>Random Scenario 1135</t>
  </si>
  <si>
    <t>Random Scenario 1136</t>
  </si>
  <si>
    <t>Random Scenario 1137</t>
  </si>
  <si>
    <t>Random Scenario 1138</t>
  </si>
  <si>
    <t>Random Scenario 1139</t>
  </si>
  <si>
    <t>Random Scenario 1140</t>
  </si>
  <si>
    <t>Random Scenario 1141</t>
  </si>
  <si>
    <t>Random Scenario 1142</t>
  </si>
  <si>
    <t>Random Scenario 1143</t>
  </si>
  <si>
    <t>Random Scenario 1144</t>
  </si>
  <si>
    <t>Random Scenario 1145</t>
  </si>
  <si>
    <t>Random Scenario 1146</t>
  </si>
  <si>
    <t>Random Scenario 1147</t>
  </si>
  <si>
    <t>Random Scenario 1148</t>
  </si>
  <si>
    <t>Random Scenario 1149</t>
  </si>
  <si>
    <t>Random Scenario 1150</t>
  </si>
  <si>
    <t>Random Scenario 1151</t>
  </si>
  <si>
    <t>Random Scenario 1152</t>
  </si>
  <si>
    <t>Random Scenario 1153</t>
  </si>
  <si>
    <t>Random Scenario 1154</t>
  </si>
  <si>
    <t>Random Scenario 1155</t>
  </si>
  <si>
    <t>Random Scenario 1156</t>
  </si>
  <si>
    <t>Random Scenario 1157</t>
  </si>
  <si>
    <t>Random Scenario 1158</t>
  </si>
  <si>
    <t>Random Scenario 1159</t>
  </si>
  <si>
    <t>Random Scenario 1160</t>
  </si>
  <si>
    <t>Random Scenario 1161</t>
  </si>
  <si>
    <t>Random Scenario 1162</t>
  </si>
  <si>
    <t>Random Scenario 1163</t>
  </si>
  <si>
    <t>Random Scenario 1164</t>
  </si>
  <si>
    <t>Random Scenario 1165</t>
  </si>
  <si>
    <t>Random Scenario 1166</t>
  </si>
  <si>
    <t>Random Scenario 1167</t>
  </si>
  <si>
    <t>Random Scenario 1168</t>
  </si>
  <si>
    <t>Random Scenario 1169</t>
  </si>
  <si>
    <t>Random Scenario 1170</t>
  </si>
  <si>
    <t>Random Scenario 1171</t>
  </si>
  <si>
    <t>Random Scenario 1172</t>
  </si>
  <si>
    <t>Random Scenario 1173</t>
  </si>
  <si>
    <t>Random Scenario 1174</t>
  </si>
  <si>
    <t>Random Scenario 1175</t>
  </si>
  <si>
    <t>Random Scenario 1176</t>
  </si>
  <si>
    <t>Random Scenario 1177</t>
  </si>
  <si>
    <t>Random Scenario 1178</t>
  </si>
  <si>
    <t>Random Scenario 1179</t>
  </si>
  <si>
    <t>Random Scenario 1180</t>
  </si>
  <si>
    <t>Random Scenario 1181</t>
  </si>
  <si>
    <t>Random Scenario 1182</t>
  </si>
  <si>
    <t>Random Scenario 1183</t>
  </si>
  <si>
    <t>Random Scenario 1184</t>
  </si>
  <si>
    <t>Random Scenario 1185</t>
  </si>
  <si>
    <t>Random Scenario 1186</t>
  </si>
  <si>
    <t>Random Scenario 1187</t>
  </si>
  <si>
    <t>Random Scenario 1188</t>
  </si>
  <si>
    <t>Random Scenario 1189</t>
  </si>
  <si>
    <t>Random Scenario 1190</t>
  </si>
  <si>
    <t>Random Scenario 1191</t>
  </si>
  <si>
    <t>Random Scenario 1192</t>
  </si>
  <si>
    <t>Random Scenario 1193</t>
  </si>
  <si>
    <t>Random Scenario 1194</t>
  </si>
  <si>
    <t>Random Scenario 1195</t>
  </si>
  <si>
    <t>Random Scenario 1196</t>
  </si>
  <si>
    <t>Random Scenario 1197</t>
  </si>
  <si>
    <t>Random Scenario 1198</t>
  </si>
  <si>
    <t>Random Scenario 1199</t>
  </si>
  <si>
    <t>Random Scenario 1200</t>
  </si>
  <si>
    <t>Random Scenario 1201</t>
  </si>
  <si>
    <t>Random Scenario 1202</t>
  </si>
  <si>
    <t>Random Scenario 1203</t>
  </si>
  <si>
    <t>Random Scenario 1204</t>
  </si>
  <si>
    <t>Random Scenario 1205</t>
  </si>
  <si>
    <t>Random Scenario 1206</t>
  </si>
  <si>
    <t>Random Scenario 1207</t>
  </si>
  <si>
    <t>Random Scenario 1208</t>
  </si>
  <si>
    <t>Random Scenario 1209</t>
  </si>
  <si>
    <t>Random Scenario 1210</t>
  </si>
  <si>
    <t>Random Scenario 1211</t>
  </si>
  <si>
    <t>Random Scenario 1212</t>
  </si>
  <si>
    <t>Random Scenario 1213</t>
  </si>
  <si>
    <t>Random Scenario 1214</t>
  </si>
  <si>
    <t>Random Scenario 1215</t>
  </si>
  <si>
    <t>Random Scenario 1216</t>
  </si>
  <si>
    <t>Random Scenario 1217</t>
  </si>
  <si>
    <t>Random Scenario 1218</t>
  </si>
  <si>
    <t>Random Scenario 1219</t>
  </si>
  <si>
    <t>Random Scenario 1220</t>
  </si>
  <si>
    <t>Random Scenario 1221</t>
  </si>
  <si>
    <t>Random Scenario 1222</t>
  </si>
  <si>
    <t>Random Scenario 1223</t>
  </si>
  <si>
    <t>Random Scenario 1224</t>
  </si>
  <si>
    <t>Random Scenario 1225</t>
  </si>
  <si>
    <t>Random Scenario 1226</t>
  </si>
  <si>
    <t>Random Scenario 1227</t>
  </si>
  <si>
    <t>Random Scenario 1228</t>
  </si>
  <si>
    <t>Random Scenario 1229</t>
  </si>
  <si>
    <t>Random Scenario 1230</t>
  </si>
  <si>
    <t>Random Scenario 1231</t>
  </si>
  <si>
    <t>Random Scenario 1232</t>
  </si>
  <si>
    <t>Random Scenario 1233</t>
  </si>
  <si>
    <t>Random Scenario 1234</t>
  </si>
  <si>
    <t>Random Scenario 1235</t>
  </si>
  <si>
    <t>Random Scenario 1236</t>
  </si>
  <si>
    <t>Random Scenario 1237</t>
  </si>
  <si>
    <t>Random Scenario 1238</t>
  </si>
  <si>
    <t>Random Scenario 1239</t>
  </si>
  <si>
    <t>Random Scenario 1240</t>
  </si>
  <si>
    <t>Random Scenario 1241</t>
  </si>
  <si>
    <t>Random Scenario 1242</t>
  </si>
  <si>
    <t>Random Scenario 1243</t>
  </si>
  <si>
    <t>Random Scenario 1244</t>
  </si>
  <si>
    <t>Random Scenario 1245</t>
  </si>
  <si>
    <t>Random Scenario 1246</t>
  </si>
  <si>
    <t>Random Scenario 1247</t>
  </si>
  <si>
    <t>Random Scenario 1248</t>
  </si>
  <si>
    <t>Random Scenario 1249</t>
  </si>
  <si>
    <t>Random Scenario 1250</t>
  </si>
  <si>
    <t>Random Scenario 1251</t>
  </si>
  <si>
    <t>Random Scenario 1252</t>
  </si>
  <si>
    <t>Random Scenario 1253</t>
  </si>
  <si>
    <t>Random Scenario 1254</t>
  </si>
  <si>
    <t>Random Scenario 1255</t>
  </si>
  <si>
    <t>Random Scenario 1256</t>
  </si>
  <si>
    <t>Random Scenario 1257</t>
  </si>
  <si>
    <t>Random Scenario 1258</t>
  </si>
  <si>
    <t>Random Scenario 1259</t>
  </si>
  <si>
    <t>Random Scenario 1260</t>
  </si>
  <si>
    <t>Random Scenario 1261</t>
  </si>
  <si>
    <t>Random Scenario 1262</t>
  </si>
  <si>
    <t>Random Scenario 1263</t>
  </si>
  <si>
    <t>Random Scenario 1264</t>
  </si>
  <si>
    <t>Random Scenario 1265</t>
  </si>
  <si>
    <t>Random Scenario 1266</t>
  </si>
  <si>
    <t>Random Scenario 1267</t>
  </si>
  <si>
    <t>Random Scenario 1268</t>
  </si>
  <si>
    <t>Random Scenario 1269</t>
  </si>
  <si>
    <t>Random Scenario 1270</t>
  </si>
  <si>
    <t>Random Scenario 1271</t>
  </si>
  <si>
    <t>Random Scenario 1272</t>
  </si>
  <si>
    <t>Random Scenario 1273</t>
  </si>
  <si>
    <t>Random Scenario 1274</t>
  </si>
  <si>
    <t>Random Scenario 1275</t>
  </si>
  <si>
    <t>Random Scenario 1276</t>
  </si>
  <si>
    <t>Random Scenario 1277</t>
  </si>
  <si>
    <t>Random Scenario 1278</t>
  </si>
  <si>
    <t>Random Scenario 1279</t>
  </si>
  <si>
    <t>Random Scenario 1280</t>
  </si>
  <si>
    <t>Random Scenario 1281</t>
  </si>
  <si>
    <t>Random Scenario 1282</t>
  </si>
  <si>
    <t>Random Scenario 1283</t>
  </si>
  <si>
    <t>Random Scenario 1284</t>
  </si>
  <si>
    <t>Random Scenario 1285</t>
  </si>
  <si>
    <t>Random Scenario 1286</t>
  </si>
  <si>
    <t>Random Scenario 1287</t>
  </si>
  <si>
    <t>Random Scenario 1288</t>
  </si>
  <si>
    <t>Random Scenario 1289</t>
  </si>
  <si>
    <t>Random Scenario 1290</t>
  </si>
  <si>
    <t>Random Scenario 1291</t>
  </si>
  <si>
    <t>Random Scenario 1292</t>
  </si>
  <si>
    <t>Random Scenario 1293</t>
  </si>
  <si>
    <t>Random Scenario 1294</t>
  </si>
  <si>
    <t>Random Scenario 1295</t>
  </si>
  <si>
    <t>Random Scenario 1296</t>
  </si>
  <si>
    <t>Random Scenario 1297</t>
  </si>
  <si>
    <t>Random Scenario 1298</t>
  </si>
  <si>
    <t>Random Scenario 1299</t>
  </si>
  <si>
    <t>Random Scenario 1300</t>
  </si>
  <si>
    <t>Random Scenario 1301</t>
  </si>
  <si>
    <t>Random Scenario 1302</t>
  </si>
  <si>
    <t>Random Scenario 1303</t>
  </si>
  <si>
    <t>Random Scenario 1304</t>
  </si>
  <si>
    <t>Random Scenario 1305</t>
  </si>
  <si>
    <t>Random Scenario 1306</t>
  </si>
  <si>
    <t>Random Scenario 1307</t>
  </si>
  <si>
    <t>Random Scenario 1308</t>
  </si>
  <si>
    <t>Random Scenario 1309</t>
  </si>
  <si>
    <t>Random Scenario 1310</t>
  </si>
  <si>
    <t>Random Scenario 1311</t>
  </si>
  <si>
    <t>Random Scenario 1312</t>
  </si>
  <si>
    <t>Random Scenario 1313</t>
  </si>
  <si>
    <t>Random Scenario 1314</t>
  </si>
  <si>
    <t>Random Scenario 1315</t>
  </si>
  <si>
    <t>Random Scenario 1316</t>
  </si>
  <si>
    <t>Random Scenario 1317</t>
  </si>
  <si>
    <t>Random Scenario 1318</t>
  </si>
  <si>
    <t>Random Scenario 1319</t>
  </si>
  <si>
    <t>Random Scenario 1320</t>
  </si>
  <si>
    <t>Random Scenario 1321</t>
  </si>
  <si>
    <t>Random Scenario 1322</t>
  </si>
  <si>
    <t>Random Scenario 1323</t>
  </si>
  <si>
    <t>Random Scenario 1324</t>
  </si>
  <si>
    <t>Random Scenario 1325</t>
  </si>
  <si>
    <t>Random Scenario 1326</t>
  </si>
  <si>
    <t>Random Scenario 1327</t>
  </si>
  <si>
    <t>Random Scenario 1328</t>
  </si>
  <si>
    <t>Random Scenario 1329</t>
  </si>
  <si>
    <t>Random Scenario 1330</t>
  </si>
  <si>
    <t>Random Scenario 1331</t>
  </si>
  <si>
    <t>Random Scenario 1332</t>
  </si>
  <si>
    <t>Random Scenario 1333</t>
  </si>
  <si>
    <t>Random Scenario 1334</t>
  </si>
  <si>
    <t>Random Scenario 1335</t>
  </si>
  <si>
    <t>Random Scenario 1336</t>
  </si>
  <si>
    <t>Random Scenario 1337</t>
  </si>
  <si>
    <t>Random Scenario 1338</t>
  </si>
  <si>
    <t>Random Scenario 1339</t>
  </si>
  <si>
    <t>Random Scenario 1340</t>
  </si>
  <si>
    <t>Random Scenario 1341</t>
  </si>
  <si>
    <t>Random Scenario 1342</t>
  </si>
  <si>
    <t>Random Scenario 1343</t>
  </si>
  <si>
    <t>Random Scenario 1344</t>
  </si>
  <si>
    <t>Random Scenario 1345</t>
  </si>
  <si>
    <t>Random Scenario 1346</t>
  </si>
  <si>
    <t>Random Scenario 1347</t>
  </si>
  <si>
    <t>Random Scenario 1348</t>
  </si>
  <si>
    <t>Random Scenario 1349</t>
  </si>
  <si>
    <t>Random Scenario 1350</t>
  </si>
  <si>
    <t>Random Scenario 1351</t>
  </si>
  <si>
    <t>Random Scenario 1352</t>
  </si>
  <si>
    <t>Random Scenario 1353</t>
  </si>
  <si>
    <t>Random Scenario 1354</t>
  </si>
  <si>
    <t>Random Scenario 1355</t>
  </si>
  <si>
    <t>Random Scenario 1356</t>
  </si>
  <si>
    <t>Random Scenario 1357</t>
  </si>
  <si>
    <t>Random Scenario 1358</t>
  </si>
  <si>
    <t>Random Scenario 1359</t>
  </si>
  <si>
    <t>Random Scenario 1360</t>
  </si>
  <si>
    <t>Random Scenario 1361</t>
  </si>
  <si>
    <t>Random Scenario 1362</t>
  </si>
  <si>
    <t>Random Scenario 1363</t>
  </si>
  <si>
    <t>Random Scenario 1364</t>
  </si>
  <si>
    <t>Random Scenario 1365</t>
  </si>
  <si>
    <t>Random Scenario 1366</t>
  </si>
  <si>
    <t>Random Scenario 1367</t>
  </si>
  <si>
    <t>Random Scenario 1368</t>
  </si>
  <si>
    <t>Random Scenario 1369</t>
  </si>
  <si>
    <t>Random Scenario 1370</t>
  </si>
  <si>
    <t>Random Scenario 1371</t>
  </si>
  <si>
    <t>Random Scenario 1372</t>
  </si>
  <si>
    <t>Random Scenario 1373</t>
  </si>
  <si>
    <t>Random Scenario 1374</t>
  </si>
  <si>
    <t>Random Scenario 1375</t>
  </si>
  <si>
    <t>Random Scenario 1376</t>
  </si>
  <si>
    <t>Random Scenario 1377</t>
  </si>
  <si>
    <t>Random Scenario 1378</t>
  </si>
  <si>
    <t>Random Scenario 1379</t>
  </si>
  <si>
    <t>Random Scenario 1380</t>
  </si>
  <si>
    <t>Random Scenario 1381</t>
  </si>
  <si>
    <t>Random Scenario 1382</t>
  </si>
  <si>
    <t>Random Scenario 1383</t>
  </si>
  <si>
    <t>Random Scenario 1384</t>
  </si>
  <si>
    <t>Random Scenario 1385</t>
  </si>
  <si>
    <t>Random Scenario 1386</t>
  </si>
  <si>
    <t>Random Scenario 1387</t>
  </si>
  <si>
    <t>Random Scenario 1388</t>
  </si>
  <si>
    <t>Random Scenario 1389</t>
  </si>
  <si>
    <t>Random Scenario 1390</t>
  </si>
  <si>
    <t>Random Scenario 1391</t>
  </si>
  <si>
    <t>Random Scenario 1392</t>
  </si>
  <si>
    <t>Random Scenario 1393</t>
  </si>
  <si>
    <t>Random Scenario 1394</t>
  </si>
  <si>
    <t>Random Scenario 1395</t>
  </si>
  <si>
    <t>Random Scenario 1396</t>
  </si>
  <si>
    <t>Random Scenario 1397</t>
  </si>
  <si>
    <t>Random Scenario 1398</t>
  </si>
  <si>
    <t>Random Scenario 1399</t>
  </si>
  <si>
    <t>Random Scenario 1400</t>
  </si>
  <si>
    <t>Random Scenario 1401</t>
  </si>
  <si>
    <t>Random Scenario 1402</t>
  </si>
  <si>
    <t>Random Scenario 1403</t>
  </si>
  <si>
    <t>Random Scenario 1404</t>
  </si>
  <si>
    <t>Random Scenario 1405</t>
  </si>
  <si>
    <t>Random Scenario 1406</t>
  </si>
  <si>
    <t>Random Scenario 1407</t>
  </si>
  <si>
    <t>Random Scenario 1408</t>
  </si>
  <si>
    <t>Random Scenario 1409</t>
  </si>
  <si>
    <t>Random Scenario 1410</t>
  </si>
  <si>
    <t>Random Scenario 1411</t>
  </si>
  <si>
    <t>Random Scenario 1412</t>
  </si>
  <si>
    <t>Random Scenario 1413</t>
  </si>
  <si>
    <t>Random Scenario 1414</t>
  </si>
  <si>
    <t>Random Scenario 1415</t>
  </si>
  <si>
    <t>Random Scenario 1416</t>
  </si>
  <si>
    <t>Random Scenario 1417</t>
  </si>
  <si>
    <t>Random Scenario 1418</t>
  </si>
  <si>
    <t>Random Scenario 1419</t>
  </si>
  <si>
    <t>Random Scenario 1420</t>
  </si>
  <si>
    <t>Random Scenario 1421</t>
  </si>
  <si>
    <t>Random Scenario 1422</t>
  </si>
  <si>
    <t>Random Scenario 1423</t>
  </si>
  <si>
    <t>Random Scenario 1424</t>
  </si>
  <si>
    <t>Random Scenario 1425</t>
  </si>
  <si>
    <t>Random Scenario 1426</t>
  </si>
  <si>
    <t>Random Scenario 1427</t>
  </si>
  <si>
    <t>Random Scenario 1428</t>
  </si>
  <si>
    <t>Random Scenario 1429</t>
  </si>
  <si>
    <t>Random Scenario 1430</t>
  </si>
  <si>
    <t>Random Scenario 1431</t>
  </si>
  <si>
    <t>Random Scenario 1432</t>
  </si>
  <si>
    <t>Random Scenario 1433</t>
  </si>
  <si>
    <t>Random Scenario 1434</t>
  </si>
  <si>
    <t>Random Scenario 1435</t>
  </si>
  <si>
    <t>Random Scenario 1436</t>
  </si>
  <si>
    <t>Random Scenario 1437</t>
  </si>
  <si>
    <t>Random Scenario 1438</t>
  </si>
  <si>
    <t>Random Scenario 1439</t>
  </si>
  <si>
    <t>Random Scenario 1440</t>
  </si>
  <si>
    <t>Random Scenario 1441</t>
  </si>
  <si>
    <t>Random Scenario 1442</t>
  </si>
  <si>
    <t>Random Scenario 1443</t>
  </si>
  <si>
    <t>Random Scenario 1444</t>
  </si>
  <si>
    <t>Random Scenario 1445</t>
  </si>
  <si>
    <t>Random Scenario 1446</t>
  </si>
  <si>
    <t>Random Scenario 1447</t>
  </si>
  <si>
    <t>Random Scenario 1448</t>
  </si>
  <si>
    <t>Random Scenario 1449</t>
  </si>
  <si>
    <t>Random Scenario 1450</t>
  </si>
  <si>
    <t>Random Scenario 1451</t>
  </si>
  <si>
    <t>Random Scenario 1452</t>
  </si>
  <si>
    <t>Random Scenario 1453</t>
  </si>
  <si>
    <t>Random Scenario 1454</t>
  </si>
  <si>
    <t>Random Scenario 1455</t>
  </si>
  <si>
    <t>Random Scenario 1456</t>
  </si>
  <si>
    <t>Random Scenario 1457</t>
  </si>
  <si>
    <t>Random Scenario 1458</t>
  </si>
  <si>
    <t>Random Scenario 1459</t>
  </si>
  <si>
    <t>Random Scenario 1460</t>
  </si>
  <si>
    <t>Random Scenario 1461</t>
  </si>
  <si>
    <t>Random Scenario 1462</t>
  </si>
  <si>
    <t>Random Scenario 1463</t>
  </si>
  <si>
    <t>Random Scenario 1464</t>
  </si>
  <si>
    <t>Random Scenario 1465</t>
  </si>
  <si>
    <t>Random Scenario 1466</t>
  </si>
  <si>
    <t>Random Scenario 1467</t>
  </si>
  <si>
    <t>Random Scenario 1468</t>
  </si>
  <si>
    <t>Random Scenario 1469</t>
  </si>
  <si>
    <t>Random Scenario 1470</t>
  </si>
  <si>
    <t>Random Scenario 1471</t>
  </si>
  <si>
    <t>Random Scenario 1472</t>
  </si>
  <si>
    <t>Random Scenario 1473</t>
  </si>
  <si>
    <t>Random Scenario 1474</t>
  </si>
  <si>
    <t>Random Scenario 1475</t>
  </si>
  <si>
    <t>Random Scenario 1476</t>
  </si>
  <si>
    <t>Random Scenario 1477</t>
  </si>
  <si>
    <t>Random Scenario 1478</t>
  </si>
  <si>
    <t>Random Scenario 1479</t>
  </si>
  <si>
    <t>Random Scenario 1480</t>
  </si>
  <si>
    <t>Random Scenario 1481</t>
  </si>
  <si>
    <t>Random Scenario 1482</t>
  </si>
  <si>
    <t>Random Scenario 1483</t>
  </si>
  <si>
    <t>Random Scenario 1484</t>
  </si>
  <si>
    <t>Random Scenario 1485</t>
  </si>
  <si>
    <t>Random Scenario 1486</t>
  </si>
  <si>
    <t>Random Scenario 1487</t>
  </si>
  <si>
    <t>Random Scenario 1488</t>
  </si>
  <si>
    <t>Random Scenario 1489</t>
  </si>
  <si>
    <t>Random Scenario 1490</t>
  </si>
  <si>
    <t>Random Scenario 1491</t>
  </si>
  <si>
    <t>Random Scenario 1492</t>
  </si>
  <si>
    <t>Random Scenario 1493</t>
  </si>
  <si>
    <t>Random Scenario 1494</t>
  </si>
  <si>
    <t>Random Scenario 1495</t>
  </si>
  <si>
    <t>Random Scenario 1496</t>
  </si>
  <si>
    <t>Random Scenario 1497</t>
  </si>
  <si>
    <t>Random Scenario 1498</t>
  </si>
  <si>
    <t>Random Scenario 1499</t>
  </si>
  <si>
    <t>Random Scenario 1500</t>
  </si>
  <si>
    <t>Random Scenario 1501</t>
  </si>
  <si>
    <t>Random Scenario 1502</t>
  </si>
  <si>
    <t>Random Scenario 1503</t>
  </si>
  <si>
    <t>Random Scenario 1504</t>
  </si>
  <si>
    <t>Random Scenario 1505</t>
  </si>
  <si>
    <t>Random Scenario 1506</t>
  </si>
  <si>
    <t>Random Scenario 1507</t>
  </si>
  <si>
    <t>Random Scenario 1508</t>
  </si>
  <si>
    <t>Random Scenario 1509</t>
  </si>
  <si>
    <t>Random Scenario 1510</t>
  </si>
  <si>
    <t>Random Scenario 1511</t>
  </si>
  <si>
    <t>Random Scenario 1512</t>
  </si>
  <si>
    <t>Random Scenario 1513</t>
  </si>
  <si>
    <t>Random Scenario 1514</t>
  </si>
  <si>
    <t>Random Scenario 1515</t>
  </si>
  <si>
    <t>Random Scenario 1516</t>
  </si>
  <si>
    <t>Random Scenario 1517</t>
  </si>
  <si>
    <t>Random Scenario 1518</t>
  </si>
  <si>
    <t>Random Scenario 1519</t>
  </si>
  <si>
    <t>Random Scenario 1520</t>
  </si>
  <si>
    <t>Random Scenario 1521</t>
  </si>
  <si>
    <t>Random Scenario 1522</t>
  </si>
  <si>
    <t>Random Scenario 1523</t>
  </si>
  <si>
    <t>Random Scenario 1524</t>
  </si>
  <si>
    <t>Random Scenario 1525</t>
  </si>
  <si>
    <t>Random Scenario 1526</t>
  </si>
  <si>
    <t>Random Scenario 1527</t>
  </si>
  <si>
    <t>Random Scenario 1528</t>
  </si>
  <si>
    <t>Random Scenario 1529</t>
  </si>
  <si>
    <t>Random Scenario 1530</t>
  </si>
  <si>
    <t>Random Scenario 1531</t>
  </si>
  <si>
    <t>Random Scenario 1532</t>
  </si>
  <si>
    <t>Random Scenario 1533</t>
  </si>
  <si>
    <t>Random Scenario 1534</t>
  </si>
  <si>
    <t>Random Scenario 1535</t>
  </si>
  <si>
    <t>Random Scenario 1536</t>
  </si>
  <si>
    <t>Random Scenario 1537</t>
  </si>
  <si>
    <t>Random Scenario 1538</t>
  </si>
  <si>
    <t>Random Scenario 1539</t>
  </si>
  <si>
    <t>Random Scenario 1540</t>
  </si>
  <si>
    <t>Random Scenario 1541</t>
  </si>
  <si>
    <t>Random Scenario 1542</t>
  </si>
  <si>
    <t>Random Scenario 1543</t>
  </si>
  <si>
    <t>Random Scenario 1544</t>
  </si>
  <si>
    <t>Random Scenario 1545</t>
  </si>
  <si>
    <t>Random Scenario 1546</t>
  </si>
  <si>
    <t>Random Scenario 1547</t>
  </si>
  <si>
    <t>Random Scenario 1548</t>
  </si>
  <si>
    <t>Random Scenario 1549</t>
  </si>
  <si>
    <t>Random Scenario 1550</t>
  </si>
  <si>
    <t>Random Scenario 1551</t>
  </si>
  <si>
    <t>Random Scenario 1552</t>
  </si>
  <si>
    <t>Random Scenario 1553</t>
  </si>
  <si>
    <t>Random Scenario 1554</t>
  </si>
  <si>
    <t>Random Scenario 1555</t>
  </si>
  <si>
    <t>Random Scenario 1556</t>
  </si>
  <si>
    <t>Random Scenario 1557</t>
  </si>
  <si>
    <t>Random Scenario 1558</t>
  </si>
  <si>
    <t>Random Scenario 1559</t>
  </si>
  <si>
    <t>Random Scenario 1560</t>
  </si>
  <si>
    <t>Random Scenario 1561</t>
  </si>
  <si>
    <t>Random Scenario 1562</t>
  </si>
  <si>
    <t>Random Scenario 1563</t>
  </si>
  <si>
    <t>Random Scenario 1564</t>
  </si>
  <si>
    <t>Random Scenario 1565</t>
  </si>
  <si>
    <t>Random Scenario 1566</t>
  </si>
  <si>
    <t>Random Scenario 1567</t>
  </si>
  <si>
    <t>Random Scenario 1568</t>
  </si>
  <si>
    <t>Random Scenario 1569</t>
  </si>
  <si>
    <t>Random Scenario 1570</t>
  </si>
  <si>
    <t>Random Scenario 1571</t>
  </si>
  <si>
    <t>Random Scenario 1572</t>
  </si>
  <si>
    <t>Random Scenario 1573</t>
  </si>
  <si>
    <t>Random Scenario 1574</t>
  </si>
  <si>
    <t>Random Scenario 1575</t>
  </si>
  <si>
    <t>Random Scenario 1576</t>
  </si>
  <si>
    <t>Random Scenario 1577</t>
  </si>
  <si>
    <t>Random Scenario 1578</t>
  </si>
  <si>
    <t>Random Scenario 1579</t>
  </si>
  <si>
    <t>Random Scenario 1580</t>
  </si>
  <si>
    <t>Random Scenario 1581</t>
  </si>
  <si>
    <t>Random Scenario 1582</t>
  </si>
  <si>
    <t>Random Scenario 1583</t>
  </si>
  <si>
    <t>Random Scenario 1584</t>
  </si>
  <si>
    <t>Random Scenario 1585</t>
  </si>
  <si>
    <t>Random Scenario 1586</t>
  </si>
  <si>
    <t>Random Scenario 1587</t>
  </si>
  <si>
    <t>Random Scenario 1588</t>
  </si>
  <si>
    <t>Random Scenario 1589</t>
  </si>
  <si>
    <t>Random Scenario 1590</t>
  </si>
  <si>
    <t>Random Scenario 1591</t>
  </si>
  <si>
    <t>Random Scenario 1592</t>
  </si>
  <si>
    <t>Random Scenario 1593</t>
  </si>
  <si>
    <t>Random Scenario 1594</t>
  </si>
  <si>
    <t>Random Scenario 1595</t>
  </si>
  <si>
    <t>Random Scenario 1596</t>
  </si>
  <si>
    <t>Random Scenario 1597</t>
  </si>
  <si>
    <t>Random Scenario 1598</t>
  </si>
  <si>
    <t>Random Scenario 1599</t>
  </si>
  <si>
    <t>Random Scenario 1600</t>
  </si>
  <si>
    <t>Random Scenario 1601</t>
  </si>
  <si>
    <t>Random Scenario 1602</t>
  </si>
  <si>
    <t>Random Scenario 1603</t>
  </si>
  <si>
    <t>Random Scenario 1604</t>
  </si>
  <si>
    <t>Random Scenario 1605</t>
  </si>
  <si>
    <t>Random Scenario 1606</t>
  </si>
  <si>
    <t>Random Scenario 1607</t>
  </si>
  <si>
    <t>Random Scenario 1608</t>
  </si>
  <si>
    <t>Random Scenario 1609</t>
  </si>
  <si>
    <t>Random Scenario 1610</t>
  </si>
  <si>
    <t>Random Scenario 1611</t>
  </si>
  <si>
    <t>Random Scenario 1612</t>
  </si>
  <si>
    <t>Random Scenario 1613</t>
  </si>
  <si>
    <t>Random Scenario 1614</t>
  </si>
  <si>
    <t>Random Scenario 1615</t>
  </si>
  <si>
    <t>Random Scenario 1616</t>
  </si>
  <si>
    <t>Random Scenario 1617</t>
  </si>
  <si>
    <t>Random Scenario 1618</t>
  </si>
  <si>
    <t>Random Scenario 1619</t>
  </si>
  <si>
    <t>Random Scenario 1620</t>
  </si>
  <si>
    <t>Random Scenario 1621</t>
  </si>
  <si>
    <t>Random Scenario 1622</t>
  </si>
  <si>
    <t>Random Scenario 1623</t>
  </si>
  <si>
    <t>Random Scenario 1624</t>
  </si>
  <si>
    <t>Random Scenario 1625</t>
  </si>
  <si>
    <t>Random Scenario 1626</t>
  </si>
  <si>
    <t>Random Scenario 1627</t>
  </si>
  <si>
    <t>Random Scenario 1628</t>
  </si>
  <si>
    <t>Random Scenario 1629</t>
  </si>
  <si>
    <t>Random Scenario 1630</t>
  </si>
  <si>
    <t>Random Scenario 1631</t>
  </si>
  <si>
    <t>Random Scenario 1632</t>
  </si>
  <si>
    <t>Random Scenario 1633</t>
  </si>
  <si>
    <t>Random Scenario 1634</t>
  </si>
  <si>
    <t>Random Scenario 1635</t>
  </si>
  <si>
    <t>Random Scenario 1636</t>
  </si>
  <si>
    <t>Random Scenario 1637</t>
  </si>
  <si>
    <t>Random Scenario 1638</t>
  </si>
  <si>
    <t>Random Scenario 1639</t>
  </si>
  <si>
    <t>Random Scenario 1640</t>
  </si>
  <si>
    <t>Random Scenario 1641</t>
  </si>
  <si>
    <t>Random Scenario 1642</t>
  </si>
  <si>
    <t>Random Scenario 1643</t>
  </si>
  <si>
    <t>Random Scenario 1644</t>
  </si>
  <si>
    <t>Random Scenario 1645</t>
  </si>
  <si>
    <t>Random Scenario 1646</t>
  </si>
  <si>
    <t>Random Scenario 1647</t>
  </si>
  <si>
    <t>Random Scenario 1648</t>
  </si>
  <si>
    <t>Random Scenario 1649</t>
  </si>
  <si>
    <t>Random Scenario 1650</t>
  </si>
  <si>
    <t>Random Scenario 1651</t>
  </si>
  <si>
    <t>Random Scenario 1652</t>
  </si>
  <si>
    <t>Random Scenario 1653</t>
  </si>
  <si>
    <t>Random Scenario 1654</t>
  </si>
  <si>
    <t>Random Scenario 1655</t>
  </si>
  <si>
    <t>Random Scenario 1656</t>
  </si>
  <si>
    <t>Random Scenario 1657</t>
  </si>
  <si>
    <t>Random Scenario 1658</t>
  </si>
  <si>
    <t>Random Scenario 1659</t>
  </si>
  <si>
    <t>Random Scenario 1660</t>
  </si>
  <si>
    <t>Random Scenario 1661</t>
  </si>
  <si>
    <t>Random Scenario 1662</t>
  </si>
  <si>
    <t>Random Scenario 1663</t>
  </si>
  <si>
    <t>Random Scenario 1664</t>
  </si>
  <si>
    <t>Random Scenario 1665</t>
  </si>
  <si>
    <t>Random Scenario 1666</t>
  </si>
  <si>
    <t>Random Scenario 1667</t>
  </si>
  <si>
    <t>Random Scenario 1668</t>
  </si>
  <si>
    <t>Random Scenario 1669</t>
  </si>
  <si>
    <t>Random Scenario 1670</t>
  </si>
  <si>
    <t>Random Scenario 1671</t>
  </si>
  <si>
    <t>Random Scenario 1672</t>
  </si>
  <si>
    <t>Random Scenario 1673</t>
  </si>
  <si>
    <t>Random Scenario 1674</t>
  </si>
  <si>
    <t>Random Scenario 1675</t>
  </si>
  <si>
    <t>Random Scenario 1676</t>
  </si>
  <si>
    <t>Random Scenario 1677</t>
  </si>
  <si>
    <t>Random Scenario 1678</t>
  </si>
  <si>
    <t>Random Scenario 1679</t>
  </si>
  <si>
    <t>Random Scenario 1680</t>
  </si>
  <si>
    <t>Random Scenario 1681</t>
  </si>
  <si>
    <t>Random Scenario 1682</t>
  </si>
  <si>
    <t>Random Scenario 1683</t>
  </si>
  <si>
    <t>Random Scenario 1684</t>
  </si>
  <si>
    <t>Random Scenario 1685</t>
  </si>
  <si>
    <t>Random Scenario 1686</t>
  </si>
  <si>
    <t>Random Scenario 1687</t>
  </si>
  <si>
    <t>Random Scenario 1688</t>
  </si>
  <si>
    <t>Random Scenario 1689</t>
  </si>
  <si>
    <t>Random Scenario 1690</t>
  </si>
  <si>
    <t>Random Scenario 1691</t>
  </si>
  <si>
    <t>Random Scenario 1692</t>
  </si>
  <si>
    <t>Random Scenario 1693</t>
  </si>
  <si>
    <t>Random Scenario 1694</t>
  </si>
  <si>
    <t>Random Scenario 1695</t>
  </si>
  <si>
    <t>Random Scenario 1696</t>
  </si>
  <si>
    <t>Random Scenario 1697</t>
  </si>
  <si>
    <t>Random Scenario 1698</t>
  </si>
  <si>
    <t>Random Scenario 1699</t>
  </si>
  <si>
    <t>Random Scenario 1700</t>
  </si>
  <si>
    <t>Random Scenario 1701</t>
  </si>
  <si>
    <t>Random Scenario 1702</t>
  </si>
  <si>
    <t>Random Scenario 1703</t>
  </si>
  <si>
    <t>Random Scenario 1704</t>
  </si>
  <si>
    <t>Random Scenario 1705</t>
  </si>
  <si>
    <t>Random Scenario 1706</t>
  </si>
  <si>
    <t>Random Scenario 1707</t>
  </si>
  <si>
    <t>Random Scenario 1708</t>
  </si>
  <si>
    <t>Random Scenario 1709</t>
  </si>
  <si>
    <t>Random Scenario 1710</t>
  </si>
  <si>
    <t>Random Scenario 1711</t>
  </si>
  <si>
    <t>Random Scenario 1712</t>
  </si>
  <si>
    <t>Random Scenario 1713</t>
  </si>
  <si>
    <t>Random Scenario 1714</t>
  </si>
  <si>
    <t>Random Scenario 1715</t>
  </si>
  <si>
    <t>Random Scenario 1716</t>
  </si>
  <si>
    <t>Random Scenario 1717</t>
  </si>
  <si>
    <t>Random Scenario 1718</t>
  </si>
  <si>
    <t>Random Scenario 1719</t>
  </si>
  <si>
    <t>Random Scenario 1720</t>
  </si>
  <si>
    <t>Random Scenario 1721</t>
  </si>
  <si>
    <t>Random Scenario 1722</t>
  </si>
  <si>
    <t>Random Scenario 1723</t>
  </si>
  <si>
    <t>Random Scenario 1724</t>
  </si>
  <si>
    <t>Random Scenario 1725</t>
  </si>
  <si>
    <t>Random Scenario 1726</t>
  </si>
  <si>
    <t>Random Scenario 1727</t>
  </si>
  <si>
    <t>Random Scenario 1728</t>
  </si>
  <si>
    <t>Random Scenario 1729</t>
  </si>
  <si>
    <t>Random Scenario 1730</t>
  </si>
  <si>
    <t>Random Scenario 1731</t>
  </si>
  <si>
    <t>Random Scenario 1732</t>
  </si>
  <si>
    <t>Random Scenario 1733</t>
  </si>
  <si>
    <t>Random Scenario 1734</t>
  </si>
  <si>
    <t>Random Scenario 1735</t>
  </si>
  <si>
    <t>Random Scenario 1736</t>
  </si>
  <si>
    <t>Random Scenario 1737</t>
  </si>
  <si>
    <t>Random Scenario 1738</t>
  </si>
  <si>
    <t>Random Scenario 1739</t>
  </si>
  <si>
    <t>Random Scenario 1740</t>
  </si>
  <si>
    <t>Random Scenario 1741</t>
  </si>
  <si>
    <t>Random Scenario 1742</t>
  </si>
  <si>
    <t>Random Scenario 1743</t>
  </si>
  <si>
    <t>Random Scenario 1744</t>
  </si>
  <si>
    <t>Random Scenario 1745</t>
  </si>
  <si>
    <t>Random Scenario 1746</t>
  </si>
  <si>
    <t>Random Scenario 1747</t>
  </si>
  <si>
    <t>Random Scenario 1748</t>
  </si>
  <si>
    <t>Random Scenario 1749</t>
  </si>
  <si>
    <t>Random Scenario 1750</t>
  </si>
  <si>
    <t>Random Scenario 1751</t>
  </si>
  <si>
    <t>Random Scenario 1752</t>
  </si>
  <si>
    <t>Random Scenario 1753</t>
  </si>
  <si>
    <t>Random Scenario 1754</t>
  </si>
  <si>
    <t>Random Scenario 1755</t>
  </si>
  <si>
    <t>Random Scenario 1756</t>
  </si>
  <si>
    <t>Random Scenario 1757</t>
  </si>
  <si>
    <t>Random Scenario 1758</t>
  </si>
  <si>
    <t>Random Scenario 1759</t>
  </si>
  <si>
    <t>Random Scenario 1760</t>
  </si>
  <si>
    <t>Random Scenario 1761</t>
  </si>
  <si>
    <t>Random Scenario 1762</t>
  </si>
  <si>
    <t>Random Scenario 1763</t>
  </si>
  <si>
    <t>Random Scenario 1764</t>
  </si>
  <si>
    <t>Random Scenario 1765</t>
  </si>
  <si>
    <t>Random Scenario 1766</t>
  </si>
  <si>
    <t>Random Scenario 1767</t>
  </si>
  <si>
    <t>Random Scenario 1768</t>
  </si>
  <si>
    <t>Random Scenario 1769</t>
  </si>
  <si>
    <t>Random Scenario 1770</t>
  </si>
  <si>
    <t>Random Scenario 1771</t>
  </si>
  <si>
    <t>Random Scenario 1772</t>
  </si>
  <si>
    <t>Random Scenario 1773</t>
  </si>
  <si>
    <t>Random Scenario 1774</t>
  </si>
  <si>
    <t>Random Scenario 1775</t>
  </si>
  <si>
    <t>Random Scenario 1776</t>
  </si>
  <si>
    <t>Random Scenario 1777</t>
  </si>
  <si>
    <t>Random Scenario 1778</t>
  </si>
  <si>
    <t>Random Scenario 1779</t>
  </si>
  <si>
    <t>Random Scenario 1780</t>
  </si>
  <si>
    <t>Random Scenario 1781</t>
  </si>
  <si>
    <t>Random Scenario 1782</t>
  </si>
  <si>
    <t>Random Scenario 1783</t>
  </si>
  <si>
    <t>Random Scenario 1784</t>
  </si>
  <si>
    <t>Random Scenario 1785</t>
  </si>
  <si>
    <t>Random Scenario 1786</t>
  </si>
  <si>
    <t>Random Scenario 1787</t>
  </si>
  <si>
    <t>Random Scenario 1788</t>
  </si>
  <si>
    <t>Random Scenario 1789</t>
  </si>
  <si>
    <t>Random Scenario 1790</t>
  </si>
  <si>
    <t>Random Scenario 1791</t>
  </si>
  <si>
    <t>Random Scenario 1792</t>
  </si>
  <si>
    <t>Random Scenario 1793</t>
  </si>
  <si>
    <t>Random Scenario 1794</t>
  </si>
  <si>
    <t>Random Scenario 1795</t>
  </si>
  <si>
    <t>Random Scenario 1796</t>
  </si>
  <si>
    <t>Random Scenario 1797</t>
  </si>
  <si>
    <t>Random Scenario 1798</t>
  </si>
  <si>
    <t>Random Scenario 1799</t>
  </si>
  <si>
    <t>Random Scenario 1800</t>
  </si>
  <si>
    <t>Random Scenario 1801</t>
  </si>
  <si>
    <t>Random Scenario 1802</t>
  </si>
  <si>
    <t>Random Scenario 1803</t>
  </si>
  <si>
    <t>Random Scenario 1804</t>
  </si>
  <si>
    <t>Random Scenario 1805</t>
  </si>
  <si>
    <t>Random Scenario 1806</t>
  </si>
  <si>
    <t>Random Scenario 1807</t>
  </si>
  <si>
    <t>Random Scenario 1808</t>
  </si>
  <si>
    <t>Random Scenario 1809</t>
  </si>
  <si>
    <t>Random Scenario 1810</t>
  </si>
  <si>
    <t>Random Scenario 1811</t>
  </si>
  <si>
    <t>Random Scenario 1812</t>
  </si>
  <si>
    <t>Random Scenario 1813</t>
  </si>
  <si>
    <t>Random Scenario 1814</t>
  </si>
  <si>
    <t>Random Scenario 1815</t>
  </si>
  <si>
    <t>Random Scenario 1816</t>
  </si>
  <si>
    <t>Random Scenario 1817</t>
  </si>
  <si>
    <t>Random Scenario 1818</t>
  </si>
  <si>
    <t>Random Scenario 1819</t>
  </si>
  <si>
    <t>Random Scenario 1820</t>
  </si>
  <si>
    <t>Random Scenario 1821</t>
  </si>
  <si>
    <t>Random Scenario 1822</t>
  </si>
  <si>
    <t>Random Scenario 1823</t>
  </si>
  <si>
    <t>Random Scenario 1824</t>
  </si>
  <si>
    <t>Random Scenario 1825</t>
  </si>
  <si>
    <t>Random Scenario 1826</t>
  </si>
  <si>
    <t>Random Scenario 1827</t>
  </si>
  <si>
    <t>Random Scenario 1828</t>
  </si>
  <si>
    <t>Random Scenario 1829</t>
  </si>
  <si>
    <t>Random Scenario 1830</t>
  </si>
  <si>
    <t>Random Scenario 1831</t>
  </si>
  <si>
    <t>Random Scenario 1832</t>
  </si>
  <si>
    <t>Random Scenario 1833</t>
  </si>
  <si>
    <t>Random Scenario 1834</t>
  </si>
  <si>
    <t>Random Scenario 1835</t>
  </si>
  <si>
    <t>Random Scenario 1836</t>
  </si>
  <si>
    <t>Random Scenario 1837</t>
  </si>
  <si>
    <t>Random Scenario 1838</t>
  </si>
  <si>
    <t>Random Scenario 1839</t>
  </si>
  <si>
    <t>Random Scenario 1840</t>
  </si>
  <si>
    <t>Random Scenario 1841</t>
  </si>
  <si>
    <t>Random Scenario 1842</t>
  </si>
  <si>
    <t>Random Scenario 1843</t>
  </si>
  <si>
    <t>Random Scenario 1844</t>
  </si>
  <si>
    <t>Random Scenario 1845</t>
  </si>
  <si>
    <t>Random Scenario 1846</t>
  </si>
  <si>
    <t>Random Scenario 1847</t>
  </si>
  <si>
    <t>Random Scenario 1848</t>
  </si>
  <si>
    <t>Random Scenario 1849</t>
  </si>
  <si>
    <t>Random Scenario 1850</t>
  </si>
  <si>
    <t>Random Scenario 1851</t>
  </si>
  <si>
    <t>Random Scenario 1852</t>
  </si>
  <si>
    <t>Random Scenario 1853</t>
  </si>
  <si>
    <t>Random Scenario 1854</t>
  </si>
  <si>
    <t>Random Scenario 1855</t>
  </si>
  <si>
    <t>Random Scenario 1856</t>
  </si>
  <si>
    <t>Random Scenario 1857</t>
  </si>
  <si>
    <t>Random Scenario 1858</t>
  </si>
  <si>
    <t>Random Scenario 1859</t>
  </si>
  <si>
    <t>Random Scenario 1860</t>
  </si>
  <si>
    <t>Random Scenario 1861</t>
  </si>
  <si>
    <t>Random Scenario 1862</t>
  </si>
  <si>
    <t>Random Scenario 1863</t>
  </si>
  <si>
    <t>Random Scenario 1864</t>
  </si>
  <si>
    <t>Random Scenario 1865</t>
  </si>
  <si>
    <t>Random Scenario 1866</t>
  </si>
  <si>
    <t>Random Scenario 1867</t>
  </si>
  <si>
    <t>Random Scenario 1868</t>
  </si>
  <si>
    <t>Random Scenario 1869</t>
  </si>
  <si>
    <t>Random Scenario 1870</t>
  </si>
  <si>
    <t>Random Scenario 1871</t>
  </si>
  <si>
    <t>Random Scenario 1872</t>
  </si>
  <si>
    <t>Random Scenario 1873</t>
  </si>
  <si>
    <t>Random Scenario 1874</t>
  </si>
  <si>
    <t>Random Scenario 1875</t>
  </si>
  <si>
    <t>Random Scenario 1876</t>
  </si>
  <si>
    <t>Random Scenario 1877</t>
  </si>
  <si>
    <t>Random Scenario 1878</t>
  </si>
  <si>
    <t>Random Scenario 1879</t>
  </si>
  <si>
    <t>Random Scenario 1880</t>
  </si>
  <si>
    <t>Random Scenario 1881</t>
  </si>
  <si>
    <t>Random Scenario 1882</t>
  </si>
  <si>
    <t>Random Scenario 1883</t>
  </si>
  <si>
    <t>Random Scenario 1884</t>
  </si>
  <si>
    <t>Random Scenario 1885</t>
  </si>
  <si>
    <t>Random Scenario 1886</t>
  </si>
  <si>
    <t>Random Scenario 1887</t>
  </si>
  <si>
    <t>Random Scenario 1888</t>
  </si>
  <si>
    <t>Random Scenario 1889</t>
  </si>
  <si>
    <t>Random Scenario 1890</t>
  </si>
  <si>
    <t>Random Scenario 1891</t>
  </si>
  <si>
    <t>Random Scenario 1892</t>
  </si>
  <si>
    <t>Random Scenario 1893</t>
  </si>
  <si>
    <t>Random Scenario 1894</t>
  </si>
  <si>
    <t>Random Scenario 1895</t>
  </si>
  <si>
    <t>Random Scenario 1896</t>
  </si>
  <si>
    <t>Random Scenario 1897</t>
  </si>
  <si>
    <t>Random Scenario 1898</t>
  </si>
  <si>
    <t>Random Scenario 1899</t>
  </si>
  <si>
    <t>Random Scenario 1900</t>
  </si>
  <si>
    <t>Random Scenario 1901</t>
  </si>
  <si>
    <t>Random Scenario 1902</t>
  </si>
  <si>
    <t>Random Scenario 1903</t>
  </si>
  <si>
    <t>Random Scenario 1904</t>
  </si>
  <si>
    <t>Random Scenario 1905</t>
  </si>
  <si>
    <t>Random Scenario 1906</t>
  </si>
  <si>
    <t>Random Scenario 1907</t>
  </si>
  <si>
    <t>Random Scenario 1908</t>
  </si>
  <si>
    <t>Random Scenario 1909</t>
  </si>
  <si>
    <t>Random Scenario 1910</t>
  </si>
  <si>
    <t>Random Scenario 1911</t>
  </si>
  <si>
    <t>Random Scenario 1912</t>
  </si>
  <si>
    <t>Random Scenario 1913</t>
  </si>
  <si>
    <t>Random Scenario 1914</t>
  </si>
  <si>
    <t>Random Scenario 1915</t>
  </si>
  <si>
    <t>Random Scenario 1916</t>
  </si>
  <si>
    <t>Random Scenario 1917</t>
  </si>
  <si>
    <t>Random Scenario 1918</t>
  </si>
  <si>
    <t>Random Scenario 1919</t>
  </si>
  <si>
    <t>Random Scenario 1920</t>
  </si>
  <si>
    <t>Random Scenario 1921</t>
  </si>
  <si>
    <t>Random Scenario 1922</t>
  </si>
  <si>
    <t>Random Scenario 1923</t>
  </si>
  <si>
    <t>Random Scenario 1924</t>
  </si>
  <si>
    <t>Random Scenario 1925</t>
  </si>
  <si>
    <t>Random Scenario 1926</t>
  </si>
  <si>
    <t>Random Scenario 1927</t>
  </si>
  <si>
    <t>Random Scenario 1928</t>
  </si>
  <si>
    <t>Random Scenario 1929</t>
  </si>
  <si>
    <t>Random Scenario 1930</t>
  </si>
  <si>
    <t>Random Scenario 1931</t>
  </si>
  <si>
    <t>Random Scenario 1932</t>
  </si>
  <si>
    <t>Random Scenario 1933</t>
  </si>
  <si>
    <t>Random Scenario 1934</t>
  </si>
  <si>
    <t>Random Scenario 1935</t>
  </si>
  <si>
    <t>Random Scenario 1936</t>
  </si>
  <si>
    <t>Random Scenario 1937</t>
  </si>
  <si>
    <t>Random Scenario 1938</t>
  </si>
  <si>
    <t>Random Scenario 1939</t>
  </si>
  <si>
    <t>Random Scenario 1940</t>
  </si>
  <si>
    <t>Random Scenario 1941</t>
  </si>
  <si>
    <t>Random Scenario 1942</t>
  </si>
  <si>
    <t>Random Scenario 1943</t>
  </si>
  <si>
    <t>Random Scenario 1944</t>
  </si>
  <si>
    <t>Random Scenario 1945</t>
  </si>
  <si>
    <t>Random Scenario 1946</t>
  </si>
  <si>
    <t>Random Scenario 1947</t>
  </si>
  <si>
    <t>Random Scenario 1948</t>
  </si>
  <si>
    <t>Random Scenario 1949</t>
  </si>
  <si>
    <t>Random Scenario 1950</t>
  </si>
  <si>
    <t>Random Scenario 1951</t>
  </si>
  <si>
    <t>Random Scenario 1952</t>
  </si>
  <si>
    <t>Random Scenario 1953</t>
  </si>
  <si>
    <t>Random Scenario 1954</t>
  </si>
  <si>
    <t>Random Scenario 1955</t>
  </si>
  <si>
    <t>Random Scenario 1956</t>
  </si>
  <si>
    <t>Random Scenario 1957</t>
  </si>
  <si>
    <t>Random Scenario 1958</t>
  </si>
  <si>
    <t>Random Scenario 1959</t>
  </si>
  <si>
    <t>Random Scenario 1960</t>
  </si>
  <si>
    <t>Random Scenario 1961</t>
  </si>
  <si>
    <t>Random Scenario 1962</t>
  </si>
  <si>
    <t>Random Scenario 1963</t>
  </si>
  <si>
    <t>Random Scenario 1964</t>
  </si>
  <si>
    <t>Random Scenario 1965</t>
  </si>
  <si>
    <t>Random Scenario 1966</t>
  </si>
  <si>
    <t>Random Scenario 1967</t>
  </si>
  <si>
    <t>Random Scenario 1968</t>
  </si>
  <si>
    <t>Random Scenario 1969</t>
  </si>
  <si>
    <t>Random Scenario 1970</t>
  </si>
  <si>
    <t>Random Scenario 1971</t>
  </si>
  <si>
    <t>Random Scenario 1972</t>
  </si>
  <si>
    <t>Random Scenario 1973</t>
  </si>
  <si>
    <t>Random Scenario 1974</t>
  </si>
  <si>
    <t>Random Scenario 1975</t>
  </si>
  <si>
    <t>Random Scenario 1976</t>
  </si>
  <si>
    <t>Random Scenario 1977</t>
  </si>
  <si>
    <t>Random Scenario 1978</t>
  </si>
  <si>
    <t>Random Scenario 1979</t>
  </si>
  <si>
    <t>Random Scenario 1980</t>
  </si>
  <si>
    <t>Random Scenario 1981</t>
  </si>
  <si>
    <t>Random Scenario 1982</t>
  </si>
  <si>
    <t>Random Scenario 1983</t>
  </si>
  <si>
    <t>Random Scenario 1984</t>
  </si>
  <si>
    <t>3 Ps Filter — Possible, Plausible, Probable</t>
  </si>
  <si>
    <t>Filter Funnel (All Scenarios)</t>
  </si>
  <si>
    <t>Rejected — Impossible (fails Possible test)</t>
  </si>
  <si>
    <t>Remaining after Possible test</t>
  </si>
  <si>
    <t>Rejected — Implausible (fails Plausible test)</t>
  </si>
  <si>
    <t>Remaining after Plausible test</t>
  </si>
  <si>
    <t xml:space="preserve">  — Classified Probable (score &gt;= 75)</t>
  </si>
  <si>
    <t xml:space="preserve">  — Classified Plausible-Uncertain (score 50-74)</t>
  </si>
  <si>
    <t xml:space="preserve">  — Classified Plausible-Weak (score &lt; 50)</t>
  </si>
  <si>
    <t>Near-Stock-Price Scenarios (within +/-5%) — 3 Ps Outcome</t>
  </si>
  <si>
    <t>% Diff</t>
  </si>
  <si>
    <t>Rejection Reason (if any)</t>
  </si>
  <si>
    <t>Survives to Market-Priced Candidate?</t>
  </si>
  <si>
    <t>High-Probability Candidates (score &gt;= 75) — All Pass Possible+Plausible</t>
  </si>
  <si>
    <t>Most-Likely Candidate?</t>
  </si>
  <si>
    <t>Final Candidates</t>
  </si>
  <si>
    <t>Market-Priced Candidates (top, by fit score, passing Possible+Plausible)</t>
  </si>
  <si>
    <t>#1240 Random Scenario 1224 — $577.82 (-2.1%), Plausible-Uncertain, fit 90.9, prob 50.7</t>
  </si>
  <si>
    <t>#86 Random Scenario 70 — $574.25 (-2.7%), Plausible-Weak, fit 88.6, prob 46.4</t>
  </si>
  <si>
    <t>#32 Random Scenario 16 — $567.39 (-3.9%), Plausible-Weak, fit 84.2, prob 47.5</t>
  </si>
  <si>
    <t>#1492 Random Scenario 1476 — $616.54 (+4.4%), Plausible-Uncertain, fit 82.2, prob 51.5</t>
  </si>
  <si>
    <t>#1478 Random Scenario 1462 — $563.26 (-4.6%), Plausible-Uncertain, fit 81.5, prob 52.5</t>
  </si>
  <si>
    <t>Most-Likely Candidates (top Probable scenarios by probability score)</t>
  </si>
  <si>
    <t>#1 Base Case — $127.00 (-78.5%), Probable, prob 94.2</t>
  </si>
  <si>
    <t>#14 WACC Sensitivity - High Discount Rate — $108.22 (-81.7%), Probable, prob 87.8</t>
  </si>
  <si>
    <t>#7 Margin Expansion Bull — $164.39 (-72.2%), Probable, prob 86.5</t>
  </si>
  <si>
    <t>#11 Rich Terminal Multiple Case — $155.93 (-73.6%), Probable, prob 83.8</t>
  </si>
  <si>
    <t>#12 Cheap Terminal Multiple Case — $99.04 (-83.2%), Probable, prob 83.8</t>
  </si>
  <si>
    <t>Note: zero scenarios within +/-5% of the current price clear the Probable bar (&gt;=75). The best near-price candidate (#1240) clears Possible and Plausible but scores only 50.7 (Plausible-Uncertain). Per the skill's explicit fallback rule, the closest Plausible scenario is selected as the market-priced candidate, with an explicit statement that the market appears to be pricing in an aggressive, evidence-thin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</si>
</sst>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0.000"/>
    <numFmt numFmtId="167" formatCode="0.0"/>
  </numFmts>
  <fonts count="9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0"/>
      <color rgb="FF555555"/>
      <name val="Calibri"/>
    </font>
    <font>
      <b/>
      <sz val="11"/>
      <name val="Calibri"/>
    </font>
    <font>
      <b/>
      <sz val="11"/>
      <color rgb="FF1F3864"/>
      <name val="Calibri"/>
    </font>
    <font>
      <b/>
      <sz val="11"/>
      <color rgb="FFFFFFFF"/>
      <name val="Calibri"/>
    </font>
    <font>
      <i/>
      <sz val="11"/>
      <name val="Calibri"/>
    </font>
    <font>
      <b/>
      <sz val="12"/>
      <color rgb="FFC00000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1F3864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4" fillId="2" borderId="0" xfId="0" applyFont="1" applyFill="1"/>
    <xf numFmtId="0" fontId="0" fillId="2" borderId="0" xfId="0" applyFill="1"/>
    <xf numFmtId="165" fontId="0" fillId="0" borderId="0" xfId="0" applyNumberForma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0" fontId="3" fillId="0" borderId="0" xfId="0" applyNumberFormat="1" applyFont="1"/>
    <xf numFmtId="0" fontId="6" fillId="0" borderId="0" xfId="0" applyFont="1"/>
    <xf numFmtId="0" fontId="7" fillId="4" borderId="1" xfId="0" applyFont="1" applyFill="1" applyBorder="1"/>
    <xf numFmtId="165" fontId="3" fillId="5" borderId="0" xfId="0" applyNumberFormat="1" applyFont="1" applyFill="1"/>
    <xf numFmtId="164" fontId="3" fillId="5" borderId="0" xfId="0" applyNumberFormat="1" applyFont="1" applyFill="1"/>
    <xf numFmtId="164" fontId="3" fillId="0" borderId="0" xfId="0" applyNumberFormat="1" applyFont="1"/>
    <xf numFmtId="166" fontId="0" fillId="0" borderId="0" xfId="0" applyNumberFormat="1"/>
    <xf numFmtId="0" fontId="8" fillId="0" borderId="0" xfId="0" applyFont="1"/>
    <xf numFmtId="3" fontId="3" fillId="0" borderId="0" xfId="0" applyNumberFormat="1" applyFont="1"/>
    <xf numFmtId="4" fontId="3" fillId="5" borderId="0" xfId="0" applyNumberFormat="1" applyFont="1" applyFill="1"/>
    <xf numFmtId="165" fontId="3" fillId="4" borderId="0" xfId="0" applyNumberFormat="1" applyFont="1" applyFill="1"/>
    <xf numFmtId="167" fontId="0" fillId="0" borderId="0" xfId="0" applyNumberFormat="1"/>
    <xf numFmtId="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0" fillId="0" borderId="1" xfId="0" applyBorder="1"/>
    <xf numFmtId="4" fontId="0" fillId="0" borderId="1" xfId="0" applyNumberFormat="1" applyBorder="1"/>
    <xf numFmtId="165" fontId="0" fillId="0" borderId="1" xfId="0" applyNumberFormat="1" applyBorder="1"/>
    <xf numFmtId="167" fontId="0" fillId="0" borderId="1" xfId="0" applyNumberFormat="1" applyBorder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0"/>
  <sheetViews>
    <sheetView tabSelected="1" workbookViewId="0"/>
  </sheetViews>
  <sheetFormatPr defaultRowHeight="15" x14ac:dyDescent="0.25"/>
  <cols>
    <col min="1" max="1" width="2" customWidth="1"/>
    <col min="2" max="2" width="40" customWidth="1"/>
    <col min="3" max="7" width="18" customWidth="1"/>
    <col min="8" max="8" width="14" customWidth="1"/>
  </cols>
  <sheetData>
    <row r="2" spans="2:3" ht="18.75" x14ac:dyDescent="0.3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t="s">
        <v>3</v>
      </c>
    </row>
    <row r="6" spans="2:3" x14ac:dyDescent="0.25">
      <c r="B6" s="3" t="s">
        <v>4</v>
      </c>
      <c r="C6" t="s">
        <v>5</v>
      </c>
    </row>
    <row r="7" spans="2:3" x14ac:dyDescent="0.25">
      <c r="B7" s="3" t="s">
        <v>6</v>
      </c>
      <c r="C7" t="s">
        <v>7</v>
      </c>
    </row>
    <row r="8" spans="2:3" x14ac:dyDescent="0.25">
      <c r="B8" s="3" t="s">
        <v>8</v>
      </c>
      <c r="C8" t="s">
        <v>9</v>
      </c>
    </row>
    <row r="9" spans="2:3" x14ac:dyDescent="0.25">
      <c r="B9" s="3" t="s">
        <v>10</v>
      </c>
      <c r="C9" t="s">
        <v>11</v>
      </c>
    </row>
    <row r="10" spans="2:3" x14ac:dyDescent="0.25">
      <c r="B10" s="3" t="s">
        <v>12</v>
      </c>
      <c r="C10" s="4">
        <v>160.44</v>
      </c>
    </row>
    <row r="11" spans="2:3" x14ac:dyDescent="0.25">
      <c r="B11" s="3" t="s">
        <v>13</v>
      </c>
      <c r="C11">
        <v>94720</v>
      </c>
    </row>
    <row r="12" spans="2:3" x14ac:dyDescent="0.25">
      <c r="B12" s="3" t="s">
        <v>14</v>
      </c>
      <c r="C12" s="4">
        <v>590.37646472201448</v>
      </c>
    </row>
    <row r="13" spans="2:3" x14ac:dyDescent="0.25">
      <c r="B13" s="3" t="s">
        <v>15</v>
      </c>
      <c r="C13" s="5">
        <v>549.46100000000001</v>
      </c>
    </row>
    <row r="14" spans="2:3" x14ac:dyDescent="0.25">
      <c r="B14" s="3" t="s">
        <v>16</v>
      </c>
      <c r="C14" s="6">
        <v>324388.84268262278</v>
      </c>
    </row>
    <row r="15" spans="2:3" x14ac:dyDescent="0.25">
      <c r="B15" s="3" t="s">
        <v>17</v>
      </c>
      <c r="C15" s="4">
        <v>2934.076970845887</v>
      </c>
    </row>
    <row r="16" spans="2:3" x14ac:dyDescent="0.25">
      <c r="B16" s="3" t="s">
        <v>18</v>
      </c>
      <c r="C16" s="4">
        <v>7811.5536523089468</v>
      </c>
    </row>
    <row r="17" spans="2:3" x14ac:dyDescent="0.25">
      <c r="B17" s="3" t="s">
        <v>19</v>
      </c>
      <c r="C17" s="4">
        <v>4877.4766814630593</v>
      </c>
    </row>
    <row r="18" spans="2:3" x14ac:dyDescent="0.25">
      <c r="B18" s="3" t="s">
        <v>20</v>
      </c>
      <c r="C18" s="7">
        <v>0.1572968096604524</v>
      </c>
    </row>
    <row r="21" spans="2:3" x14ac:dyDescent="0.25">
      <c r="B21" s="8" t="s">
        <v>21</v>
      </c>
      <c r="C21" s="9"/>
    </row>
    <row r="22" spans="2:3" x14ac:dyDescent="0.25">
      <c r="B22" s="3" t="s">
        <v>22</v>
      </c>
      <c r="C22" s="6">
        <v>14571.231108108719</v>
      </c>
    </row>
    <row r="23" spans="2:3" x14ac:dyDescent="0.25">
      <c r="B23" s="3" t="s">
        <v>23</v>
      </c>
      <c r="C23" s="10">
        <v>0.4333041869792798</v>
      </c>
    </row>
    <row r="24" spans="2:3" x14ac:dyDescent="0.25">
      <c r="B24" s="3" t="s">
        <v>24</v>
      </c>
      <c r="C24" s="10">
        <v>0.37059917146782972</v>
      </c>
    </row>
    <row r="25" spans="2:3" x14ac:dyDescent="0.25">
      <c r="B25" s="3" t="s">
        <v>25</v>
      </c>
      <c r="C25" s="6">
        <v>7350.0371273338988</v>
      </c>
    </row>
    <row r="26" spans="2:3" x14ac:dyDescent="0.25">
      <c r="B26" s="3" t="s">
        <v>26</v>
      </c>
      <c r="C26" s="10">
        <v>0.13382197680725941</v>
      </c>
    </row>
    <row r="27" spans="2:3" x14ac:dyDescent="0.25">
      <c r="B27" s="3" t="s">
        <v>27</v>
      </c>
      <c r="C27" s="10">
        <v>0.1202338438793512</v>
      </c>
    </row>
    <row r="28" spans="2:3" x14ac:dyDescent="0.25">
      <c r="B28" s="3" t="s">
        <v>28</v>
      </c>
      <c r="C28" s="10">
        <v>0.29282038528494642</v>
      </c>
    </row>
    <row r="31" spans="2:3" x14ac:dyDescent="0.25">
      <c r="B31" s="8" t="s">
        <v>29</v>
      </c>
      <c r="C31" s="9"/>
    </row>
    <row r="32" spans="2:3" x14ac:dyDescent="0.25">
      <c r="B32" s="3" t="s">
        <v>30</v>
      </c>
      <c r="C32">
        <v>2000</v>
      </c>
    </row>
    <row r="33" spans="2:3" x14ac:dyDescent="0.25">
      <c r="B33" s="3" t="s">
        <v>31</v>
      </c>
      <c r="C33" s="5">
        <v>0.55647888905633602</v>
      </c>
    </row>
    <row r="34" spans="2:3" x14ac:dyDescent="0.25">
      <c r="B34" s="3" t="s">
        <v>32</v>
      </c>
      <c r="C34" s="5">
        <v>172.40484295682401</v>
      </c>
    </row>
    <row r="35" spans="2:3" x14ac:dyDescent="0.25">
      <c r="B35" s="3" t="s">
        <v>33</v>
      </c>
      <c r="C35" s="5">
        <v>974.01891668280575</v>
      </c>
    </row>
    <row r="36" spans="2:3" x14ac:dyDescent="0.25">
      <c r="B36" s="3" t="s">
        <v>34</v>
      </c>
      <c r="C36" s="5">
        <v>14</v>
      </c>
    </row>
    <row r="37" spans="2:3" x14ac:dyDescent="0.25">
      <c r="B37" s="3" t="s">
        <v>35</v>
      </c>
      <c r="C37">
        <v>0</v>
      </c>
    </row>
    <row r="38" spans="2:3" x14ac:dyDescent="0.25">
      <c r="B38" s="3" t="s">
        <v>36</v>
      </c>
      <c r="C38">
        <v>427</v>
      </c>
    </row>
    <row r="39" spans="2:3" x14ac:dyDescent="0.25">
      <c r="B39" s="3" t="s">
        <v>37</v>
      </c>
      <c r="C39">
        <v>8</v>
      </c>
    </row>
    <row r="42" spans="2:3" x14ac:dyDescent="0.25">
      <c r="B42" s="8" t="s">
        <v>38</v>
      </c>
      <c r="C42" s="9"/>
    </row>
    <row r="43" spans="2:3" x14ac:dyDescent="0.25">
      <c r="B43" s="3" t="s">
        <v>39</v>
      </c>
      <c r="C43" t="s">
        <v>40</v>
      </c>
    </row>
    <row r="44" spans="2:3" x14ac:dyDescent="0.25">
      <c r="B44" s="3" t="s">
        <v>41</v>
      </c>
      <c r="C44" s="5">
        <v>577.81681730255707</v>
      </c>
    </row>
    <row r="45" spans="2:3" x14ac:dyDescent="0.25">
      <c r="B45" s="3" t="s">
        <v>42</v>
      </c>
      <c r="C45" s="5">
        <v>590.37646472201448</v>
      </c>
    </row>
    <row r="46" spans="2:3" x14ac:dyDescent="0.25">
      <c r="B46" s="3" t="s">
        <v>43</v>
      </c>
      <c r="C46" s="10">
        <v>-2.1273963597738029E-2</v>
      </c>
    </row>
    <row r="47" spans="2:3" x14ac:dyDescent="0.25">
      <c r="B47" s="3" t="s">
        <v>44</v>
      </c>
      <c r="C47">
        <v>90.915893832859553</v>
      </c>
    </row>
    <row r="48" spans="2:3" x14ac:dyDescent="0.25">
      <c r="B48" s="3" t="s">
        <v>45</v>
      </c>
      <c r="C48">
        <v>50.664354014678359</v>
      </c>
    </row>
    <row r="49" spans="2:3" x14ac:dyDescent="0.25">
      <c r="B49" s="3" t="s">
        <v>46</v>
      </c>
      <c r="C49" t="s">
        <v>47</v>
      </c>
    </row>
    <row r="52" spans="2:3" x14ac:dyDescent="0.25">
      <c r="B52" s="8" t="s">
        <v>48</v>
      </c>
      <c r="C52" s="9"/>
    </row>
    <row r="53" spans="2:3" x14ac:dyDescent="0.25">
      <c r="B53" s="3" t="s">
        <v>39</v>
      </c>
      <c r="C53" t="s">
        <v>49</v>
      </c>
    </row>
    <row r="54" spans="2:3" x14ac:dyDescent="0.25">
      <c r="B54" s="3" t="s">
        <v>41</v>
      </c>
      <c r="C54" s="5">
        <v>127.0005135626818</v>
      </c>
    </row>
    <row r="55" spans="2:3" x14ac:dyDescent="0.25">
      <c r="B55" s="3" t="s">
        <v>42</v>
      </c>
      <c r="C55" s="5">
        <v>590.37646472201448</v>
      </c>
    </row>
    <row r="56" spans="2:3" x14ac:dyDescent="0.25">
      <c r="B56" s="3" t="s">
        <v>43</v>
      </c>
      <c r="C56" s="10">
        <v>-0.78488215375848114</v>
      </c>
    </row>
    <row r="57" spans="2:3" x14ac:dyDescent="0.25">
      <c r="B57" s="3" t="s">
        <v>44</v>
      </c>
      <c r="C57">
        <v>3.9070707744911322</v>
      </c>
    </row>
    <row r="58" spans="2:3" x14ac:dyDescent="0.25">
      <c r="B58" s="3" t="s">
        <v>45</v>
      </c>
      <c r="C58">
        <v>94.237042985261908</v>
      </c>
    </row>
    <row r="59" spans="2:3" x14ac:dyDescent="0.25">
      <c r="B59" s="3" t="s">
        <v>46</v>
      </c>
      <c r="C59" t="s">
        <v>50</v>
      </c>
    </row>
    <row r="62" spans="2:3" x14ac:dyDescent="0.25">
      <c r="B62" s="8" t="s">
        <v>51</v>
      </c>
      <c r="C62" s="9"/>
    </row>
    <row r="63" spans="2:3" x14ac:dyDescent="0.25">
      <c r="B63" s="3" t="s">
        <v>52</v>
      </c>
      <c r="C63" s="5">
        <v>577.81681730255707</v>
      </c>
    </row>
    <row r="64" spans="2:3" x14ac:dyDescent="0.25">
      <c r="B64" s="3" t="s">
        <v>53</v>
      </c>
      <c r="C64" s="5">
        <v>127.0005135626818</v>
      </c>
    </row>
    <row r="65" spans="2:7" x14ac:dyDescent="0.25">
      <c r="B65" s="3" t="s">
        <v>54</v>
      </c>
      <c r="C65" s="5">
        <v>450.81630373987531</v>
      </c>
    </row>
    <row r="66" spans="2:7" x14ac:dyDescent="0.25">
      <c r="B66" s="3" t="s">
        <v>55</v>
      </c>
      <c r="C66" s="10">
        <v>3.549720320755807</v>
      </c>
    </row>
    <row r="69" spans="2:7" x14ac:dyDescent="0.25">
      <c r="B69" s="3" t="s">
        <v>56</v>
      </c>
    </row>
    <row r="70" spans="2:7" ht="90" customHeight="1" x14ac:dyDescent="0.25">
      <c r="B70" s="31" t="s">
        <v>57</v>
      </c>
      <c r="C70" s="32"/>
      <c r="D70" s="32"/>
      <c r="E70" s="32"/>
      <c r="F70" s="32"/>
      <c r="G70" s="32"/>
    </row>
  </sheetData>
  <mergeCells count="1">
    <mergeCell ref="B70:G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4"/>
  <sheetViews>
    <sheetView workbookViewId="0"/>
  </sheetViews>
  <sheetFormatPr defaultRowHeight="15" x14ac:dyDescent="0.25"/>
  <cols>
    <col min="1" max="1" width="2" customWidth="1"/>
    <col min="2" max="2" width="6" customWidth="1"/>
    <col min="3" max="3" width="30" customWidth="1"/>
    <col min="4" max="5" width="12" customWidth="1"/>
    <col min="6" max="7" width="40" customWidth="1"/>
    <col min="8" max="8" width="12" customWidth="1"/>
    <col min="9" max="9" width="30" customWidth="1"/>
  </cols>
  <sheetData>
    <row r="2" spans="2:9" ht="18.75" x14ac:dyDescent="0.3">
      <c r="B2" s="1" t="s">
        <v>58</v>
      </c>
    </row>
    <row r="4" spans="2:9" x14ac:dyDescent="0.25">
      <c r="B4" s="11" t="s">
        <v>59</v>
      </c>
      <c r="C4" s="11" t="s">
        <v>60</v>
      </c>
      <c r="D4" s="11" t="s">
        <v>61</v>
      </c>
      <c r="E4" s="11" t="s">
        <v>62</v>
      </c>
      <c r="F4" s="11" t="s">
        <v>63</v>
      </c>
      <c r="G4" s="11" t="s">
        <v>64</v>
      </c>
      <c r="H4" s="11" t="s">
        <v>65</v>
      </c>
      <c r="I4" s="11" t="s">
        <v>66</v>
      </c>
    </row>
    <row r="5" spans="2:9" ht="48" customHeight="1" x14ac:dyDescent="0.25">
      <c r="B5" s="12">
        <v>1</v>
      </c>
      <c r="C5" s="12" t="s">
        <v>67</v>
      </c>
      <c r="D5" s="12" t="s">
        <v>68</v>
      </c>
      <c r="E5" s="12" t="s">
        <v>69</v>
      </c>
      <c r="F5" s="12" t="s">
        <v>70</v>
      </c>
      <c r="G5" s="12" t="s">
        <v>71</v>
      </c>
      <c r="H5" s="12" t="s">
        <v>72</v>
      </c>
      <c r="I5" s="12" t="s">
        <v>73</v>
      </c>
    </row>
    <row r="6" spans="2:9" ht="48" customHeight="1" x14ac:dyDescent="0.25">
      <c r="B6" s="12">
        <v>2</v>
      </c>
      <c r="C6" s="12" t="s">
        <v>74</v>
      </c>
      <c r="D6" s="12" t="s">
        <v>75</v>
      </c>
      <c r="E6" s="12" t="s">
        <v>3</v>
      </c>
      <c r="F6" s="12" t="s">
        <v>76</v>
      </c>
      <c r="G6" s="12" t="s">
        <v>77</v>
      </c>
      <c r="H6" s="12" t="s">
        <v>72</v>
      </c>
      <c r="I6" s="12" t="s">
        <v>78</v>
      </c>
    </row>
    <row r="7" spans="2:9" ht="48" customHeight="1" x14ac:dyDescent="0.25">
      <c r="B7" s="12">
        <v>3</v>
      </c>
      <c r="C7" s="12" t="s">
        <v>79</v>
      </c>
      <c r="D7" s="12" t="s">
        <v>80</v>
      </c>
      <c r="E7" s="12" t="s">
        <v>81</v>
      </c>
      <c r="F7" s="12" t="s">
        <v>82</v>
      </c>
      <c r="G7" s="12" t="s">
        <v>77</v>
      </c>
      <c r="H7" s="12" t="s">
        <v>83</v>
      </c>
      <c r="I7" s="12" t="s">
        <v>84</v>
      </c>
    </row>
    <row r="8" spans="2:9" ht="48" customHeight="1" x14ac:dyDescent="0.25">
      <c r="B8" s="12">
        <v>4</v>
      </c>
      <c r="C8" s="12" t="s">
        <v>85</v>
      </c>
      <c r="D8" s="12" t="s">
        <v>86</v>
      </c>
      <c r="E8" s="12" t="s">
        <v>3</v>
      </c>
      <c r="F8" s="12" t="s">
        <v>87</v>
      </c>
      <c r="G8" s="12" t="s">
        <v>77</v>
      </c>
      <c r="H8" s="12" t="s">
        <v>72</v>
      </c>
      <c r="I8" s="12" t="s">
        <v>88</v>
      </c>
    </row>
    <row r="9" spans="2:9" ht="48" customHeight="1" x14ac:dyDescent="0.25">
      <c r="B9" s="12">
        <v>5</v>
      </c>
      <c r="C9" s="12" t="s">
        <v>89</v>
      </c>
      <c r="D9" s="12" t="s">
        <v>90</v>
      </c>
      <c r="E9" s="12" t="s">
        <v>91</v>
      </c>
      <c r="F9" s="12" t="s">
        <v>92</v>
      </c>
      <c r="G9" s="12" t="s">
        <v>77</v>
      </c>
      <c r="H9" s="12" t="s">
        <v>72</v>
      </c>
      <c r="I9" s="12" t="s">
        <v>93</v>
      </c>
    </row>
    <row r="10" spans="2:9" ht="48" customHeight="1" x14ac:dyDescent="0.25">
      <c r="B10" s="12">
        <v>6</v>
      </c>
      <c r="C10" s="12" t="s">
        <v>94</v>
      </c>
      <c r="D10" s="12" t="s">
        <v>95</v>
      </c>
      <c r="E10" s="12" t="s">
        <v>3</v>
      </c>
      <c r="F10" s="12" t="s">
        <v>96</v>
      </c>
      <c r="G10" s="12" t="s">
        <v>77</v>
      </c>
      <c r="H10" s="12" t="s">
        <v>72</v>
      </c>
      <c r="I10" s="12" t="s">
        <v>97</v>
      </c>
    </row>
    <row r="11" spans="2:9" ht="48" customHeight="1" x14ac:dyDescent="0.25">
      <c r="B11" s="12">
        <v>7</v>
      </c>
      <c r="C11" s="12" t="s">
        <v>98</v>
      </c>
      <c r="D11" s="12" t="s">
        <v>99</v>
      </c>
      <c r="E11" s="12" t="s">
        <v>100</v>
      </c>
      <c r="F11" s="12" t="s">
        <v>101</v>
      </c>
      <c r="G11" s="12" t="s">
        <v>102</v>
      </c>
      <c r="H11" s="12" t="s">
        <v>103</v>
      </c>
      <c r="I11" s="12" t="s">
        <v>104</v>
      </c>
    </row>
    <row r="12" spans="2:9" ht="48" customHeight="1" x14ac:dyDescent="0.25">
      <c r="B12" s="12">
        <v>8</v>
      </c>
      <c r="C12" s="12" t="s">
        <v>105</v>
      </c>
      <c r="D12" s="12" t="s">
        <v>106</v>
      </c>
      <c r="E12" s="12" t="s">
        <v>107</v>
      </c>
      <c r="F12" s="12" t="s">
        <v>108</v>
      </c>
      <c r="G12" s="12" t="s">
        <v>109</v>
      </c>
      <c r="H12" s="12" t="s">
        <v>103</v>
      </c>
      <c r="I12" s="12" t="s">
        <v>110</v>
      </c>
    </row>
    <row r="13" spans="2:9" ht="48" customHeight="1" x14ac:dyDescent="0.25">
      <c r="B13" s="12">
        <v>9</v>
      </c>
      <c r="C13" s="12" t="s">
        <v>111</v>
      </c>
      <c r="D13" s="12" t="s">
        <v>112</v>
      </c>
      <c r="E13" s="12" t="s">
        <v>113</v>
      </c>
      <c r="F13" s="12" t="s">
        <v>114</v>
      </c>
      <c r="G13" s="12" t="s">
        <v>109</v>
      </c>
      <c r="H13" s="12" t="s">
        <v>103</v>
      </c>
      <c r="I13" s="12" t="s">
        <v>115</v>
      </c>
    </row>
    <row r="14" spans="2:9" ht="48" customHeight="1" x14ac:dyDescent="0.25">
      <c r="B14" s="12">
        <v>10</v>
      </c>
      <c r="C14" s="12" t="s">
        <v>116</v>
      </c>
      <c r="D14" s="12" t="s">
        <v>117</v>
      </c>
      <c r="E14" s="12" t="s">
        <v>118</v>
      </c>
      <c r="F14" s="12" t="s">
        <v>119</v>
      </c>
      <c r="G14" s="12" t="s">
        <v>77</v>
      </c>
      <c r="H14" s="12" t="s">
        <v>83</v>
      </c>
      <c r="I14" s="12" t="s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32"/>
  <sheetViews>
    <sheetView workbookViewId="0"/>
  </sheetViews>
  <sheetFormatPr defaultRowHeight="15" x14ac:dyDescent="0.25"/>
  <cols>
    <col min="1" max="1" width="2" customWidth="1"/>
    <col min="2" max="2" width="42" customWidth="1"/>
    <col min="3" max="3" width="16" customWidth="1"/>
    <col min="4" max="4" width="40" customWidth="1"/>
  </cols>
  <sheetData>
    <row r="2" spans="2:4" ht="18.75" x14ac:dyDescent="0.3">
      <c r="B2" s="1" t="s">
        <v>121</v>
      </c>
    </row>
    <row r="4" spans="2:4" x14ac:dyDescent="0.25">
      <c r="B4" s="8" t="s">
        <v>122</v>
      </c>
      <c r="C4" s="9"/>
      <c r="D4" s="9"/>
    </row>
    <row r="5" spans="2:4" x14ac:dyDescent="0.25">
      <c r="B5" t="s">
        <v>123</v>
      </c>
      <c r="C5" s="7">
        <v>2.5700000000000001E-2</v>
      </c>
      <c r="D5" t="s">
        <v>90</v>
      </c>
    </row>
    <row r="6" spans="2:4" x14ac:dyDescent="0.25">
      <c r="B6" t="s">
        <v>124</v>
      </c>
      <c r="C6" s="7">
        <v>0.06</v>
      </c>
      <c r="D6" t="s">
        <v>125</v>
      </c>
    </row>
    <row r="7" spans="2:4" x14ac:dyDescent="0.25">
      <c r="B7" t="s">
        <v>126</v>
      </c>
      <c r="C7" s="7">
        <v>0.03</v>
      </c>
      <c r="D7" t="s">
        <v>127</v>
      </c>
    </row>
    <row r="8" spans="2:4" x14ac:dyDescent="0.25">
      <c r="B8" t="s">
        <v>128</v>
      </c>
      <c r="C8" s="7">
        <v>5.0000000000000001E-3</v>
      </c>
      <c r="D8" t="s">
        <v>129</v>
      </c>
    </row>
    <row r="9" spans="2:4" x14ac:dyDescent="0.25">
      <c r="B9" t="s">
        <v>130</v>
      </c>
      <c r="C9" s="7">
        <v>1.4999999999999999E-2</v>
      </c>
      <c r="D9" t="s">
        <v>131</v>
      </c>
    </row>
    <row r="10" spans="2:4" x14ac:dyDescent="0.25">
      <c r="B10" t="s">
        <v>132</v>
      </c>
      <c r="C10" s="7">
        <v>0.01</v>
      </c>
      <c r="D10" t="s">
        <v>133</v>
      </c>
    </row>
    <row r="11" spans="2:4" x14ac:dyDescent="0.25">
      <c r="B11" t="s">
        <v>134</v>
      </c>
      <c r="C11" s="7">
        <v>-5.0000000000000001E-3</v>
      </c>
      <c r="D11" t="s">
        <v>135</v>
      </c>
    </row>
    <row r="12" spans="2:4" x14ac:dyDescent="0.25">
      <c r="B12" s="3" t="s">
        <v>136</v>
      </c>
      <c r="C12" s="13">
        <f>SUM(C5:C11)</f>
        <v>0.14069999999999999</v>
      </c>
    </row>
    <row r="14" spans="2:4" x14ac:dyDescent="0.25">
      <c r="B14" s="8" t="s">
        <v>137</v>
      </c>
      <c r="C14" s="9"/>
      <c r="D14" s="9"/>
    </row>
    <row r="15" spans="2:4" x14ac:dyDescent="0.25">
      <c r="B15" t="s">
        <v>138</v>
      </c>
      <c r="C15" s="7">
        <v>5.5E-2</v>
      </c>
      <c r="D15" t="s">
        <v>139</v>
      </c>
    </row>
    <row r="16" spans="2:4" x14ac:dyDescent="0.25">
      <c r="B16" t="s">
        <v>28</v>
      </c>
      <c r="C16" s="7">
        <v>0.3</v>
      </c>
      <c r="D16" t="s">
        <v>140</v>
      </c>
    </row>
    <row r="17" spans="2:4" x14ac:dyDescent="0.25">
      <c r="B17" s="3" t="s">
        <v>141</v>
      </c>
      <c r="C17" s="13">
        <f>C15*(1-C16)</f>
        <v>3.85E-2</v>
      </c>
    </row>
    <row r="19" spans="2:4" x14ac:dyDescent="0.25">
      <c r="B19" s="8" t="s">
        <v>142</v>
      </c>
      <c r="C19" s="9"/>
      <c r="D19" s="9"/>
    </row>
    <row r="20" spans="2:4" x14ac:dyDescent="0.25">
      <c r="B20" t="s">
        <v>143</v>
      </c>
      <c r="C20" s="4">
        <v>324388.84268262278</v>
      </c>
    </row>
    <row r="21" spans="2:4" x14ac:dyDescent="0.25">
      <c r="B21" t="s">
        <v>144</v>
      </c>
      <c r="C21" s="4">
        <v>7811.5536523089468</v>
      </c>
    </row>
    <row r="22" spans="2:4" x14ac:dyDescent="0.25">
      <c r="B22" s="3" t="s">
        <v>145</v>
      </c>
      <c r="C22" s="4">
        <f>C20+C21</f>
        <v>332200.39633493172</v>
      </c>
    </row>
    <row r="23" spans="2:4" x14ac:dyDescent="0.25">
      <c r="B23" t="s">
        <v>146</v>
      </c>
      <c r="C23" s="10">
        <f>C20/C22</f>
        <v>0.97648541742125694</v>
      </c>
    </row>
    <row r="24" spans="2:4" x14ac:dyDescent="0.25">
      <c r="B24" t="s">
        <v>147</v>
      </c>
      <c r="C24" s="10">
        <f>C21/C22</f>
        <v>2.3514582578743125E-2</v>
      </c>
    </row>
    <row r="26" spans="2:4" x14ac:dyDescent="0.25">
      <c r="B26" s="8" t="s">
        <v>148</v>
      </c>
      <c r="C26" s="9"/>
      <c r="D26" s="9"/>
    </row>
    <row r="27" spans="2:4" x14ac:dyDescent="0.25">
      <c r="B27" s="3" t="s">
        <v>149</v>
      </c>
      <c r="C27" s="7">
        <f>C23*C12+C24*C17</f>
        <v>0.13829680966045244</v>
      </c>
    </row>
    <row r="28" spans="2:4" x14ac:dyDescent="0.25">
      <c r="B28" t="s">
        <v>150</v>
      </c>
      <c r="C28" s="7">
        <v>1.9E-2</v>
      </c>
      <c r="D28" t="s">
        <v>151</v>
      </c>
    </row>
    <row r="29" spans="2:4" x14ac:dyDescent="0.25">
      <c r="B29" s="3" t="s">
        <v>152</v>
      </c>
      <c r="C29" s="13">
        <f>C27+C28</f>
        <v>0.15729680966045242</v>
      </c>
    </row>
    <row r="31" spans="2:4" x14ac:dyDescent="0.25">
      <c r="B31" s="14" t="s">
        <v>153</v>
      </c>
    </row>
    <row r="32" spans="2:4" ht="69.95" customHeight="1" x14ac:dyDescent="0.25">
      <c r="B32" s="31" t="s">
        <v>154</v>
      </c>
      <c r="C32" s="32"/>
      <c r="D32" s="32"/>
    </row>
  </sheetData>
  <mergeCells count="1">
    <mergeCell ref="B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B21"/>
  <sheetViews>
    <sheetView workbookViewId="0"/>
  </sheetViews>
  <sheetFormatPr defaultRowHeight="15" x14ac:dyDescent="0.25"/>
  <cols>
    <col min="1" max="1" width="2" customWidth="1"/>
    <col min="2" max="2" width="32" customWidth="1"/>
    <col min="3" max="28" width="12" customWidth="1"/>
  </cols>
  <sheetData>
    <row r="2" spans="2:28" ht="18.75" x14ac:dyDescent="0.3">
      <c r="B2" s="1" t="s">
        <v>155</v>
      </c>
    </row>
    <row r="3" spans="2:28" x14ac:dyDescent="0.25">
      <c r="B3" s="2" t="s">
        <v>156</v>
      </c>
    </row>
    <row r="5" spans="2:28" ht="30" x14ac:dyDescent="0.25">
      <c r="B5" s="11" t="s">
        <v>157</v>
      </c>
      <c r="C5" s="11" t="s">
        <v>158</v>
      </c>
      <c r="D5" s="11" t="s">
        <v>159</v>
      </c>
      <c r="E5" s="11" t="s">
        <v>160</v>
      </c>
      <c r="F5" s="11" t="s">
        <v>161</v>
      </c>
      <c r="G5" s="11" t="s">
        <v>162</v>
      </c>
      <c r="H5" s="11" t="s">
        <v>163</v>
      </c>
      <c r="I5" s="11" t="s">
        <v>164</v>
      </c>
      <c r="J5" s="11" t="s">
        <v>165</v>
      </c>
      <c r="K5" s="11" t="s">
        <v>166</v>
      </c>
      <c r="L5" s="11" t="s">
        <v>167</v>
      </c>
      <c r="M5" s="11" t="s">
        <v>168</v>
      </c>
      <c r="N5" s="11" t="s">
        <v>169</v>
      </c>
      <c r="O5" s="11" t="s">
        <v>170</v>
      </c>
      <c r="P5" s="11" t="s">
        <v>171</v>
      </c>
      <c r="Q5" s="11" t="s">
        <v>172</v>
      </c>
      <c r="R5" s="11" t="s">
        <v>173</v>
      </c>
      <c r="S5" s="11" t="s">
        <v>174</v>
      </c>
      <c r="T5" s="11" t="s">
        <v>175</v>
      </c>
      <c r="U5" s="11" t="s">
        <v>176</v>
      </c>
      <c r="V5" s="11" t="s">
        <v>177</v>
      </c>
      <c r="W5" s="11" t="s">
        <v>178</v>
      </c>
      <c r="X5" s="11" t="s">
        <v>179</v>
      </c>
      <c r="Y5" s="11" t="s">
        <v>180</v>
      </c>
      <c r="Z5" s="11" t="s">
        <v>181</v>
      </c>
      <c r="AA5" s="11" t="s">
        <v>182</v>
      </c>
      <c r="AB5" s="11" t="s">
        <v>183</v>
      </c>
    </row>
    <row r="6" spans="2:28" x14ac:dyDescent="0.25">
      <c r="B6" t="s">
        <v>184</v>
      </c>
      <c r="C6">
        <v>0.22</v>
      </c>
      <c r="D6">
        <v>0.16</v>
      </c>
      <c r="E6">
        <v>0.13</v>
      </c>
      <c r="F6">
        <v>0.16</v>
      </c>
      <c r="G6">
        <v>0.2</v>
      </c>
      <c r="H6">
        <v>0.13</v>
      </c>
      <c r="I6">
        <v>0.14499999999999999</v>
      </c>
      <c r="J6">
        <v>0.15</v>
      </c>
      <c r="K6">
        <v>0.155</v>
      </c>
      <c r="L6">
        <v>0.7</v>
      </c>
      <c r="M6">
        <v>-0.15</v>
      </c>
      <c r="N6">
        <v>-0.05</v>
      </c>
      <c r="O6">
        <v>0.55000000000000004</v>
      </c>
      <c r="P6">
        <v>0.28000000000000003</v>
      </c>
      <c r="Q6">
        <v>0.33</v>
      </c>
      <c r="R6">
        <v>7.4999999999999997E-2</v>
      </c>
      <c r="S6">
        <v>0.11</v>
      </c>
      <c r="T6">
        <v>0.13400000000000001</v>
      </c>
      <c r="U6">
        <v>0.16</v>
      </c>
      <c r="V6">
        <v>0.18</v>
      </c>
      <c r="W6">
        <v>0.14499999999999999</v>
      </c>
      <c r="X6">
        <v>0.29299999999999998</v>
      </c>
      <c r="Y6">
        <v>0.05</v>
      </c>
      <c r="Z6">
        <v>0.1572968096604524</v>
      </c>
      <c r="AA6">
        <v>5.5</v>
      </c>
      <c r="AB6">
        <v>2.5000000000000001E-2</v>
      </c>
    </row>
    <row r="7" spans="2:28" x14ac:dyDescent="0.25">
      <c r="B7" t="s">
        <v>185</v>
      </c>
      <c r="C7">
        <v>0.16</v>
      </c>
      <c r="D7">
        <v>0.1</v>
      </c>
      <c r="E7">
        <v>0.1</v>
      </c>
      <c r="F7">
        <v>0.13</v>
      </c>
      <c r="G7">
        <v>0.14000000000000001</v>
      </c>
      <c r="H7">
        <v>0.1</v>
      </c>
      <c r="I7">
        <v>0.13500000000000001</v>
      </c>
      <c r="J7">
        <v>0.13</v>
      </c>
      <c r="K7">
        <v>0.13</v>
      </c>
      <c r="L7">
        <v>0.3</v>
      </c>
      <c r="M7">
        <v>-0.35</v>
      </c>
      <c r="N7">
        <v>-0.2</v>
      </c>
      <c r="O7">
        <v>0.44</v>
      </c>
      <c r="P7">
        <v>-0.1</v>
      </c>
      <c r="Q7">
        <v>0.24</v>
      </c>
      <c r="R7">
        <v>5.5E-2</v>
      </c>
      <c r="S7">
        <v>0.09</v>
      </c>
      <c r="T7">
        <v>0.11</v>
      </c>
      <c r="U7">
        <v>0.14000000000000001</v>
      </c>
      <c r="V7">
        <v>0.12</v>
      </c>
      <c r="W7">
        <v>0.11</v>
      </c>
      <c r="X7">
        <v>0.27</v>
      </c>
      <c r="Y7">
        <v>0.02</v>
      </c>
      <c r="Z7">
        <v>0.1</v>
      </c>
      <c r="AA7">
        <v>3</v>
      </c>
      <c r="AB7">
        <v>0.01</v>
      </c>
    </row>
    <row r="8" spans="2:28" x14ac:dyDescent="0.25">
      <c r="B8" t="s">
        <v>186</v>
      </c>
      <c r="C8">
        <v>0.32</v>
      </c>
      <c r="D8">
        <v>0.22</v>
      </c>
      <c r="E8">
        <v>0.18</v>
      </c>
      <c r="F8">
        <v>0.22</v>
      </c>
      <c r="G8">
        <v>0.26</v>
      </c>
      <c r="H8">
        <v>0.18</v>
      </c>
      <c r="I8">
        <v>0.155</v>
      </c>
      <c r="J8">
        <v>0.16500000000000001</v>
      </c>
      <c r="K8">
        <v>0.18</v>
      </c>
      <c r="L8">
        <v>1.4</v>
      </c>
      <c r="M8">
        <v>0</v>
      </c>
      <c r="N8">
        <v>0.1</v>
      </c>
      <c r="O8">
        <v>0.7</v>
      </c>
      <c r="P8">
        <v>0.45</v>
      </c>
      <c r="Q8">
        <v>0.46</v>
      </c>
      <c r="R8">
        <v>9.5000000000000001E-2</v>
      </c>
      <c r="S8">
        <v>0.14000000000000001</v>
      </c>
      <c r="T8">
        <v>0.155</v>
      </c>
      <c r="U8">
        <v>0.185</v>
      </c>
      <c r="V8">
        <v>0.27</v>
      </c>
      <c r="W8">
        <v>0.19</v>
      </c>
      <c r="X8">
        <v>0.31</v>
      </c>
      <c r="Y8">
        <v>0.09</v>
      </c>
      <c r="Z8">
        <v>0.19500000000000001</v>
      </c>
      <c r="AA8">
        <v>14</v>
      </c>
      <c r="AB8">
        <v>4.4999999999999998E-2</v>
      </c>
    </row>
    <row r="9" spans="2:28" x14ac:dyDescent="0.25">
      <c r="B9" t="s">
        <v>187</v>
      </c>
      <c r="C9">
        <v>0.16</v>
      </c>
      <c r="D9">
        <v>0.1</v>
      </c>
      <c r="E9">
        <v>0.1</v>
      </c>
      <c r="F9">
        <v>0.16</v>
      </c>
      <c r="G9">
        <v>0.2</v>
      </c>
      <c r="H9">
        <v>0.13</v>
      </c>
      <c r="I9">
        <v>0.14499999999999999</v>
      </c>
      <c r="J9">
        <v>0.15</v>
      </c>
      <c r="K9">
        <v>0.155</v>
      </c>
      <c r="L9">
        <v>0.1</v>
      </c>
      <c r="M9">
        <v>-0.35</v>
      </c>
      <c r="N9">
        <v>-0.18</v>
      </c>
      <c r="O9">
        <v>0.46</v>
      </c>
      <c r="P9">
        <v>-0.05</v>
      </c>
      <c r="Q9">
        <v>0.24</v>
      </c>
      <c r="R9">
        <v>7.4999999999999997E-2</v>
      </c>
      <c r="S9">
        <v>0.11</v>
      </c>
      <c r="T9">
        <v>0.13400000000000001</v>
      </c>
      <c r="U9">
        <v>0.16</v>
      </c>
      <c r="V9">
        <v>0.18</v>
      </c>
      <c r="W9">
        <v>0.14499999999999999</v>
      </c>
      <c r="X9">
        <v>0.29299999999999998</v>
      </c>
      <c r="Y9">
        <v>0.05</v>
      </c>
      <c r="Z9">
        <v>0.1572968096604524</v>
      </c>
      <c r="AA9">
        <v>5.5</v>
      </c>
      <c r="AB9">
        <v>2.5000000000000001E-2</v>
      </c>
    </row>
    <row r="10" spans="2:28" x14ac:dyDescent="0.25">
      <c r="B10" t="s">
        <v>188</v>
      </c>
      <c r="C10">
        <v>0.22</v>
      </c>
      <c r="D10">
        <v>0.16</v>
      </c>
      <c r="E10">
        <v>0.13</v>
      </c>
      <c r="F10">
        <v>0.13</v>
      </c>
      <c r="G10">
        <v>0.14000000000000001</v>
      </c>
      <c r="H10">
        <v>0.1</v>
      </c>
      <c r="I10">
        <v>0.14499999999999999</v>
      </c>
      <c r="J10">
        <v>0.15</v>
      </c>
      <c r="K10">
        <v>0.155</v>
      </c>
      <c r="L10">
        <v>0.32</v>
      </c>
      <c r="M10">
        <v>-0.05</v>
      </c>
      <c r="N10">
        <v>0.02</v>
      </c>
      <c r="O10">
        <v>0.55000000000000004</v>
      </c>
      <c r="P10">
        <v>0.35</v>
      </c>
      <c r="Q10">
        <v>0.38</v>
      </c>
      <c r="R10">
        <v>7.4999999999999997E-2</v>
      </c>
      <c r="S10">
        <v>0.11</v>
      </c>
      <c r="T10">
        <v>0.13400000000000001</v>
      </c>
      <c r="U10">
        <v>0.16</v>
      </c>
      <c r="V10">
        <v>0.18</v>
      </c>
      <c r="W10">
        <v>0.14499999999999999</v>
      </c>
      <c r="X10">
        <v>0.29299999999999998</v>
      </c>
      <c r="Y10">
        <v>0.05</v>
      </c>
      <c r="Z10">
        <v>0.1572968096604524</v>
      </c>
      <c r="AA10">
        <v>5.5</v>
      </c>
      <c r="AB10">
        <v>2.5000000000000001E-2</v>
      </c>
    </row>
    <row r="11" spans="2:28" x14ac:dyDescent="0.25">
      <c r="B11" t="s">
        <v>189</v>
      </c>
      <c r="C11">
        <v>0.22</v>
      </c>
      <c r="D11">
        <v>0.16</v>
      </c>
      <c r="E11">
        <v>0.13</v>
      </c>
      <c r="F11">
        <v>0.22</v>
      </c>
      <c r="G11">
        <v>0.26</v>
      </c>
      <c r="H11">
        <v>0.18</v>
      </c>
      <c r="I11">
        <v>0.14499999999999999</v>
      </c>
      <c r="J11">
        <v>0.15</v>
      </c>
      <c r="K11">
        <v>0.155</v>
      </c>
      <c r="L11">
        <v>0.7</v>
      </c>
      <c r="M11">
        <v>-0.35</v>
      </c>
      <c r="N11">
        <v>-0.05</v>
      </c>
      <c r="O11">
        <v>0.55000000000000004</v>
      </c>
      <c r="P11">
        <v>-0.08</v>
      </c>
      <c r="Q11">
        <v>0.22</v>
      </c>
      <c r="R11">
        <v>7.4999999999999997E-2</v>
      </c>
      <c r="S11">
        <v>0.11</v>
      </c>
      <c r="T11">
        <v>0.13400000000000001</v>
      </c>
      <c r="U11">
        <v>0.16</v>
      </c>
      <c r="V11">
        <v>0.18</v>
      </c>
      <c r="W11">
        <v>0.14499999999999999</v>
      </c>
      <c r="X11">
        <v>0.29299999999999998</v>
      </c>
      <c r="Y11">
        <v>0.05</v>
      </c>
      <c r="Z11">
        <v>0.1572968096604524</v>
      </c>
      <c r="AA11">
        <v>5.5</v>
      </c>
      <c r="AB11">
        <v>2.5000000000000001E-2</v>
      </c>
    </row>
    <row r="12" spans="2:28" x14ac:dyDescent="0.25">
      <c r="B12" t="s">
        <v>190</v>
      </c>
      <c r="C12">
        <v>0.22</v>
      </c>
      <c r="D12">
        <v>0.16</v>
      </c>
      <c r="E12">
        <v>0.13</v>
      </c>
      <c r="F12">
        <v>0.16</v>
      </c>
      <c r="G12">
        <v>0.2</v>
      </c>
      <c r="H12">
        <v>0.13</v>
      </c>
      <c r="I12">
        <v>0.14499999999999999</v>
      </c>
      <c r="J12">
        <v>0.15</v>
      </c>
      <c r="K12">
        <v>0.155</v>
      </c>
      <c r="L12">
        <v>0.7</v>
      </c>
      <c r="M12">
        <v>-0.15</v>
      </c>
      <c r="N12">
        <v>-0.05</v>
      </c>
      <c r="O12">
        <v>0.59</v>
      </c>
      <c r="P12">
        <v>0.37</v>
      </c>
      <c r="Q12">
        <v>0.4</v>
      </c>
      <c r="R12">
        <v>7.4999999999999997E-2</v>
      </c>
      <c r="S12">
        <v>0.1</v>
      </c>
      <c r="T12">
        <v>0.13400000000000001</v>
      </c>
      <c r="U12">
        <v>0.16</v>
      </c>
      <c r="V12">
        <v>0.18</v>
      </c>
      <c r="W12">
        <v>0.14499999999999999</v>
      </c>
      <c r="X12">
        <v>0.29299999999999998</v>
      </c>
      <c r="Y12">
        <v>0.05</v>
      </c>
      <c r="Z12">
        <v>0.1572968096604524</v>
      </c>
      <c r="AA12">
        <v>5.5</v>
      </c>
      <c r="AB12">
        <v>2.5000000000000001E-2</v>
      </c>
    </row>
    <row r="13" spans="2:28" x14ac:dyDescent="0.25">
      <c r="B13" t="s">
        <v>191</v>
      </c>
      <c r="C13">
        <v>0.22</v>
      </c>
      <c r="D13">
        <v>0.16</v>
      </c>
      <c r="E13">
        <v>0.13</v>
      </c>
      <c r="F13">
        <v>0.16</v>
      </c>
      <c r="G13">
        <v>0.2</v>
      </c>
      <c r="H13">
        <v>0.13</v>
      </c>
      <c r="I13">
        <v>0.15</v>
      </c>
      <c r="J13">
        <v>0.16</v>
      </c>
      <c r="K13">
        <v>0.18</v>
      </c>
      <c r="L13">
        <v>0.7</v>
      </c>
      <c r="M13">
        <v>-0.15</v>
      </c>
      <c r="N13">
        <v>-0.05</v>
      </c>
      <c r="O13">
        <v>0.55000000000000004</v>
      </c>
      <c r="P13">
        <v>0.28000000000000003</v>
      </c>
      <c r="Q13">
        <v>0.33</v>
      </c>
      <c r="R13">
        <v>7.4999999999999997E-2</v>
      </c>
      <c r="S13">
        <v>0.11</v>
      </c>
      <c r="T13">
        <v>0.13400000000000001</v>
      </c>
      <c r="U13">
        <v>0.16</v>
      </c>
      <c r="V13">
        <v>0.27</v>
      </c>
      <c r="W13">
        <v>0.19</v>
      </c>
      <c r="X13">
        <v>0.29299999999999998</v>
      </c>
      <c r="Y13">
        <v>0.05</v>
      </c>
      <c r="Z13">
        <v>0.1572968096604524</v>
      </c>
      <c r="AA13">
        <v>5.5</v>
      </c>
      <c r="AB13">
        <v>2.5000000000000001E-2</v>
      </c>
    </row>
    <row r="14" spans="2:28" x14ac:dyDescent="0.25">
      <c r="B14" t="s">
        <v>192</v>
      </c>
      <c r="C14">
        <v>0.22</v>
      </c>
      <c r="D14">
        <v>0.16</v>
      </c>
      <c r="E14">
        <v>0.13</v>
      </c>
      <c r="F14">
        <v>0.16</v>
      </c>
      <c r="G14">
        <v>0.2</v>
      </c>
      <c r="H14">
        <v>0.13</v>
      </c>
      <c r="I14">
        <v>0.14499999999999999</v>
      </c>
      <c r="J14">
        <v>0.15</v>
      </c>
      <c r="K14">
        <v>0.13</v>
      </c>
      <c r="L14">
        <v>0.7</v>
      </c>
      <c r="M14">
        <v>-0.15</v>
      </c>
      <c r="N14">
        <v>-0.05</v>
      </c>
      <c r="O14">
        <v>0.55000000000000004</v>
      </c>
      <c r="P14">
        <v>0.28000000000000003</v>
      </c>
      <c r="Q14">
        <v>0.33</v>
      </c>
      <c r="R14">
        <v>7.4999999999999997E-2</v>
      </c>
      <c r="S14">
        <v>0.11</v>
      </c>
      <c r="T14">
        <v>0.13400000000000001</v>
      </c>
      <c r="U14">
        <v>0.16</v>
      </c>
      <c r="V14">
        <v>0.12</v>
      </c>
      <c r="W14">
        <v>0.11</v>
      </c>
      <c r="X14">
        <v>0.29299999999999998</v>
      </c>
      <c r="Y14">
        <v>0.05</v>
      </c>
      <c r="Z14">
        <v>0.1572968096604524</v>
      </c>
      <c r="AA14">
        <v>5.5</v>
      </c>
      <c r="AB14">
        <v>2.5000000000000001E-2</v>
      </c>
    </row>
    <row r="15" spans="2:28" x14ac:dyDescent="0.25">
      <c r="B15" t="s">
        <v>193</v>
      </c>
      <c r="C15">
        <v>0.3</v>
      </c>
      <c r="D15">
        <v>0.2</v>
      </c>
      <c r="E15">
        <v>0.13</v>
      </c>
      <c r="F15">
        <v>0.16</v>
      </c>
      <c r="G15">
        <v>0.2</v>
      </c>
      <c r="H15">
        <v>0.13</v>
      </c>
      <c r="I15">
        <v>0.14499999999999999</v>
      </c>
      <c r="J15">
        <v>0.15</v>
      </c>
      <c r="K15">
        <v>0.155</v>
      </c>
      <c r="L15">
        <v>0.7</v>
      </c>
      <c r="M15">
        <v>-0.15</v>
      </c>
      <c r="N15">
        <v>-0.05</v>
      </c>
      <c r="O15">
        <v>0.55000000000000004</v>
      </c>
      <c r="P15">
        <v>0.28000000000000003</v>
      </c>
      <c r="Q15">
        <v>0.33</v>
      </c>
      <c r="R15">
        <v>7.4999999999999997E-2</v>
      </c>
      <c r="S15">
        <v>0.11</v>
      </c>
      <c r="T15">
        <v>0.13400000000000001</v>
      </c>
      <c r="U15">
        <v>0.16</v>
      </c>
      <c r="V15">
        <v>0.18</v>
      </c>
      <c r="W15">
        <v>0.14499999999999999</v>
      </c>
      <c r="X15">
        <v>0.29299999999999998</v>
      </c>
      <c r="Y15">
        <v>0.09</v>
      </c>
      <c r="Z15">
        <v>0.1572968096604524</v>
      </c>
      <c r="AA15">
        <v>5.5</v>
      </c>
      <c r="AB15">
        <v>2.5000000000000001E-2</v>
      </c>
    </row>
    <row r="16" spans="2:28" x14ac:dyDescent="0.25">
      <c r="B16" t="s">
        <v>194</v>
      </c>
      <c r="C16">
        <v>0.22</v>
      </c>
      <c r="D16">
        <v>0.16</v>
      </c>
      <c r="E16">
        <v>0.13</v>
      </c>
      <c r="F16">
        <v>0.16</v>
      </c>
      <c r="G16">
        <v>0.2</v>
      </c>
      <c r="H16">
        <v>0.13</v>
      </c>
      <c r="I16">
        <v>0.14499999999999999</v>
      </c>
      <c r="J16">
        <v>0.15</v>
      </c>
      <c r="K16">
        <v>0.155</v>
      </c>
      <c r="L16">
        <v>0.7</v>
      </c>
      <c r="M16">
        <v>-0.15</v>
      </c>
      <c r="N16">
        <v>-0.05</v>
      </c>
      <c r="O16">
        <v>0.55000000000000004</v>
      </c>
      <c r="P16">
        <v>0.28000000000000003</v>
      </c>
      <c r="Q16">
        <v>0.33</v>
      </c>
      <c r="R16">
        <v>7.4999999999999997E-2</v>
      </c>
      <c r="S16">
        <v>0.11</v>
      </c>
      <c r="T16">
        <v>0.13400000000000001</v>
      </c>
      <c r="U16">
        <v>0.16</v>
      </c>
      <c r="V16">
        <v>0.18</v>
      </c>
      <c r="W16">
        <v>0.14499999999999999</v>
      </c>
      <c r="X16">
        <v>0.29299999999999998</v>
      </c>
      <c r="Y16">
        <v>0.05</v>
      </c>
      <c r="Z16">
        <v>0.1572968096604524</v>
      </c>
      <c r="AA16">
        <v>8</v>
      </c>
      <c r="AB16">
        <v>0.04</v>
      </c>
    </row>
    <row r="17" spans="2:28" x14ac:dyDescent="0.25">
      <c r="B17" t="s">
        <v>195</v>
      </c>
      <c r="C17">
        <v>0.22</v>
      </c>
      <c r="D17">
        <v>0.16</v>
      </c>
      <c r="E17">
        <v>0.13</v>
      </c>
      <c r="F17">
        <v>0.16</v>
      </c>
      <c r="G17">
        <v>0.2</v>
      </c>
      <c r="H17">
        <v>0.13</v>
      </c>
      <c r="I17">
        <v>0.14499999999999999</v>
      </c>
      <c r="J17">
        <v>0.15</v>
      </c>
      <c r="K17">
        <v>0.155</v>
      </c>
      <c r="L17">
        <v>0.7</v>
      </c>
      <c r="M17">
        <v>-0.15</v>
      </c>
      <c r="N17">
        <v>-0.05</v>
      </c>
      <c r="O17">
        <v>0.55000000000000004</v>
      </c>
      <c r="P17">
        <v>0.28000000000000003</v>
      </c>
      <c r="Q17">
        <v>0.33</v>
      </c>
      <c r="R17">
        <v>7.4999999999999997E-2</v>
      </c>
      <c r="S17">
        <v>0.11</v>
      </c>
      <c r="T17">
        <v>0.13400000000000001</v>
      </c>
      <c r="U17">
        <v>0.16</v>
      </c>
      <c r="V17">
        <v>0.18</v>
      </c>
      <c r="W17">
        <v>0.14499999999999999</v>
      </c>
      <c r="X17">
        <v>0.29299999999999998</v>
      </c>
      <c r="Y17">
        <v>0.05</v>
      </c>
      <c r="Z17">
        <v>0.1572968096604524</v>
      </c>
      <c r="AA17">
        <v>3</v>
      </c>
      <c r="AB17">
        <v>0.01</v>
      </c>
    </row>
    <row r="18" spans="2:28" x14ac:dyDescent="0.25">
      <c r="B18" t="s">
        <v>196</v>
      </c>
      <c r="C18">
        <v>0.22</v>
      </c>
      <c r="D18">
        <v>0.16</v>
      </c>
      <c r="E18">
        <v>0.13</v>
      </c>
      <c r="F18">
        <v>0.16</v>
      </c>
      <c r="G18">
        <v>0.2</v>
      </c>
      <c r="H18">
        <v>0.13</v>
      </c>
      <c r="I18">
        <v>0.14499999999999999</v>
      </c>
      <c r="J18">
        <v>0.15</v>
      </c>
      <c r="K18">
        <v>0.155</v>
      </c>
      <c r="L18">
        <v>0.7</v>
      </c>
      <c r="M18">
        <v>-0.15</v>
      </c>
      <c r="N18">
        <v>-0.05</v>
      </c>
      <c r="O18">
        <v>0.55000000000000004</v>
      </c>
      <c r="P18">
        <v>0.28000000000000003</v>
      </c>
      <c r="Q18">
        <v>0.33</v>
      </c>
      <c r="R18">
        <v>7.4999999999999997E-2</v>
      </c>
      <c r="S18">
        <v>0.11</v>
      </c>
      <c r="T18">
        <v>0.13400000000000001</v>
      </c>
      <c r="U18">
        <v>0.16</v>
      </c>
      <c r="V18">
        <v>0.18</v>
      </c>
      <c r="W18">
        <v>0.14499999999999999</v>
      </c>
      <c r="X18">
        <v>0.29299999999999998</v>
      </c>
      <c r="Y18">
        <v>0.05</v>
      </c>
      <c r="Z18">
        <v>0.105</v>
      </c>
      <c r="AA18">
        <v>5.5</v>
      </c>
      <c r="AB18">
        <v>2.5000000000000001E-2</v>
      </c>
    </row>
    <row r="19" spans="2:28" x14ac:dyDescent="0.25">
      <c r="B19" t="s">
        <v>197</v>
      </c>
      <c r="C19">
        <v>0.22</v>
      </c>
      <c r="D19">
        <v>0.16</v>
      </c>
      <c r="E19">
        <v>0.13</v>
      </c>
      <c r="F19">
        <v>0.16</v>
      </c>
      <c r="G19">
        <v>0.2</v>
      </c>
      <c r="H19">
        <v>0.13</v>
      </c>
      <c r="I19">
        <v>0.14499999999999999</v>
      </c>
      <c r="J19">
        <v>0.15</v>
      </c>
      <c r="K19">
        <v>0.155</v>
      </c>
      <c r="L19">
        <v>0.7</v>
      </c>
      <c r="M19">
        <v>-0.15</v>
      </c>
      <c r="N19">
        <v>-0.05</v>
      </c>
      <c r="O19">
        <v>0.55000000000000004</v>
      </c>
      <c r="P19">
        <v>0.28000000000000003</v>
      </c>
      <c r="Q19">
        <v>0.33</v>
      </c>
      <c r="R19">
        <v>7.4999999999999997E-2</v>
      </c>
      <c r="S19">
        <v>0.11</v>
      </c>
      <c r="T19">
        <v>0.13400000000000001</v>
      </c>
      <c r="U19">
        <v>0.16</v>
      </c>
      <c r="V19">
        <v>0.18</v>
      </c>
      <c r="W19">
        <v>0.14499999999999999</v>
      </c>
      <c r="X19">
        <v>0.29299999999999998</v>
      </c>
      <c r="Y19">
        <v>0.05</v>
      </c>
      <c r="Z19">
        <v>0.19</v>
      </c>
      <c r="AA19">
        <v>5.5</v>
      </c>
      <c r="AB19">
        <v>2.5000000000000001E-2</v>
      </c>
    </row>
    <row r="20" spans="2:28" x14ac:dyDescent="0.25">
      <c r="B20" t="s">
        <v>198</v>
      </c>
      <c r="C20">
        <v>0.32</v>
      </c>
      <c r="D20">
        <v>0.16</v>
      </c>
      <c r="E20">
        <v>0.13</v>
      </c>
      <c r="F20">
        <v>0.13</v>
      </c>
      <c r="G20">
        <v>0.14000000000000001</v>
      </c>
      <c r="H20">
        <v>0.13</v>
      </c>
      <c r="I20">
        <v>0.14499999999999999</v>
      </c>
      <c r="J20">
        <v>0.15</v>
      </c>
      <c r="K20">
        <v>0.18</v>
      </c>
      <c r="L20">
        <v>1.4</v>
      </c>
      <c r="M20">
        <v>-0.15</v>
      </c>
      <c r="N20">
        <v>-0.05</v>
      </c>
      <c r="O20">
        <v>0.7</v>
      </c>
      <c r="P20">
        <v>0.4</v>
      </c>
      <c r="Q20">
        <v>0.33</v>
      </c>
      <c r="R20">
        <v>7.4999999999999997E-2</v>
      </c>
      <c r="S20">
        <v>0.11</v>
      </c>
      <c r="T20">
        <v>0.13400000000000001</v>
      </c>
      <c r="U20">
        <v>0.14000000000000001</v>
      </c>
      <c r="V20">
        <v>0.18</v>
      </c>
      <c r="W20">
        <v>0.11</v>
      </c>
      <c r="X20">
        <v>0.29299999999999998</v>
      </c>
      <c r="Y20">
        <v>0.05</v>
      </c>
      <c r="Z20">
        <v>0.105</v>
      </c>
      <c r="AA20">
        <v>14</v>
      </c>
      <c r="AB20">
        <v>4.4999999999999998E-2</v>
      </c>
    </row>
    <row r="21" spans="2:28" x14ac:dyDescent="0.25">
      <c r="B21" t="s">
        <v>199</v>
      </c>
      <c r="C21">
        <v>0.16</v>
      </c>
      <c r="D21">
        <v>0.1</v>
      </c>
      <c r="E21">
        <v>0.1</v>
      </c>
      <c r="F21">
        <v>0.22</v>
      </c>
      <c r="G21">
        <v>0.26</v>
      </c>
      <c r="H21">
        <v>0.13</v>
      </c>
      <c r="I21">
        <v>0.14499999999999999</v>
      </c>
      <c r="J21">
        <v>0.15</v>
      </c>
      <c r="K21">
        <v>0.13</v>
      </c>
      <c r="L21">
        <v>0.7</v>
      </c>
      <c r="M21">
        <v>-0.35</v>
      </c>
      <c r="N21">
        <v>-0.05</v>
      </c>
      <c r="O21">
        <v>0.44</v>
      </c>
      <c r="P21">
        <v>-0.1</v>
      </c>
      <c r="Q21">
        <v>0.22</v>
      </c>
      <c r="R21">
        <v>7.4999999999999997E-2</v>
      </c>
      <c r="S21">
        <v>0.11</v>
      </c>
      <c r="T21">
        <v>0.13400000000000001</v>
      </c>
      <c r="U21">
        <v>0.16</v>
      </c>
      <c r="V21">
        <v>0.27</v>
      </c>
      <c r="W21">
        <v>0.14499999999999999</v>
      </c>
      <c r="X21">
        <v>0.29299999999999998</v>
      </c>
      <c r="Y21">
        <v>0.05</v>
      </c>
      <c r="Z21">
        <v>0.19500000000000001</v>
      </c>
      <c r="AA21">
        <v>3</v>
      </c>
      <c r="AB21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2"/>
  <sheetViews>
    <sheetView workbookViewId="0"/>
  </sheetViews>
  <sheetFormatPr defaultRowHeight="15" x14ac:dyDescent="0.25"/>
  <cols>
    <col min="1" max="1" width="2" customWidth="1"/>
    <col min="2" max="2" width="40" customWidth="1"/>
    <col min="3" max="5" width="13" customWidth="1"/>
    <col min="6" max="6" width="14" customWidth="1"/>
    <col min="7" max="7" width="38" customWidth="1"/>
  </cols>
  <sheetData>
    <row r="2" spans="2:7" ht="18.75" x14ac:dyDescent="0.3">
      <c r="B2" s="1" t="s">
        <v>200</v>
      </c>
    </row>
    <row r="4" spans="2:7" ht="15.75" x14ac:dyDescent="0.25">
      <c r="B4" s="3" t="s">
        <v>201</v>
      </c>
      <c r="C4" s="15" t="s">
        <v>184</v>
      </c>
      <c r="D4" s="2" t="s">
        <v>202</v>
      </c>
    </row>
    <row r="6" spans="2:7" ht="45" x14ac:dyDescent="0.25">
      <c r="B6" s="11" t="s">
        <v>203</v>
      </c>
      <c r="C6" s="11" t="s">
        <v>204</v>
      </c>
      <c r="D6" s="11" t="s">
        <v>205</v>
      </c>
      <c r="E6" s="11" t="s">
        <v>206</v>
      </c>
      <c r="F6" s="11" t="s">
        <v>207</v>
      </c>
      <c r="G6" s="11" t="s">
        <v>208</v>
      </c>
    </row>
    <row r="7" spans="2:7" x14ac:dyDescent="0.25">
      <c r="B7" t="s">
        <v>209</v>
      </c>
      <c r="C7" s="10">
        <v>0.16</v>
      </c>
      <c r="D7" s="10">
        <v>0.22</v>
      </c>
      <c r="E7" s="10">
        <v>0.32</v>
      </c>
      <c r="F7" s="16">
        <f>INDEX('Scenario Library'!$C$6:$C$21,MATCH($C$4,'Scenario Library'!$B$6:$B$21,0))</f>
        <v>0.22</v>
      </c>
      <c r="G7" t="s">
        <v>210</v>
      </c>
    </row>
    <row r="8" spans="2:7" x14ac:dyDescent="0.25">
      <c r="B8" t="s">
        <v>211</v>
      </c>
      <c r="C8" s="10">
        <v>0.1</v>
      </c>
      <c r="D8" s="10">
        <v>0.16</v>
      </c>
      <c r="E8" s="10">
        <v>0.22</v>
      </c>
      <c r="F8" s="16">
        <f>INDEX('Scenario Library'!$D$6:$D$21,MATCH($C$4,'Scenario Library'!$B$6:$B$21,0))</f>
        <v>0.16</v>
      </c>
      <c r="G8" t="s">
        <v>212</v>
      </c>
    </row>
    <row r="9" spans="2:7" x14ac:dyDescent="0.25">
      <c r="B9" t="s">
        <v>213</v>
      </c>
      <c r="C9" s="10">
        <v>0.1</v>
      </c>
      <c r="D9" s="10">
        <v>0.13</v>
      </c>
      <c r="E9" s="10">
        <v>0.18</v>
      </c>
      <c r="F9" s="16">
        <f>INDEX('Scenario Library'!$E$6:$E$21,MATCH($C$4,'Scenario Library'!$B$6:$B$21,0))</f>
        <v>0.13</v>
      </c>
      <c r="G9" t="s">
        <v>214</v>
      </c>
    </row>
    <row r="10" spans="2:7" x14ac:dyDescent="0.25">
      <c r="B10" t="s">
        <v>215</v>
      </c>
      <c r="C10" s="10">
        <v>0.13</v>
      </c>
      <c r="D10" s="10">
        <v>0.16</v>
      </c>
      <c r="E10" s="10">
        <v>0.22</v>
      </c>
      <c r="F10" s="16">
        <f>INDEX('Scenario Library'!$F$6:$F$21,MATCH($C$4,'Scenario Library'!$B$6:$B$21,0))</f>
        <v>0.16</v>
      </c>
      <c r="G10" t="s">
        <v>216</v>
      </c>
    </row>
    <row r="11" spans="2:7" x14ac:dyDescent="0.25">
      <c r="B11" t="s">
        <v>217</v>
      </c>
      <c r="C11" s="10">
        <v>0.14000000000000001</v>
      </c>
      <c r="D11" s="10">
        <v>0.2</v>
      </c>
      <c r="E11" s="10">
        <v>0.26</v>
      </c>
      <c r="F11" s="16">
        <f>INDEX('Scenario Library'!$G$6:$G$21,MATCH($C$4,'Scenario Library'!$B$6:$B$21,0))</f>
        <v>0.2</v>
      </c>
      <c r="G11" t="s">
        <v>218</v>
      </c>
    </row>
    <row r="12" spans="2:7" x14ac:dyDescent="0.25">
      <c r="B12" t="s">
        <v>219</v>
      </c>
      <c r="C12" s="10">
        <v>0.1</v>
      </c>
      <c r="D12" s="10">
        <v>0.13</v>
      </c>
      <c r="E12" s="10">
        <v>0.18</v>
      </c>
      <c r="F12" s="16">
        <f>INDEX('Scenario Library'!$H$6:$H$21,MATCH($C$4,'Scenario Library'!$B$6:$B$21,0))</f>
        <v>0.13</v>
      </c>
      <c r="G12" t="s">
        <v>220</v>
      </c>
    </row>
    <row r="13" spans="2:7" x14ac:dyDescent="0.25">
      <c r="B13" t="s">
        <v>221</v>
      </c>
      <c r="C13" s="10">
        <v>0.13500000000000001</v>
      </c>
      <c r="D13" s="10">
        <v>0.14499999999999999</v>
      </c>
      <c r="E13" s="10">
        <v>0.155</v>
      </c>
      <c r="F13" s="16">
        <f>INDEX('Scenario Library'!$I$6:$I$21,MATCH($C$4,'Scenario Library'!$B$6:$B$21,0))</f>
        <v>0.14499999999999999</v>
      </c>
      <c r="G13" t="s">
        <v>222</v>
      </c>
    </row>
    <row r="14" spans="2:7" x14ac:dyDescent="0.25">
      <c r="B14" t="s">
        <v>223</v>
      </c>
      <c r="C14" s="10">
        <v>0.13</v>
      </c>
      <c r="D14" s="10">
        <v>0.15</v>
      </c>
      <c r="E14" s="10">
        <v>0.16500000000000001</v>
      </c>
      <c r="F14" s="16">
        <f>INDEX('Scenario Library'!$J$6:$J$21,MATCH($C$4,'Scenario Library'!$B$6:$B$21,0))</f>
        <v>0.15</v>
      </c>
      <c r="G14" t="s">
        <v>224</v>
      </c>
    </row>
    <row r="15" spans="2:7" x14ac:dyDescent="0.25">
      <c r="B15" t="s">
        <v>225</v>
      </c>
      <c r="C15" s="10">
        <v>0.13</v>
      </c>
      <c r="D15" s="10">
        <v>0.155</v>
      </c>
      <c r="E15" s="10">
        <v>0.18</v>
      </c>
      <c r="F15" s="16">
        <f>INDEX('Scenario Library'!$K$6:$K$21,MATCH($C$4,'Scenario Library'!$B$6:$B$21,0))</f>
        <v>0.155</v>
      </c>
      <c r="G15" t="s">
        <v>226</v>
      </c>
    </row>
    <row r="16" spans="2:7" x14ac:dyDescent="0.25">
      <c r="B16" t="s">
        <v>227</v>
      </c>
      <c r="C16" s="10">
        <v>0.3</v>
      </c>
      <c r="D16" s="10">
        <v>0.7</v>
      </c>
      <c r="E16" s="10">
        <v>1.4</v>
      </c>
      <c r="F16" s="16">
        <f>INDEX('Scenario Library'!$L$6:$L$21,MATCH($C$4,'Scenario Library'!$B$6:$B$21,0))</f>
        <v>0.7</v>
      </c>
      <c r="G16" t="s">
        <v>228</v>
      </c>
    </row>
    <row r="17" spans="2:7" x14ac:dyDescent="0.25">
      <c r="B17" t="s">
        <v>229</v>
      </c>
      <c r="C17" s="10">
        <v>-0.35</v>
      </c>
      <c r="D17" s="10">
        <v>-0.15</v>
      </c>
      <c r="E17" s="10">
        <v>0</v>
      </c>
      <c r="F17" s="16">
        <f>INDEX('Scenario Library'!$M$6:$M$21,MATCH($C$4,'Scenario Library'!$B$6:$B$21,0))</f>
        <v>-0.15</v>
      </c>
      <c r="G17" t="s">
        <v>230</v>
      </c>
    </row>
    <row r="18" spans="2:7" x14ac:dyDescent="0.25">
      <c r="B18" t="s">
        <v>231</v>
      </c>
      <c r="C18" s="10">
        <v>-0.2</v>
      </c>
      <c r="D18" s="10">
        <v>-0.05</v>
      </c>
      <c r="E18" s="10">
        <v>0.1</v>
      </c>
      <c r="F18" s="16">
        <f>INDEX('Scenario Library'!$N$6:$N$21,MATCH($C$4,'Scenario Library'!$B$6:$B$21,0))</f>
        <v>-0.05</v>
      </c>
      <c r="G18" t="s">
        <v>232</v>
      </c>
    </row>
    <row r="19" spans="2:7" x14ac:dyDescent="0.25">
      <c r="B19" t="s">
        <v>233</v>
      </c>
      <c r="C19" s="10">
        <v>0.44</v>
      </c>
      <c r="D19" s="10">
        <v>0.55000000000000004</v>
      </c>
      <c r="E19" s="10">
        <v>0.7</v>
      </c>
      <c r="F19" s="16">
        <f>INDEX('Scenario Library'!$O$6:$O$21,MATCH($C$4,'Scenario Library'!$B$6:$B$21,0))</f>
        <v>0.55000000000000004</v>
      </c>
      <c r="G19" t="s">
        <v>234</v>
      </c>
    </row>
    <row r="20" spans="2:7" x14ac:dyDescent="0.25">
      <c r="B20" t="s">
        <v>235</v>
      </c>
      <c r="C20" s="10">
        <v>-0.1</v>
      </c>
      <c r="D20" s="10">
        <v>0.28000000000000003</v>
      </c>
      <c r="E20" s="10">
        <v>0.45</v>
      </c>
      <c r="F20" s="16">
        <f>INDEX('Scenario Library'!$P$6:$P$21,MATCH($C$4,'Scenario Library'!$B$6:$B$21,0))</f>
        <v>0.28000000000000003</v>
      </c>
      <c r="G20" t="s">
        <v>236</v>
      </c>
    </row>
    <row r="21" spans="2:7" x14ac:dyDescent="0.25">
      <c r="B21" t="s">
        <v>237</v>
      </c>
      <c r="C21" s="10">
        <v>0.24</v>
      </c>
      <c r="D21" s="10">
        <v>0.33</v>
      </c>
      <c r="E21" s="10">
        <v>0.46</v>
      </c>
      <c r="F21" s="16">
        <f>INDEX('Scenario Library'!$Q$6:$Q$21,MATCH($C$4,'Scenario Library'!$B$6:$B$21,0))</f>
        <v>0.33</v>
      </c>
      <c r="G21" t="s">
        <v>238</v>
      </c>
    </row>
    <row r="22" spans="2:7" x14ac:dyDescent="0.25">
      <c r="B22" t="s">
        <v>239</v>
      </c>
      <c r="C22" s="10">
        <v>5.5E-2</v>
      </c>
      <c r="D22" s="10">
        <v>7.4999999999999997E-2</v>
      </c>
      <c r="E22" s="10">
        <v>9.5000000000000001E-2</v>
      </c>
      <c r="F22" s="16">
        <f>INDEX('Scenario Library'!$R$6:$R$21,MATCH($C$4,'Scenario Library'!$B$6:$B$21,0))</f>
        <v>7.4999999999999997E-2</v>
      </c>
      <c r="G22" t="s">
        <v>240</v>
      </c>
    </row>
    <row r="23" spans="2:7" x14ac:dyDescent="0.25">
      <c r="B23" t="s">
        <v>241</v>
      </c>
      <c r="C23" s="10">
        <v>0.09</v>
      </c>
      <c r="D23" s="10">
        <v>0.11</v>
      </c>
      <c r="E23" s="10">
        <v>0.14000000000000001</v>
      </c>
      <c r="F23" s="16">
        <f>INDEX('Scenario Library'!$S$6:$S$21,MATCH($C$4,'Scenario Library'!$B$6:$B$21,0))</f>
        <v>0.11</v>
      </c>
      <c r="G23" t="s">
        <v>242</v>
      </c>
    </row>
    <row r="24" spans="2:7" x14ac:dyDescent="0.25">
      <c r="B24" t="s">
        <v>243</v>
      </c>
      <c r="C24" s="10">
        <v>0.11</v>
      </c>
      <c r="D24" s="10">
        <v>0.13400000000000001</v>
      </c>
      <c r="E24" s="10">
        <v>0.155</v>
      </c>
      <c r="F24" s="16">
        <f>INDEX('Scenario Library'!$T$6:$T$21,MATCH($C$4,'Scenario Library'!$B$6:$B$21,0))</f>
        <v>0.13400000000000001</v>
      </c>
      <c r="G24" t="s">
        <v>244</v>
      </c>
    </row>
    <row r="25" spans="2:7" x14ac:dyDescent="0.25">
      <c r="B25" t="s">
        <v>245</v>
      </c>
      <c r="C25" s="10">
        <v>0.14000000000000001</v>
      </c>
      <c r="D25" s="10">
        <v>0.16</v>
      </c>
      <c r="E25" s="10">
        <v>0.185</v>
      </c>
      <c r="F25" s="16">
        <f>INDEX('Scenario Library'!$U$6:$U$21,MATCH($C$4,'Scenario Library'!$B$6:$B$21,0))</f>
        <v>0.16</v>
      </c>
      <c r="G25" t="s">
        <v>246</v>
      </c>
    </row>
    <row r="26" spans="2:7" x14ac:dyDescent="0.25">
      <c r="B26" t="s">
        <v>247</v>
      </c>
      <c r="C26" s="10">
        <v>0.12</v>
      </c>
      <c r="D26" s="10">
        <v>0.18</v>
      </c>
      <c r="E26" s="10">
        <v>0.27</v>
      </c>
      <c r="F26" s="16">
        <f>INDEX('Scenario Library'!$V$6:$V$21,MATCH($C$4,'Scenario Library'!$B$6:$B$21,0))</f>
        <v>0.18</v>
      </c>
      <c r="G26" t="s">
        <v>248</v>
      </c>
    </row>
    <row r="27" spans="2:7" x14ac:dyDescent="0.25">
      <c r="B27" t="s">
        <v>249</v>
      </c>
      <c r="C27" s="10">
        <v>0.11</v>
      </c>
      <c r="D27" s="10">
        <v>0.14499999999999999</v>
      </c>
      <c r="E27" s="10">
        <v>0.19</v>
      </c>
      <c r="F27" s="16">
        <f>INDEX('Scenario Library'!$W$6:$W$21,MATCH($C$4,'Scenario Library'!$B$6:$B$21,0))</f>
        <v>0.14499999999999999</v>
      </c>
      <c r="G27" t="s">
        <v>250</v>
      </c>
    </row>
    <row r="28" spans="2:7" x14ac:dyDescent="0.25">
      <c r="B28" t="s">
        <v>28</v>
      </c>
      <c r="C28" s="10">
        <v>0.27</v>
      </c>
      <c r="D28" s="10">
        <v>0.29299999999999998</v>
      </c>
      <c r="E28" s="10">
        <v>0.31</v>
      </c>
      <c r="F28" s="16">
        <f>INDEX('Scenario Library'!$X$6:$X$21,MATCH($C$4,'Scenario Library'!$B$6:$B$21,0))</f>
        <v>0.29299999999999998</v>
      </c>
      <c r="G28" t="s">
        <v>251</v>
      </c>
    </row>
    <row r="29" spans="2:7" x14ac:dyDescent="0.25">
      <c r="B29" t="s">
        <v>252</v>
      </c>
      <c r="C29" s="10">
        <v>0.02</v>
      </c>
      <c r="D29" s="10">
        <v>0.05</v>
      </c>
      <c r="E29" s="10">
        <v>0.09</v>
      </c>
      <c r="F29" s="16">
        <f>INDEX('Scenario Library'!$Y$6:$Y$21,MATCH($C$4,'Scenario Library'!$B$6:$B$21,0))</f>
        <v>0.05</v>
      </c>
      <c r="G29" t="s">
        <v>253</v>
      </c>
    </row>
    <row r="30" spans="2:7" x14ac:dyDescent="0.25">
      <c r="B30" t="s">
        <v>254</v>
      </c>
      <c r="C30" s="10">
        <v>0.1</v>
      </c>
      <c r="D30" s="10">
        <v>0.1572968096604524</v>
      </c>
      <c r="E30" s="10">
        <v>0.19500000000000001</v>
      </c>
      <c r="F30" s="16">
        <f>INDEX('Scenario Library'!$Z$6:$Z$21,MATCH($C$4,'Scenario Library'!$B$6:$B$21,0))</f>
        <v>0.1572968096604524</v>
      </c>
      <c r="G30" t="s">
        <v>255</v>
      </c>
    </row>
    <row r="31" spans="2:7" x14ac:dyDescent="0.25">
      <c r="B31" t="s">
        <v>256</v>
      </c>
      <c r="C31" s="6">
        <v>3</v>
      </c>
      <c r="D31" s="6">
        <v>5.5</v>
      </c>
      <c r="E31" s="6">
        <v>14</v>
      </c>
      <c r="F31" s="17">
        <f>INDEX('Scenario Library'!$AA$6:$AA$21,MATCH($C$4,'Scenario Library'!$B$6:$B$21,0))</f>
        <v>5.5</v>
      </c>
      <c r="G31" t="s">
        <v>257</v>
      </c>
    </row>
    <row r="32" spans="2:7" x14ac:dyDescent="0.25">
      <c r="B32" t="s">
        <v>258</v>
      </c>
      <c r="C32" s="10">
        <v>0.01</v>
      </c>
      <c r="D32" s="10">
        <v>2.5000000000000001E-2</v>
      </c>
      <c r="E32" s="10">
        <v>4.4999999999999998E-2</v>
      </c>
      <c r="F32" s="16">
        <f>INDEX('Scenario Library'!$AB$6:$AB$21,MATCH($C$4,'Scenario Library'!$B$6:$B$21,0))</f>
        <v>2.5000000000000001E-2</v>
      </c>
      <c r="G32" t="s">
        <v>259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'Scenario Library'!$B$6:$B$21</xm:f>
          </x14:formula1>
          <xm:sqref>C4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71"/>
  <sheetViews>
    <sheetView workbookViewId="0"/>
  </sheetViews>
  <sheetFormatPr defaultRowHeight="15" x14ac:dyDescent="0.25"/>
  <cols>
    <col min="1" max="1" width="2" customWidth="1"/>
    <col min="2" max="2" width="36" customWidth="1"/>
    <col min="3" max="8" width="13" customWidth="1"/>
  </cols>
  <sheetData>
    <row r="2" spans="2:8" ht="18.75" x14ac:dyDescent="0.3">
      <c r="B2" s="1" t="s">
        <v>260</v>
      </c>
    </row>
    <row r="3" spans="2:8" x14ac:dyDescent="0.25">
      <c r="B3" s="2" t="s">
        <v>261</v>
      </c>
    </row>
    <row r="5" spans="2:8" x14ac:dyDescent="0.25">
      <c r="B5" s="11" t="s">
        <v>262</v>
      </c>
      <c r="C5" s="11" t="s">
        <v>263</v>
      </c>
      <c r="D5" s="11" t="s">
        <v>264</v>
      </c>
      <c r="E5" s="11" t="s">
        <v>265</v>
      </c>
      <c r="F5" s="11" t="s">
        <v>266</v>
      </c>
      <c r="G5" s="11" t="s">
        <v>267</v>
      </c>
      <c r="H5" s="11" t="s">
        <v>268</v>
      </c>
    </row>
    <row r="7" spans="2:8" x14ac:dyDescent="0.25">
      <c r="B7" s="8" t="s">
        <v>269</v>
      </c>
      <c r="C7" s="9"/>
      <c r="D7" s="9"/>
      <c r="E7" s="9"/>
      <c r="F7" s="9"/>
      <c r="G7" s="9"/>
      <c r="H7" s="9"/>
    </row>
    <row r="8" spans="2:8" x14ac:dyDescent="0.25">
      <c r="B8" t="s">
        <v>270</v>
      </c>
      <c r="C8" s="10"/>
      <c r="D8" s="10">
        <f>Assumptions!$F$7</f>
        <v>0.22</v>
      </c>
      <c r="E8" s="10">
        <f>AVERAGE(D8,F8)</f>
        <v>0.19</v>
      </c>
      <c r="F8" s="10">
        <f>Assumptions!$F$8</f>
        <v>0.16</v>
      </c>
      <c r="G8" s="10">
        <f>AVERAGE(F8,H8)</f>
        <v>0.14500000000000002</v>
      </c>
      <c r="H8" s="10">
        <f>Assumptions!$F$9</f>
        <v>0.13</v>
      </c>
    </row>
    <row r="9" spans="2:8" x14ac:dyDescent="0.25">
      <c r="B9" t="s">
        <v>271</v>
      </c>
      <c r="C9" s="6">
        <v>850</v>
      </c>
      <c r="D9" s="6">
        <f>C9*(1+D8)</f>
        <v>1037</v>
      </c>
      <c r="E9" s="6">
        <f>D9*(1+E8)</f>
        <v>1234.03</v>
      </c>
      <c r="F9" s="6">
        <f>E9*(1+F8)</f>
        <v>1431.4748</v>
      </c>
      <c r="G9" s="6">
        <f>F9*(1+G8)</f>
        <v>1639.038646</v>
      </c>
      <c r="H9" s="6">
        <f>G9*(1+H8)</f>
        <v>1852.1136699799997</v>
      </c>
    </row>
    <row r="10" spans="2:8" x14ac:dyDescent="0.25">
      <c r="B10" t="s">
        <v>272</v>
      </c>
      <c r="C10" s="10"/>
      <c r="D10" s="10">
        <f>Assumptions!$F$10</f>
        <v>0.16</v>
      </c>
      <c r="E10" s="10">
        <f>AVERAGE(D10,F10)</f>
        <v>0.18</v>
      </c>
      <c r="F10" s="10">
        <f>Assumptions!$F$11</f>
        <v>0.2</v>
      </c>
      <c r="G10" s="10">
        <f>AVERAGE(F10,H10)</f>
        <v>0.16500000000000001</v>
      </c>
      <c r="H10" s="10">
        <f>Assumptions!$F$12</f>
        <v>0.13</v>
      </c>
    </row>
    <row r="11" spans="2:8" x14ac:dyDescent="0.25">
      <c r="B11" t="s">
        <v>273</v>
      </c>
      <c r="C11" s="10">
        <v>0.13500000000000001</v>
      </c>
      <c r="D11" s="10">
        <f>Assumptions!$F$13</f>
        <v>0.14499999999999999</v>
      </c>
      <c r="E11" s="10">
        <f>AVERAGE(D11,F11)</f>
        <v>0.14749999999999999</v>
      </c>
      <c r="F11" s="10">
        <f>Assumptions!$F$14</f>
        <v>0.15</v>
      </c>
      <c r="G11" s="10">
        <f>AVERAGE(F11,H11)</f>
        <v>0.1525</v>
      </c>
      <c r="H11" s="10">
        <f>Assumptions!$F$15</f>
        <v>0.155</v>
      </c>
    </row>
    <row r="12" spans="2:8" x14ac:dyDescent="0.25">
      <c r="B12" t="s">
        <v>274</v>
      </c>
      <c r="C12" s="6">
        <f t="shared" ref="C12:H12" si="0">C9*C11</f>
        <v>114.75000000000001</v>
      </c>
      <c r="D12" s="6">
        <f t="shared" si="0"/>
        <v>150.36499999999998</v>
      </c>
      <c r="E12" s="6">
        <f t="shared" si="0"/>
        <v>182.01942499999998</v>
      </c>
      <c r="F12" s="6">
        <f t="shared" si="0"/>
        <v>214.72121999999999</v>
      </c>
      <c r="G12" s="6">
        <f t="shared" si="0"/>
        <v>249.95339351499999</v>
      </c>
      <c r="H12" s="6">
        <f t="shared" si="0"/>
        <v>287.07761884689995</v>
      </c>
    </row>
    <row r="13" spans="2:8" x14ac:dyDescent="0.25">
      <c r="B13" t="s">
        <v>275</v>
      </c>
      <c r="C13" s="10"/>
      <c r="D13" s="10">
        <f>Assumptions!$F$16</f>
        <v>0.7</v>
      </c>
      <c r="E13" s="10">
        <f>AVERAGE(D13,F13)</f>
        <v>0.27499999999999997</v>
      </c>
      <c r="F13" s="10">
        <f>Assumptions!$F$17</f>
        <v>-0.15</v>
      </c>
      <c r="G13" s="10">
        <f>AVERAGE(F13,H13)</f>
        <v>-0.1</v>
      </c>
      <c r="H13" s="10">
        <f>Assumptions!$F$18</f>
        <v>-0.05</v>
      </c>
    </row>
    <row r="14" spans="2:8" x14ac:dyDescent="0.25">
      <c r="B14" t="s">
        <v>276</v>
      </c>
      <c r="C14" s="5">
        <v>116.8238136772115</v>
      </c>
      <c r="D14" s="5">
        <f>C14*(1+D13)</f>
        <v>198.60048325125956</v>
      </c>
      <c r="E14" s="5">
        <f>D14*(1+E13)</f>
        <v>253.21561614535591</v>
      </c>
      <c r="F14" s="5">
        <f>E14*(1+F13)</f>
        <v>215.23327372355251</v>
      </c>
      <c r="G14" s="5">
        <f>F14*(1+G13)</f>
        <v>193.70994635119726</v>
      </c>
      <c r="H14" s="5">
        <f>G14*(1+H13)</f>
        <v>184.02444903363738</v>
      </c>
    </row>
    <row r="15" spans="2:8" x14ac:dyDescent="0.25">
      <c r="B15" t="s">
        <v>277</v>
      </c>
      <c r="C15" s="6">
        <f t="shared" ref="C15:H15" si="1">C12*C14</f>
        <v>13405.532619460022</v>
      </c>
      <c r="D15" s="6">
        <f t="shared" si="1"/>
        <v>29862.561664075642</v>
      </c>
      <c r="E15" s="6">
        <f t="shared" si="1"/>
        <v>46090.160851798391</v>
      </c>
      <c r="F15" s="6">
        <f t="shared" si="1"/>
        <v>46215.151118515139</v>
      </c>
      <c r="G15" s="6">
        <f t="shared" si="1"/>
        <v>48418.458448090343</v>
      </c>
      <c r="H15" s="6">
        <f t="shared" si="1"/>
        <v>52829.300638189321</v>
      </c>
    </row>
    <row r="16" spans="2:8" x14ac:dyDescent="0.25">
      <c r="B16" t="s">
        <v>278</v>
      </c>
      <c r="C16" s="6">
        <v>1165.6984886486971</v>
      </c>
      <c r="D16" s="6">
        <f>$C$16</f>
        <v>1165.6984886486971</v>
      </c>
      <c r="E16" s="6">
        <f>$C$16</f>
        <v>1165.6984886486971</v>
      </c>
      <c r="F16" s="6">
        <f>$C$16</f>
        <v>1165.6984886486971</v>
      </c>
      <c r="G16" s="6">
        <f>$C$16</f>
        <v>1165.6984886486971</v>
      </c>
      <c r="H16" s="6">
        <f>$C$16</f>
        <v>1165.6984886486971</v>
      </c>
    </row>
    <row r="17" spans="2:8" x14ac:dyDescent="0.25">
      <c r="B17" s="3" t="s">
        <v>279</v>
      </c>
      <c r="C17" s="18">
        <f t="shared" ref="C17:H17" si="2">C15+C16</f>
        <v>14571.231108108719</v>
      </c>
      <c r="D17" s="18">
        <f t="shared" si="2"/>
        <v>31028.260152724339</v>
      </c>
      <c r="E17" s="18">
        <f t="shared" si="2"/>
        <v>47255.859340447088</v>
      </c>
      <c r="F17" s="18">
        <f t="shared" si="2"/>
        <v>47380.849607163836</v>
      </c>
      <c r="G17" s="18">
        <f t="shared" si="2"/>
        <v>49584.15693673904</v>
      </c>
      <c r="H17" s="18">
        <f t="shared" si="2"/>
        <v>53994.999126838018</v>
      </c>
    </row>
    <row r="18" spans="2:8" x14ac:dyDescent="0.25">
      <c r="B18" t="s">
        <v>280</v>
      </c>
      <c r="C18" s="10"/>
      <c r="D18" s="10">
        <f>D17/C17-1</f>
        <v>1.1294192592592589</v>
      </c>
      <c r="E18" s="10">
        <f>E17/D17-1</f>
        <v>0.52299417072851684</v>
      </c>
      <c r="F18" s="10">
        <f>F17/E17-1</f>
        <v>2.6449686549190332E-3</v>
      </c>
      <c r="G18" s="10">
        <f>G17/F17-1</f>
        <v>4.6502064607175653E-2</v>
      </c>
      <c r="H18" s="10">
        <f>H17/G17-1</f>
        <v>8.8956684203110648E-2</v>
      </c>
    </row>
    <row r="20" spans="2:8" x14ac:dyDescent="0.25">
      <c r="B20" s="8" t="s">
        <v>281</v>
      </c>
      <c r="C20" s="9"/>
      <c r="D20" s="9"/>
      <c r="E20" s="9"/>
      <c r="F20" s="9"/>
      <c r="G20" s="9"/>
      <c r="H20" s="9"/>
    </row>
    <row r="21" spans="2:8" x14ac:dyDescent="0.25">
      <c r="B21" t="s">
        <v>282</v>
      </c>
      <c r="C21" s="10">
        <v>0.4333041869792798</v>
      </c>
      <c r="D21" s="10">
        <f>Assumptions!$F$19</f>
        <v>0.55000000000000004</v>
      </c>
      <c r="E21" s="10">
        <f>AVERAGE(D21,F21)</f>
        <v>0.41500000000000004</v>
      </c>
      <c r="F21" s="10">
        <f>Assumptions!$F$20</f>
        <v>0.28000000000000003</v>
      </c>
      <c r="G21" s="10">
        <f>AVERAGE(F21,H21)</f>
        <v>0.30500000000000005</v>
      </c>
      <c r="H21" s="10">
        <f>Assumptions!$F$21</f>
        <v>0.33</v>
      </c>
    </row>
    <row r="22" spans="2:8" x14ac:dyDescent="0.25">
      <c r="B22" t="s">
        <v>283</v>
      </c>
      <c r="C22" s="6">
        <f t="shared" ref="C22:H22" si="3">C17*C21</f>
        <v>6313.7754485862388</v>
      </c>
      <c r="D22" s="6">
        <f t="shared" si="3"/>
        <v>17065.543083998389</v>
      </c>
      <c r="E22" s="6">
        <f t="shared" si="3"/>
        <v>19611.181626285543</v>
      </c>
      <c r="F22" s="6">
        <f t="shared" si="3"/>
        <v>13266.637890005875</v>
      </c>
      <c r="G22" s="6">
        <f t="shared" si="3"/>
        <v>15123.167865705409</v>
      </c>
      <c r="H22" s="6">
        <f t="shared" si="3"/>
        <v>17818.349711856546</v>
      </c>
    </row>
    <row r="23" spans="2:8" x14ac:dyDescent="0.25">
      <c r="B23" t="s">
        <v>284</v>
      </c>
      <c r="C23" s="10">
        <v>6.2705015511450066E-2</v>
      </c>
      <c r="D23" s="10">
        <f>Assumptions!$F$22</f>
        <v>7.4999999999999997E-2</v>
      </c>
      <c r="E23" s="10">
        <f>D23+(H23-D23)*1/4</f>
        <v>8.3749999999999991E-2</v>
      </c>
      <c r="F23" s="10">
        <f>D23+(H23-D23)*2/4</f>
        <v>9.2499999999999999E-2</v>
      </c>
      <c r="G23" s="10">
        <f>D23+(H23-D23)*3/4</f>
        <v>0.10125000000000001</v>
      </c>
      <c r="H23" s="10">
        <f>Assumptions!$F$23</f>
        <v>0.11</v>
      </c>
    </row>
    <row r="24" spans="2:8" x14ac:dyDescent="0.25">
      <c r="B24" t="s">
        <v>285</v>
      </c>
      <c r="C24" s="6">
        <f t="shared" ref="C24:H24" si="4">C17*C23</f>
        <v>913.68927265488094</v>
      </c>
      <c r="D24" s="6">
        <f t="shared" si="4"/>
        <v>2327.1195114543252</v>
      </c>
      <c r="E24" s="6">
        <f t="shared" si="4"/>
        <v>3957.6782197624434</v>
      </c>
      <c r="F24" s="6">
        <f t="shared" si="4"/>
        <v>4382.7285886626551</v>
      </c>
      <c r="G24" s="6">
        <f t="shared" si="4"/>
        <v>5020.3958898448282</v>
      </c>
      <c r="H24" s="6">
        <f t="shared" si="4"/>
        <v>5939.4499039521825</v>
      </c>
    </row>
    <row r="25" spans="2:8" x14ac:dyDescent="0.25">
      <c r="B25" s="3" t="s">
        <v>286</v>
      </c>
      <c r="C25" s="18">
        <f t="shared" ref="C25:H25" si="5">C22-C24</f>
        <v>5400.0861759313575</v>
      </c>
      <c r="D25" s="18">
        <f t="shared" si="5"/>
        <v>14738.423572544063</v>
      </c>
      <c r="E25" s="18">
        <f t="shared" si="5"/>
        <v>15653.503406523099</v>
      </c>
      <c r="F25" s="18">
        <f t="shared" si="5"/>
        <v>8883.9093013432212</v>
      </c>
      <c r="G25" s="18">
        <f t="shared" si="5"/>
        <v>10102.771975860582</v>
      </c>
      <c r="H25" s="18">
        <f t="shared" si="5"/>
        <v>11878.899807904363</v>
      </c>
    </row>
    <row r="26" spans="2:8" x14ac:dyDescent="0.25">
      <c r="B26" t="s">
        <v>287</v>
      </c>
      <c r="C26" s="10">
        <f t="shared" ref="C26:H26" si="6">C25/C17</f>
        <v>0.37059917146782972</v>
      </c>
      <c r="D26" s="10">
        <f t="shared" si="6"/>
        <v>0.47500000000000009</v>
      </c>
      <c r="E26" s="10">
        <f t="shared" si="6"/>
        <v>0.33125000000000004</v>
      </c>
      <c r="F26" s="10">
        <f t="shared" si="6"/>
        <v>0.18750000000000003</v>
      </c>
      <c r="G26" s="10">
        <f t="shared" si="6"/>
        <v>0.20375000000000004</v>
      </c>
      <c r="H26" s="10">
        <f t="shared" si="6"/>
        <v>0.21999999999999997</v>
      </c>
    </row>
    <row r="27" spans="2:8" x14ac:dyDescent="0.25">
      <c r="B27" t="s">
        <v>28</v>
      </c>
      <c r="C27" s="10">
        <v>0.29282038528494642</v>
      </c>
      <c r="D27" s="10">
        <f>Assumptions!$F$28</f>
        <v>0.29299999999999998</v>
      </c>
      <c r="E27" s="10">
        <f>Assumptions!$F$28</f>
        <v>0.29299999999999998</v>
      </c>
      <c r="F27" s="10">
        <f>Assumptions!$F$28</f>
        <v>0.29299999999999998</v>
      </c>
      <c r="G27" s="10">
        <f>Assumptions!$F$28</f>
        <v>0.29299999999999998</v>
      </c>
      <c r="H27" s="10">
        <f>Assumptions!$F$28</f>
        <v>0.29299999999999998</v>
      </c>
    </row>
    <row r="28" spans="2:8" x14ac:dyDescent="0.25">
      <c r="B28" t="s">
        <v>288</v>
      </c>
      <c r="C28" s="6">
        <f t="shared" ref="C28:H28" si="7">-C25*C27</f>
        <v>-1581.2553146081329</v>
      </c>
      <c r="D28" s="6">
        <f t="shared" si="7"/>
        <v>-4318.3581067554105</v>
      </c>
      <c r="E28" s="6">
        <f t="shared" si="7"/>
        <v>-4586.4764981112676</v>
      </c>
      <c r="F28" s="6">
        <f t="shared" si="7"/>
        <v>-2602.9854252935638</v>
      </c>
      <c r="G28" s="6">
        <f t="shared" si="7"/>
        <v>-2960.1121889271503</v>
      </c>
      <c r="H28" s="6">
        <f t="shared" si="7"/>
        <v>-3480.517643715978</v>
      </c>
    </row>
    <row r="29" spans="2:8" x14ac:dyDescent="0.25">
      <c r="B29" s="3" t="s">
        <v>289</v>
      </c>
      <c r="C29" s="18">
        <f t="shared" ref="C29:H29" si="8">C25+C28</f>
        <v>3818.8308613232248</v>
      </c>
      <c r="D29" s="18">
        <f t="shared" si="8"/>
        <v>10420.065465788652</v>
      </c>
      <c r="E29" s="18">
        <f t="shared" si="8"/>
        <v>11067.026908411832</v>
      </c>
      <c r="F29" s="18">
        <f t="shared" si="8"/>
        <v>6280.9238760496573</v>
      </c>
      <c r="G29" s="18">
        <f t="shared" si="8"/>
        <v>7142.659786933431</v>
      </c>
      <c r="H29" s="18">
        <f t="shared" si="8"/>
        <v>8398.3821641883842</v>
      </c>
    </row>
    <row r="31" spans="2:8" x14ac:dyDescent="0.25">
      <c r="B31" s="8" t="s">
        <v>290</v>
      </c>
      <c r="C31" s="9"/>
      <c r="D31" s="9"/>
      <c r="E31" s="9"/>
      <c r="F31" s="9"/>
      <c r="G31" s="9"/>
      <c r="H31" s="9"/>
    </row>
    <row r="32" spans="2:8" x14ac:dyDescent="0.25">
      <c r="B32" t="s">
        <v>26</v>
      </c>
      <c r="C32" s="10">
        <v>0.13382197680725941</v>
      </c>
      <c r="D32" s="10">
        <f>Assumptions!$F$24</f>
        <v>0.13400000000000001</v>
      </c>
      <c r="E32" s="10">
        <f>D32+(H32-D32)*1/4</f>
        <v>0.14050000000000001</v>
      </c>
      <c r="F32" s="10">
        <f>D32+(H32-D32)*2/4</f>
        <v>0.14700000000000002</v>
      </c>
      <c r="G32" s="10">
        <f>D32+(H32-D32)*3/4</f>
        <v>0.1535</v>
      </c>
      <c r="H32" s="10">
        <f>Assumptions!$F$25</f>
        <v>0.16</v>
      </c>
    </row>
    <row r="33" spans="2:8" x14ac:dyDescent="0.25">
      <c r="B33" t="s">
        <v>291</v>
      </c>
      <c r="C33" s="6">
        <f t="shared" ref="C33:H33" si="9">C17*C32</f>
        <v>1949.9509514025417</v>
      </c>
      <c r="D33" s="6">
        <f t="shared" si="9"/>
        <v>4157.7868604650612</v>
      </c>
      <c r="E33" s="6">
        <f t="shared" si="9"/>
        <v>6639.4482373328165</v>
      </c>
      <c r="F33" s="6">
        <f t="shared" si="9"/>
        <v>6964.9848922530846</v>
      </c>
      <c r="G33" s="6">
        <f t="shared" si="9"/>
        <v>7611.168089789443</v>
      </c>
      <c r="H33" s="6">
        <f t="shared" si="9"/>
        <v>8639.1998602940839</v>
      </c>
    </row>
    <row r="34" spans="2:8" x14ac:dyDescent="0.25">
      <c r="B34" t="s">
        <v>27</v>
      </c>
      <c r="C34" s="10">
        <v>0.1202338438793512</v>
      </c>
      <c r="D34" s="10">
        <f>Assumptions!$F$26</f>
        <v>0.18</v>
      </c>
      <c r="E34" s="10">
        <f>D34+(H34-D34)*1/4</f>
        <v>0.17124999999999999</v>
      </c>
      <c r="F34" s="10">
        <f>D34+(H34-D34)*2/4</f>
        <v>0.16249999999999998</v>
      </c>
      <c r="G34" s="10">
        <f>D34+(H34-D34)*3/4</f>
        <v>0.15375</v>
      </c>
      <c r="H34" s="10">
        <f>Assumptions!$F$27</f>
        <v>0.14499999999999999</v>
      </c>
    </row>
    <row r="35" spans="2:8" x14ac:dyDescent="0.25">
      <c r="B35" t="s">
        <v>292</v>
      </c>
      <c r="C35" s="6">
        <f t="shared" ref="C35:H35" si="10">-C17*C34</f>
        <v>-1751.9551261822892</v>
      </c>
      <c r="D35" s="6">
        <f t="shared" si="10"/>
        <v>-5585.0868274903805</v>
      </c>
      <c r="E35" s="6">
        <f t="shared" si="10"/>
        <v>-8092.5659120515629</v>
      </c>
      <c r="F35" s="6">
        <f t="shared" si="10"/>
        <v>-7699.3880611641225</v>
      </c>
      <c r="G35" s="6">
        <f t="shared" si="10"/>
        <v>-7623.5641290236272</v>
      </c>
      <c r="H35" s="6">
        <f t="shared" si="10"/>
        <v>-7829.2748733915123</v>
      </c>
    </row>
    <row r="36" spans="2:8" x14ac:dyDescent="0.25">
      <c r="B36" t="s">
        <v>293</v>
      </c>
      <c r="C36" s="6"/>
      <c r="D36" s="6">
        <f>D17-C17</f>
        <v>16457.029044615621</v>
      </c>
      <c r="E36" s="6">
        <f>E17-D17</f>
        <v>16227.59918772275</v>
      </c>
      <c r="F36" s="6">
        <f>F17-E17</f>
        <v>124.99026671674801</v>
      </c>
      <c r="G36" s="6">
        <f>G17-F17</f>
        <v>2203.3073295752038</v>
      </c>
      <c r="H36" s="6">
        <f>H17-G17</f>
        <v>4410.8421900989779</v>
      </c>
    </row>
    <row r="37" spans="2:8" x14ac:dyDescent="0.25">
      <c r="B37" t="s">
        <v>294</v>
      </c>
      <c r="C37" s="10"/>
      <c r="D37" s="10">
        <f>Assumptions!$F$29</f>
        <v>0.05</v>
      </c>
      <c r="E37" s="10">
        <f>Assumptions!$F$29</f>
        <v>0.05</v>
      </c>
      <c r="F37" s="10">
        <f>Assumptions!$F$29</f>
        <v>0.05</v>
      </c>
      <c r="G37" s="10">
        <f>Assumptions!$F$29</f>
        <v>0.05</v>
      </c>
      <c r="H37" s="10">
        <f>Assumptions!$F$29</f>
        <v>0.05</v>
      </c>
    </row>
    <row r="38" spans="2:8" x14ac:dyDescent="0.25">
      <c r="B38" t="s">
        <v>295</v>
      </c>
      <c r="C38" s="6"/>
      <c r="D38" s="6">
        <f>-D36*D37</f>
        <v>-822.85145223078109</v>
      </c>
      <c r="E38" s="6">
        <f>-E36*E37</f>
        <v>-811.37995938613756</v>
      </c>
      <c r="F38" s="6">
        <f>-F36*F37</f>
        <v>-6.2495133358374009</v>
      </c>
      <c r="G38" s="6">
        <f>-G36*G37</f>
        <v>-110.16536647876019</v>
      </c>
      <c r="H38" s="6">
        <f>-H36*H37</f>
        <v>-220.54210950494891</v>
      </c>
    </row>
    <row r="39" spans="2:8" x14ac:dyDescent="0.25">
      <c r="B39" s="3" t="s">
        <v>296</v>
      </c>
      <c r="D39" s="18">
        <f>D29+D33+D35+D38</f>
        <v>8169.9140465325509</v>
      </c>
      <c r="E39" s="18">
        <f>E29+E33+E35+E38</f>
        <v>8802.5292743069476</v>
      </c>
      <c r="F39" s="18">
        <f>F29+F33+F35+F38</f>
        <v>5540.2711938027833</v>
      </c>
      <c r="G39" s="18">
        <f>G29+G33+G35+G38</f>
        <v>7020.0983812204859</v>
      </c>
      <c r="H39" s="18">
        <f>H29+H33+H35+H38</f>
        <v>8987.7650415860062</v>
      </c>
    </row>
    <row r="40" spans="2:8" x14ac:dyDescent="0.25">
      <c r="B40" t="s">
        <v>297</v>
      </c>
      <c r="C40" s="10"/>
      <c r="D40" s="10">
        <f>D39/D17</f>
        <v>0.26330558034254514</v>
      </c>
      <c r="E40" s="10">
        <f>E39/E17</f>
        <v>0.18627381656294872</v>
      </c>
      <c r="F40" s="10">
        <f>F39/F17</f>
        <v>0.11693060043746265</v>
      </c>
      <c r="G40" s="10">
        <f>G39/G17</f>
        <v>0.14157946438772648</v>
      </c>
      <c r="H40" s="10">
        <f>H39/H17</f>
        <v>0.16645550860132657</v>
      </c>
    </row>
    <row r="42" spans="2:8" x14ac:dyDescent="0.25">
      <c r="B42" s="8" t="s">
        <v>298</v>
      </c>
      <c r="C42" s="9"/>
      <c r="D42" s="9"/>
      <c r="E42" s="9"/>
      <c r="F42" s="9"/>
      <c r="G42" s="9"/>
      <c r="H42" s="9"/>
    </row>
    <row r="43" spans="2:8" x14ac:dyDescent="0.25">
      <c r="B43" t="s">
        <v>299</v>
      </c>
      <c r="C43" s="7"/>
      <c r="D43" s="7">
        <f>Assumptions!$F$30</f>
        <v>0.1572968096604524</v>
      </c>
      <c r="E43" s="7">
        <f>Assumptions!$F$30</f>
        <v>0.1572968096604524</v>
      </c>
      <c r="F43" s="7">
        <f>Assumptions!$F$30</f>
        <v>0.1572968096604524</v>
      </c>
      <c r="G43" s="7">
        <f>Assumptions!$F$30</f>
        <v>0.1572968096604524</v>
      </c>
      <c r="H43" s="7">
        <f>Assumptions!$F$30</f>
        <v>0.1572968096604524</v>
      </c>
    </row>
    <row r="44" spans="2:8" x14ac:dyDescent="0.25">
      <c r="B44" t="s">
        <v>300</v>
      </c>
      <c r="C44" s="6">
        <v>0</v>
      </c>
      <c r="D44" s="6">
        <v>0.5</v>
      </c>
      <c r="E44" s="6">
        <v>1.5</v>
      </c>
      <c r="F44" s="6">
        <v>2.5</v>
      </c>
      <c r="G44" s="6">
        <v>3.5</v>
      </c>
      <c r="H44" s="6">
        <v>4.5</v>
      </c>
    </row>
    <row r="45" spans="2:8" x14ac:dyDescent="0.25">
      <c r="B45" t="s">
        <v>301</v>
      </c>
      <c r="C45" s="19"/>
      <c r="D45" s="19">
        <f>1/(1+D43)^D44</f>
        <v>0.92956041689912761</v>
      </c>
      <c r="E45" s="19">
        <f>1/(1+E43)^E44</f>
        <v>0.80321695276413829</v>
      </c>
      <c r="F45" s="19">
        <f>1/(1+F43)^F44</f>
        <v>0.69404576774025661</v>
      </c>
      <c r="G45" s="19">
        <f>1/(1+G43)^G44</f>
        <v>0.59971284976054473</v>
      </c>
      <c r="H45" s="19">
        <f>1/(1+H43)^H44</f>
        <v>0.51820141968290645</v>
      </c>
    </row>
    <row r="46" spans="2:8" x14ac:dyDescent="0.25">
      <c r="B46" t="s">
        <v>302</v>
      </c>
      <c r="C46" s="6"/>
      <c r="D46" s="6">
        <f>D39*D45</f>
        <v>7594.4287071248364</v>
      </c>
      <c r="E46" s="6">
        <f>E39*E45</f>
        <v>7070.340740325948</v>
      </c>
      <c r="F46" s="6">
        <f>F39*F45</f>
        <v>3845.2017741920808</v>
      </c>
      <c r="G46" s="6">
        <f>G39*G45</f>
        <v>4210.0432058011247</v>
      </c>
      <c r="H46" s="6">
        <f>H39*H45</f>
        <v>4657.4726043262654</v>
      </c>
    </row>
    <row r="47" spans="2:8" x14ac:dyDescent="0.25">
      <c r="B47" s="3" t="s">
        <v>303</v>
      </c>
      <c r="D47" s="18">
        <f>SUM(D46:H46)</f>
        <v>27377.487031770259</v>
      </c>
    </row>
    <row r="49" spans="2:8" x14ac:dyDescent="0.25">
      <c r="B49" s="8" t="s">
        <v>304</v>
      </c>
      <c r="C49" s="9"/>
      <c r="D49" s="9"/>
      <c r="E49" s="9"/>
      <c r="F49" s="9"/>
      <c r="G49" s="9"/>
      <c r="H49" s="9"/>
    </row>
    <row r="50" spans="2:8" x14ac:dyDescent="0.25">
      <c r="B50" t="s">
        <v>305</v>
      </c>
    </row>
    <row r="51" spans="2:8" x14ac:dyDescent="0.25">
      <c r="B51" t="s">
        <v>306</v>
      </c>
      <c r="H51" s="6">
        <f>H25+H33</f>
        <v>20518.099668198447</v>
      </c>
    </row>
    <row r="52" spans="2:8" x14ac:dyDescent="0.25">
      <c r="B52" t="s">
        <v>307</v>
      </c>
      <c r="H52" s="6">
        <f>Assumptions!$F$31</f>
        <v>5.5</v>
      </c>
    </row>
    <row r="53" spans="2:8" x14ac:dyDescent="0.25">
      <c r="B53" t="s">
        <v>308</v>
      </c>
      <c r="H53" s="4">
        <f>H51*H52</f>
        <v>112849.54817509146</v>
      </c>
    </row>
    <row r="54" spans="2:8" x14ac:dyDescent="0.25">
      <c r="B54" t="s">
        <v>309</v>
      </c>
      <c r="H54" s="4">
        <f>H53*H45</f>
        <v>58478.796074906939</v>
      </c>
    </row>
    <row r="56" spans="2:8" x14ac:dyDescent="0.25">
      <c r="B56" t="s">
        <v>310</v>
      </c>
    </row>
    <row r="57" spans="2:8" x14ac:dyDescent="0.25">
      <c r="B57" t="s">
        <v>311</v>
      </c>
      <c r="H57" s="7">
        <f>Assumptions!$F$32</f>
        <v>2.5000000000000001E-2</v>
      </c>
    </row>
    <row r="58" spans="2:8" x14ac:dyDescent="0.25">
      <c r="B58" t="s">
        <v>312</v>
      </c>
      <c r="H58" s="6">
        <f>H39*(1+H57)</f>
        <v>9212.459167625655</v>
      </c>
    </row>
    <row r="59" spans="2:8" x14ac:dyDescent="0.25">
      <c r="B59" t="s">
        <v>313</v>
      </c>
      <c r="H59" s="4">
        <f>H58/(H43-H57)</f>
        <v>69634.779487653388</v>
      </c>
    </row>
    <row r="60" spans="2:8" x14ac:dyDescent="0.25">
      <c r="B60" t="s">
        <v>314</v>
      </c>
      <c r="H60" s="4">
        <f>H59*H45</f>
        <v>36084.841589808122</v>
      </c>
    </row>
    <row r="62" spans="2:8" x14ac:dyDescent="0.25">
      <c r="B62" s="8" t="s">
        <v>315</v>
      </c>
      <c r="C62" s="9"/>
      <c r="D62" s="9"/>
      <c r="E62" s="9"/>
      <c r="F62" s="9"/>
      <c r="G62" s="9"/>
      <c r="H62" s="9"/>
    </row>
    <row r="63" spans="2:8" x14ac:dyDescent="0.25">
      <c r="B63" s="20" t="s">
        <v>316</v>
      </c>
      <c r="D63" s="4">
        <f>D47+H54</f>
        <v>85856.283106677205</v>
      </c>
    </row>
    <row r="64" spans="2:8" x14ac:dyDescent="0.25">
      <c r="B64" s="20" t="s">
        <v>317</v>
      </c>
      <c r="D64" s="4">
        <f>D47+H60</f>
        <v>63462.328621578381</v>
      </c>
    </row>
    <row r="65" spans="2:4" x14ac:dyDescent="0.25">
      <c r="B65" s="3" t="s">
        <v>318</v>
      </c>
      <c r="D65" s="21">
        <f>AVERAGE(D63,D64)</f>
        <v>74659.305864127789</v>
      </c>
    </row>
    <row r="66" spans="2:4" x14ac:dyDescent="0.25">
      <c r="B66" s="20" t="s">
        <v>319</v>
      </c>
      <c r="D66" s="4">
        <v>-4877.4766814630593</v>
      </c>
    </row>
    <row r="67" spans="2:4" x14ac:dyDescent="0.25">
      <c r="B67" s="3" t="s">
        <v>320</v>
      </c>
      <c r="D67" s="21">
        <f>D65+D66</f>
        <v>69781.829182664733</v>
      </c>
    </row>
    <row r="68" spans="2:4" x14ac:dyDescent="0.25">
      <c r="B68" s="20" t="s">
        <v>15</v>
      </c>
      <c r="D68" s="6">
        <v>549.46100000000001</v>
      </c>
    </row>
    <row r="69" spans="2:4" x14ac:dyDescent="0.25">
      <c r="B69" s="3" t="s">
        <v>321</v>
      </c>
      <c r="D69" s="22">
        <f>D67/D68</f>
        <v>127.00051356268185</v>
      </c>
    </row>
    <row r="70" spans="2:4" x14ac:dyDescent="0.25">
      <c r="B70" s="20" t="s">
        <v>322</v>
      </c>
      <c r="D70" s="5">
        <v>590.37646472201448</v>
      </c>
    </row>
    <row r="71" spans="2:4" x14ac:dyDescent="0.25">
      <c r="B71" s="3" t="s">
        <v>323</v>
      </c>
      <c r="D71" s="23">
        <f>D69/D70-1</f>
        <v>-0.78488215375848103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T2005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9" customWidth="1"/>
    <col min="3" max="3" width="26" customWidth="1"/>
    <col min="4" max="12" width="12" customWidth="1"/>
    <col min="13" max="13" width="11" customWidth="1"/>
    <col min="14" max="14" width="9" customWidth="1"/>
    <col min="15" max="16" width="11" customWidth="1"/>
    <col min="17" max="17" width="18" customWidth="1"/>
    <col min="18" max="18" width="50" customWidth="1"/>
    <col min="19" max="20" width="13" customWidth="1"/>
  </cols>
  <sheetData>
    <row r="2" spans="2:20" ht="18.75" x14ac:dyDescent="0.3">
      <c r="B2" s="1" t="s">
        <v>324</v>
      </c>
    </row>
    <row r="3" spans="2:20" x14ac:dyDescent="0.25">
      <c r="B3" s="2" t="s">
        <v>325</v>
      </c>
    </row>
    <row r="5" spans="2:20" ht="45" x14ac:dyDescent="0.25">
      <c r="B5" s="11" t="s">
        <v>326</v>
      </c>
      <c r="C5" s="11" t="s">
        <v>60</v>
      </c>
      <c r="D5" s="11" t="s">
        <v>327</v>
      </c>
      <c r="E5" s="11" t="s">
        <v>328</v>
      </c>
      <c r="F5" s="11" t="s">
        <v>329</v>
      </c>
      <c r="G5" s="11" t="s">
        <v>330</v>
      </c>
      <c r="H5" s="11" t="s">
        <v>331</v>
      </c>
      <c r="I5" s="11" t="s">
        <v>332</v>
      </c>
      <c r="J5" s="11" t="s">
        <v>333</v>
      </c>
      <c r="K5" s="11" t="s">
        <v>148</v>
      </c>
      <c r="L5" s="11" t="s">
        <v>334</v>
      </c>
      <c r="M5" s="11" t="s">
        <v>335</v>
      </c>
      <c r="N5" s="11" t="s">
        <v>336</v>
      </c>
      <c r="O5" s="11" t="s">
        <v>337</v>
      </c>
      <c r="P5" s="11" t="s">
        <v>338</v>
      </c>
      <c r="Q5" s="11" t="s">
        <v>339</v>
      </c>
      <c r="R5" s="11" t="s">
        <v>340</v>
      </c>
      <c r="S5" s="11" t="s">
        <v>341</v>
      </c>
      <c r="T5" s="11" t="s">
        <v>342</v>
      </c>
    </row>
    <row r="6" spans="2:20" x14ac:dyDescent="0.25">
      <c r="B6">
        <v>1</v>
      </c>
      <c r="C6" t="s">
        <v>184</v>
      </c>
      <c r="D6" s="10">
        <v>0.22</v>
      </c>
      <c r="E6" s="10">
        <v>0.7</v>
      </c>
      <c r="F6" s="10">
        <v>0.55000000000000004</v>
      </c>
      <c r="G6" s="10">
        <v>0.33</v>
      </c>
      <c r="H6" s="6">
        <v>0.18</v>
      </c>
      <c r="I6" s="10">
        <v>5.5</v>
      </c>
      <c r="J6" s="7">
        <v>2.5000000000000001E-2</v>
      </c>
      <c r="K6" s="5">
        <v>0.1572968096604524</v>
      </c>
      <c r="L6">
        <v>127.0005135626818</v>
      </c>
      <c r="M6" s="10">
        <v>-0.78488215375848114</v>
      </c>
      <c r="N6" s="24" t="s">
        <v>343</v>
      </c>
      <c r="O6" s="24">
        <v>3.9070707744911322</v>
      </c>
      <c r="P6">
        <v>94.237042985261908</v>
      </c>
      <c r="Q6" t="s">
        <v>50</v>
      </c>
      <c r="R6" t="s">
        <v>344</v>
      </c>
      <c r="S6" t="s">
        <v>343</v>
      </c>
      <c r="T6" t="s">
        <v>345</v>
      </c>
    </row>
    <row r="7" spans="2:20" x14ac:dyDescent="0.25">
      <c r="B7">
        <v>2</v>
      </c>
      <c r="C7" t="s">
        <v>185</v>
      </c>
      <c r="D7" s="10">
        <v>0.16</v>
      </c>
      <c r="E7" s="10">
        <v>0.3</v>
      </c>
      <c r="F7" s="10">
        <v>0.44</v>
      </c>
      <c r="G7" s="10">
        <v>0.24</v>
      </c>
      <c r="H7" s="6">
        <v>0.12</v>
      </c>
      <c r="I7" s="10">
        <v>3</v>
      </c>
      <c r="J7" s="7">
        <v>0.01</v>
      </c>
      <c r="K7" s="5">
        <v>0.1</v>
      </c>
      <c r="L7">
        <v>20.856983913855341</v>
      </c>
      <c r="M7" s="10">
        <v>-0.96467172192632034</v>
      </c>
      <c r="N7" s="24" t="s">
        <v>343</v>
      </c>
      <c r="O7" s="24">
        <v>0</v>
      </c>
      <c r="P7">
        <v>34.960251399950693</v>
      </c>
      <c r="Q7" t="s">
        <v>346</v>
      </c>
      <c r="R7" t="s">
        <v>347</v>
      </c>
      <c r="S7" t="s">
        <v>343</v>
      </c>
      <c r="T7" t="s">
        <v>343</v>
      </c>
    </row>
    <row r="8" spans="2:20" x14ac:dyDescent="0.25">
      <c r="B8">
        <v>3</v>
      </c>
      <c r="C8" t="s">
        <v>186</v>
      </c>
      <c r="D8" s="10">
        <v>0.32</v>
      </c>
      <c r="E8" s="10">
        <v>1.4</v>
      </c>
      <c r="F8" s="10">
        <v>0.7</v>
      </c>
      <c r="G8" s="10">
        <v>0.46</v>
      </c>
      <c r="H8" s="6">
        <v>0.27</v>
      </c>
      <c r="I8" s="10">
        <v>14</v>
      </c>
      <c r="J8" s="7">
        <v>4.4999999999999998E-2</v>
      </c>
      <c r="K8" s="5">
        <v>0.19500000000000001</v>
      </c>
      <c r="L8">
        <v>974.01891668280575</v>
      </c>
      <c r="M8" s="10">
        <v>0.64982680524270853</v>
      </c>
      <c r="N8" s="24" t="s">
        <v>343</v>
      </c>
      <c r="O8" s="24">
        <v>12.01039168543749</v>
      </c>
      <c r="P8">
        <v>0</v>
      </c>
      <c r="Q8" t="s">
        <v>348</v>
      </c>
      <c r="R8" t="s">
        <v>349</v>
      </c>
      <c r="S8" t="s">
        <v>343</v>
      </c>
      <c r="T8" t="s">
        <v>343</v>
      </c>
    </row>
    <row r="9" spans="2:20" x14ac:dyDescent="0.25">
      <c r="B9">
        <v>4</v>
      </c>
      <c r="C9" t="s">
        <v>187</v>
      </c>
      <c r="D9" s="10">
        <v>0.16</v>
      </c>
      <c r="E9" s="10">
        <v>0.1</v>
      </c>
      <c r="F9" s="10">
        <v>0.46</v>
      </c>
      <c r="G9" s="10">
        <v>0.24</v>
      </c>
      <c r="H9" s="6">
        <v>0.18</v>
      </c>
      <c r="I9" s="10">
        <v>5.5</v>
      </c>
      <c r="J9" s="7">
        <v>2.5000000000000001E-2</v>
      </c>
      <c r="K9" s="5">
        <v>0.1572968096604524</v>
      </c>
      <c r="L9">
        <v>12.245518288834051</v>
      </c>
      <c r="M9" s="10">
        <v>-0.97925811914843175</v>
      </c>
      <c r="N9" s="24" t="s">
        <v>343</v>
      </c>
      <c r="O9" s="24">
        <v>0</v>
      </c>
      <c r="P9">
        <v>56.646433891036153</v>
      </c>
      <c r="Q9" t="s">
        <v>47</v>
      </c>
      <c r="R9" t="s">
        <v>350</v>
      </c>
      <c r="S9" t="s">
        <v>343</v>
      </c>
      <c r="T9" t="s">
        <v>343</v>
      </c>
    </row>
    <row r="10" spans="2:20" x14ac:dyDescent="0.25">
      <c r="B10">
        <v>5</v>
      </c>
      <c r="C10" t="s">
        <v>188</v>
      </c>
      <c r="D10" s="10">
        <v>0.22</v>
      </c>
      <c r="E10" s="10">
        <v>0.32</v>
      </c>
      <c r="F10" s="10">
        <v>0.55000000000000004</v>
      </c>
      <c r="G10" s="10">
        <v>0.38</v>
      </c>
      <c r="H10" s="6">
        <v>0.18</v>
      </c>
      <c r="I10" s="10">
        <v>5.5</v>
      </c>
      <c r="J10" s="7">
        <v>2.5000000000000001E-2</v>
      </c>
      <c r="K10" s="5">
        <v>0.1572968096604524</v>
      </c>
      <c r="L10">
        <v>128.06447932355391</v>
      </c>
      <c r="M10" s="10">
        <v>-0.783079971889031</v>
      </c>
      <c r="N10" s="24" t="s">
        <v>343</v>
      </c>
      <c r="O10" s="24">
        <v>4.0152016866581448</v>
      </c>
      <c r="P10">
        <v>72.899670728046473</v>
      </c>
      <c r="Q10" t="s">
        <v>47</v>
      </c>
      <c r="R10" t="s">
        <v>350</v>
      </c>
      <c r="S10" t="s">
        <v>343</v>
      </c>
      <c r="T10" t="s">
        <v>343</v>
      </c>
    </row>
    <row r="11" spans="2:20" x14ac:dyDescent="0.25">
      <c r="B11">
        <v>6</v>
      </c>
      <c r="C11" t="s">
        <v>189</v>
      </c>
      <c r="D11" s="10">
        <v>0.22</v>
      </c>
      <c r="E11" s="10">
        <v>0.7</v>
      </c>
      <c r="F11" s="10">
        <v>0.55000000000000004</v>
      </c>
      <c r="G11" s="10">
        <v>0.22</v>
      </c>
      <c r="H11" s="6">
        <v>0.18</v>
      </c>
      <c r="I11" s="10">
        <v>5.5</v>
      </c>
      <c r="J11" s="7">
        <v>2.5000000000000001E-2</v>
      </c>
      <c r="K11" s="5">
        <v>0.1572968096604524</v>
      </c>
      <c r="L11">
        <v>40.969829802571681</v>
      </c>
      <c r="M11" s="10">
        <v>-0.93060389048221492</v>
      </c>
      <c r="N11" s="24" t="s">
        <v>343</v>
      </c>
      <c r="O11" s="24">
        <v>0</v>
      </c>
      <c r="P11">
        <v>54.377188971589362</v>
      </c>
      <c r="Q11" t="s">
        <v>47</v>
      </c>
      <c r="R11" t="s">
        <v>350</v>
      </c>
      <c r="S11" t="s">
        <v>343</v>
      </c>
      <c r="T11" t="s">
        <v>343</v>
      </c>
    </row>
    <row r="12" spans="2:20" x14ac:dyDescent="0.25">
      <c r="B12">
        <v>7</v>
      </c>
      <c r="C12" t="s">
        <v>190</v>
      </c>
      <c r="D12" s="10">
        <v>0.22</v>
      </c>
      <c r="E12" s="10">
        <v>0.7</v>
      </c>
      <c r="F12" s="10">
        <v>0.59</v>
      </c>
      <c r="G12" s="10">
        <v>0.4</v>
      </c>
      <c r="H12" s="6">
        <v>0.18</v>
      </c>
      <c r="I12" s="10">
        <v>5.5</v>
      </c>
      <c r="J12" s="7">
        <v>2.5000000000000001E-2</v>
      </c>
      <c r="K12" s="5">
        <v>0.1572968096604524</v>
      </c>
      <c r="L12">
        <v>164.39020057309111</v>
      </c>
      <c r="M12" s="10">
        <v>-0.72155021347184611</v>
      </c>
      <c r="N12" s="24" t="s">
        <v>343</v>
      </c>
      <c r="O12" s="24">
        <v>7.7069871916892296</v>
      </c>
      <c r="P12">
        <v>86.514335827516106</v>
      </c>
      <c r="Q12" t="s">
        <v>50</v>
      </c>
      <c r="R12" t="s">
        <v>344</v>
      </c>
      <c r="S12" t="s">
        <v>343</v>
      </c>
      <c r="T12" t="s">
        <v>345</v>
      </c>
    </row>
    <row r="13" spans="2:20" x14ac:dyDescent="0.25">
      <c r="B13">
        <v>8</v>
      </c>
      <c r="C13" t="s">
        <v>191</v>
      </c>
      <c r="D13" s="10">
        <v>0.22</v>
      </c>
      <c r="E13" s="10">
        <v>0.7</v>
      </c>
      <c r="F13" s="10">
        <v>0.55000000000000004</v>
      </c>
      <c r="G13" s="10">
        <v>0.33</v>
      </c>
      <c r="H13" s="6">
        <v>0.27</v>
      </c>
      <c r="I13" s="10">
        <v>5.5</v>
      </c>
      <c r="J13" s="7">
        <v>2.5000000000000001E-2</v>
      </c>
      <c r="K13" s="5">
        <v>0.1572968096604524</v>
      </c>
      <c r="L13">
        <v>112.3511981906327</v>
      </c>
      <c r="M13" s="10">
        <v>-0.80969566894314715</v>
      </c>
      <c r="N13" s="24" t="s">
        <v>343</v>
      </c>
      <c r="O13" s="24">
        <v>2.4182598634111661</v>
      </c>
      <c r="P13">
        <v>67.101066908580151</v>
      </c>
      <c r="Q13" t="s">
        <v>47</v>
      </c>
      <c r="R13" t="s">
        <v>350</v>
      </c>
      <c r="S13" t="s">
        <v>343</v>
      </c>
      <c r="T13" t="s">
        <v>343</v>
      </c>
    </row>
    <row r="14" spans="2:20" x14ac:dyDescent="0.25">
      <c r="B14">
        <v>9</v>
      </c>
      <c r="C14" t="s">
        <v>192</v>
      </c>
      <c r="D14" s="10">
        <v>0.22</v>
      </c>
      <c r="E14" s="10">
        <v>0.7</v>
      </c>
      <c r="F14" s="10">
        <v>0.55000000000000004</v>
      </c>
      <c r="G14" s="10">
        <v>0.33</v>
      </c>
      <c r="H14" s="6">
        <v>0.12</v>
      </c>
      <c r="I14" s="10">
        <v>5.5</v>
      </c>
      <c r="J14" s="7">
        <v>2.5000000000000001E-2</v>
      </c>
      <c r="K14" s="5">
        <v>0.1572968096604524</v>
      </c>
      <c r="L14">
        <v>131.6382161031805</v>
      </c>
      <c r="M14" s="10">
        <v>-0.77702665338266175</v>
      </c>
      <c r="N14" s="24" t="s">
        <v>343</v>
      </c>
      <c r="O14" s="24">
        <v>4.3784007970402934</v>
      </c>
      <c r="P14">
        <v>75.048250591316872</v>
      </c>
      <c r="Q14" t="s">
        <v>50</v>
      </c>
      <c r="R14" t="s">
        <v>344</v>
      </c>
      <c r="S14" t="s">
        <v>343</v>
      </c>
      <c r="T14" t="s">
        <v>343</v>
      </c>
    </row>
    <row r="15" spans="2:20" x14ac:dyDescent="0.25">
      <c r="B15">
        <v>10</v>
      </c>
      <c r="C15" t="s">
        <v>193</v>
      </c>
      <c r="D15" s="10">
        <v>0.3</v>
      </c>
      <c r="E15" s="10">
        <v>0.7</v>
      </c>
      <c r="F15" s="10">
        <v>0.55000000000000004</v>
      </c>
      <c r="G15" s="10">
        <v>0.33</v>
      </c>
      <c r="H15" s="6">
        <v>0.18</v>
      </c>
      <c r="I15" s="10">
        <v>5.5</v>
      </c>
      <c r="J15" s="7">
        <v>2.5000000000000001E-2</v>
      </c>
      <c r="K15" s="5">
        <v>0.1572968096604524</v>
      </c>
      <c r="L15">
        <v>144.27934410567511</v>
      </c>
      <c r="M15" s="10">
        <v>-0.75561467516559844</v>
      </c>
      <c r="N15" s="24" t="s">
        <v>343</v>
      </c>
      <c r="O15" s="24">
        <v>5.6631194900640978</v>
      </c>
      <c r="P15">
        <v>77.425665847192576</v>
      </c>
      <c r="Q15" t="s">
        <v>50</v>
      </c>
      <c r="R15" t="s">
        <v>344</v>
      </c>
      <c r="S15" t="s">
        <v>343</v>
      </c>
      <c r="T15" t="s">
        <v>343</v>
      </c>
    </row>
    <row r="16" spans="2:20" x14ac:dyDescent="0.25">
      <c r="B16">
        <v>11</v>
      </c>
      <c r="C16" t="s">
        <v>194</v>
      </c>
      <c r="D16" s="10">
        <v>0.22</v>
      </c>
      <c r="E16" s="10">
        <v>0.7</v>
      </c>
      <c r="F16" s="10">
        <v>0.55000000000000004</v>
      </c>
      <c r="G16" s="10">
        <v>0.33</v>
      </c>
      <c r="H16" s="6">
        <v>0.18</v>
      </c>
      <c r="I16" s="10">
        <v>8</v>
      </c>
      <c r="J16" s="7">
        <v>0.04</v>
      </c>
      <c r="K16" s="5">
        <v>0.1572968096604524</v>
      </c>
      <c r="L16">
        <v>155.93016212047729</v>
      </c>
      <c r="M16" s="10">
        <v>-0.73588011813123544</v>
      </c>
      <c r="N16" s="24" t="s">
        <v>343</v>
      </c>
      <c r="O16" s="24">
        <v>6.8471929121258768</v>
      </c>
      <c r="P16">
        <v>83.757108993025199</v>
      </c>
      <c r="Q16" t="s">
        <v>50</v>
      </c>
      <c r="R16" t="s">
        <v>344</v>
      </c>
      <c r="S16" t="s">
        <v>343</v>
      </c>
      <c r="T16" t="s">
        <v>345</v>
      </c>
    </row>
    <row r="17" spans="2:20" x14ac:dyDescent="0.25">
      <c r="B17">
        <v>12</v>
      </c>
      <c r="C17" t="s">
        <v>195</v>
      </c>
      <c r="D17" s="10">
        <v>0.22</v>
      </c>
      <c r="E17" s="10">
        <v>0.7</v>
      </c>
      <c r="F17" s="10">
        <v>0.55000000000000004</v>
      </c>
      <c r="G17" s="10">
        <v>0.33</v>
      </c>
      <c r="H17" s="6">
        <v>0.18</v>
      </c>
      <c r="I17" s="10">
        <v>3</v>
      </c>
      <c r="J17" s="7">
        <v>0.01</v>
      </c>
      <c r="K17" s="5">
        <v>0.1572968096604524</v>
      </c>
      <c r="L17">
        <v>99.03649733779389</v>
      </c>
      <c r="M17" s="10">
        <v>-0.83224856806507974</v>
      </c>
      <c r="N17" s="24" t="s">
        <v>343</v>
      </c>
      <c r="O17" s="24">
        <v>1.065085916095214</v>
      </c>
      <c r="P17">
        <v>83.757108993025199</v>
      </c>
      <c r="Q17" t="s">
        <v>50</v>
      </c>
      <c r="R17" t="s">
        <v>344</v>
      </c>
      <c r="S17" t="s">
        <v>343</v>
      </c>
      <c r="T17" t="s">
        <v>345</v>
      </c>
    </row>
    <row r="18" spans="2:20" x14ac:dyDescent="0.25">
      <c r="B18">
        <v>13</v>
      </c>
      <c r="C18" t="s">
        <v>196</v>
      </c>
      <c r="D18" s="10">
        <v>0.22</v>
      </c>
      <c r="E18" s="10">
        <v>0.7</v>
      </c>
      <c r="F18" s="10">
        <v>0.55000000000000004</v>
      </c>
      <c r="G18" s="10">
        <v>0.33</v>
      </c>
      <c r="H18" s="6">
        <v>0.18</v>
      </c>
      <c r="I18" s="10">
        <v>5.5</v>
      </c>
      <c r="J18" s="7">
        <v>2.5000000000000001E-2</v>
      </c>
      <c r="K18" s="5">
        <v>0.105</v>
      </c>
      <c r="L18">
        <v>178.7489812527505</v>
      </c>
      <c r="M18" s="10">
        <v>-0.69722881596081832</v>
      </c>
      <c r="N18" s="24" t="s">
        <v>343</v>
      </c>
      <c r="O18" s="24">
        <v>9.1662710423509033</v>
      </c>
      <c r="P18">
        <v>81.828784356931735</v>
      </c>
      <c r="Q18" t="s">
        <v>50</v>
      </c>
      <c r="R18" t="s">
        <v>344</v>
      </c>
      <c r="S18" t="s">
        <v>343</v>
      </c>
      <c r="T18" t="s">
        <v>343</v>
      </c>
    </row>
    <row r="19" spans="2:20" x14ac:dyDescent="0.25">
      <c r="B19">
        <v>14</v>
      </c>
      <c r="C19" t="s">
        <v>197</v>
      </c>
      <c r="D19" s="10">
        <v>0.22</v>
      </c>
      <c r="E19" s="10">
        <v>0.7</v>
      </c>
      <c r="F19" s="10">
        <v>0.55000000000000004</v>
      </c>
      <c r="G19" s="10">
        <v>0.33</v>
      </c>
      <c r="H19" s="6">
        <v>0.18</v>
      </c>
      <c r="I19" s="10">
        <v>5.5</v>
      </c>
      <c r="J19" s="7">
        <v>2.5000000000000001E-2</v>
      </c>
      <c r="K19" s="5">
        <v>0.19</v>
      </c>
      <c r="L19">
        <v>108.217769685227</v>
      </c>
      <c r="M19" s="10">
        <v>-0.81669701258131533</v>
      </c>
      <c r="N19" s="24" t="s">
        <v>343</v>
      </c>
      <c r="O19" s="24">
        <v>1.9981792451210789</v>
      </c>
      <c r="P19">
        <v>87.779296260298622</v>
      </c>
      <c r="Q19" t="s">
        <v>50</v>
      </c>
      <c r="R19" t="s">
        <v>344</v>
      </c>
      <c r="S19" t="s">
        <v>343</v>
      </c>
      <c r="T19" t="s">
        <v>345</v>
      </c>
    </row>
    <row r="20" spans="2:20" x14ac:dyDescent="0.25">
      <c r="B20">
        <v>15</v>
      </c>
      <c r="C20" t="s">
        <v>198</v>
      </c>
      <c r="D20" s="10">
        <v>0.32</v>
      </c>
      <c r="E20" s="10">
        <v>1.4</v>
      </c>
      <c r="F20" s="10">
        <v>0.7</v>
      </c>
      <c r="G20" s="10">
        <v>0.33</v>
      </c>
      <c r="H20" s="6">
        <v>0.18</v>
      </c>
      <c r="I20" s="10">
        <v>14</v>
      </c>
      <c r="J20" s="7">
        <v>4.4999999999999998E-2</v>
      </c>
      <c r="K20" s="5">
        <v>0.105</v>
      </c>
      <c r="L20">
        <v>736.25396566376639</v>
      </c>
      <c r="M20" s="10">
        <v>0.24709233795496921</v>
      </c>
      <c r="N20" s="24" t="s">
        <v>343</v>
      </c>
      <c r="O20" s="24">
        <v>36.174459722701847</v>
      </c>
      <c r="P20">
        <v>6.341279534937371</v>
      </c>
      <c r="Q20" t="s">
        <v>348</v>
      </c>
      <c r="R20" t="s">
        <v>351</v>
      </c>
      <c r="S20" t="s">
        <v>343</v>
      </c>
      <c r="T20" t="s">
        <v>343</v>
      </c>
    </row>
    <row r="21" spans="2:20" x14ac:dyDescent="0.25">
      <c r="B21">
        <v>16</v>
      </c>
      <c r="C21" t="s">
        <v>199</v>
      </c>
      <c r="D21" s="10">
        <v>0.16</v>
      </c>
      <c r="E21" s="10">
        <v>0.7</v>
      </c>
      <c r="F21" s="10">
        <v>0.44</v>
      </c>
      <c r="G21" s="10">
        <v>0.22</v>
      </c>
      <c r="H21" s="6">
        <v>0.27</v>
      </c>
      <c r="I21" s="10">
        <v>3</v>
      </c>
      <c r="J21" s="7">
        <v>0.01</v>
      </c>
      <c r="K21" s="5">
        <v>0.19500000000000001</v>
      </c>
      <c r="L21">
        <v>0.55647888905633602</v>
      </c>
      <c r="M21" s="10">
        <v>-0.99905741688175476</v>
      </c>
      <c r="N21" s="24" t="s">
        <v>343</v>
      </c>
      <c r="O21" s="24">
        <v>0</v>
      </c>
      <c r="P21">
        <v>42.263359685640211</v>
      </c>
      <c r="Q21" t="s">
        <v>346</v>
      </c>
      <c r="R21" t="s">
        <v>347</v>
      </c>
      <c r="S21" t="s">
        <v>343</v>
      </c>
      <c r="T21" t="s">
        <v>343</v>
      </c>
    </row>
    <row r="22" spans="2:20" x14ac:dyDescent="0.25">
      <c r="B22">
        <v>17</v>
      </c>
      <c r="C22" t="s">
        <v>352</v>
      </c>
      <c r="D22" s="10">
        <v>0.219926419015578</v>
      </c>
      <c r="E22" s="10">
        <v>0.90668371822551097</v>
      </c>
      <c r="F22" s="10">
        <v>0.52066984085676937</v>
      </c>
      <c r="G22" s="10">
        <v>0.27547639645549671</v>
      </c>
      <c r="H22" s="6">
        <v>0.2398015299465541</v>
      </c>
      <c r="I22" s="10">
        <v>12.35273642940898</v>
      </c>
      <c r="J22" s="7">
        <v>2.1357779252250578E-2</v>
      </c>
      <c r="K22" s="5">
        <v>0.16704983464067361</v>
      </c>
      <c r="L22">
        <v>226.1884670455261</v>
      </c>
      <c r="M22" s="10">
        <v>-0.61687418018597762</v>
      </c>
      <c r="N22" s="24" t="s">
        <v>343</v>
      </c>
      <c r="O22" s="24">
        <v>13.98754918884134</v>
      </c>
      <c r="P22">
        <v>22.352453052661559</v>
      </c>
      <c r="Q22" t="s">
        <v>348</v>
      </c>
      <c r="R22" t="s">
        <v>353</v>
      </c>
      <c r="S22" t="s">
        <v>343</v>
      </c>
      <c r="T22" t="s">
        <v>343</v>
      </c>
    </row>
    <row r="23" spans="2:20" x14ac:dyDescent="0.25">
      <c r="B23">
        <v>18</v>
      </c>
      <c r="C23" t="s">
        <v>354</v>
      </c>
      <c r="D23" s="10">
        <v>0.31211428902558658</v>
      </c>
      <c r="E23" s="10">
        <v>1.0705252166591559</v>
      </c>
      <c r="F23" s="10">
        <v>0.49757633489664049</v>
      </c>
      <c r="G23" s="10">
        <v>0.4205513618072162</v>
      </c>
      <c r="H23" s="6">
        <v>0.26298031181296577</v>
      </c>
      <c r="I23" s="10">
        <v>12.751700621262779</v>
      </c>
      <c r="J23" s="7">
        <v>2.4352875557043342E-2</v>
      </c>
      <c r="K23" s="5">
        <v>0.14792607414383591</v>
      </c>
      <c r="L23">
        <v>323.95394588539079</v>
      </c>
      <c r="M23" s="10">
        <v>-0.45127564318146007</v>
      </c>
      <c r="N23" s="24" t="s">
        <v>343</v>
      </c>
      <c r="O23" s="24">
        <v>23.923461409112392</v>
      </c>
      <c r="P23">
        <v>16.087019766875581</v>
      </c>
      <c r="Q23" t="s">
        <v>348</v>
      </c>
      <c r="R23" t="s">
        <v>355</v>
      </c>
      <c r="S23" t="s">
        <v>343</v>
      </c>
      <c r="T23" t="s">
        <v>343</v>
      </c>
    </row>
    <row r="24" spans="2:20" x14ac:dyDescent="0.25">
      <c r="B24">
        <v>19</v>
      </c>
      <c r="C24" t="s">
        <v>356</v>
      </c>
      <c r="D24" s="10">
        <v>0.2771190306898248</v>
      </c>
      <c r="E24" s="10">
        <v>0.74741662591044244</v>
      </c>
      <c r="F24" s="10">
        <v>0.54148143526338621</v>
      </c>
      <c r="G24" s="10">
        <v>0.36677461502666131</v>
      </c>
      <c r="H24" s="6">
        <v>0.1406409670527646</v>
      </c>
      <c r="I24" s="10">
        <v>8.701281120548682</v>
      </c>
      <c r="J24" s="7">
        <v>2.6393627586093239E-2</v>
      </c>
      <c r="K24" s="5">
        <v>0.1106019150436454</v>
      </c>
      <c r="L24">
        <v>276.27958716264862</v>
      </c>
      <c r="M24" s="10">
        <v>-0.53202811481867252</v>
      </c>
      <c r="N24" s="24" t="s">
        <v>343</v>
      </c>
      <c r="O24" s="24">
        <v>19.078313110879652</v>
      </c>
      <c r="P24">
        <v>60.418365931040967</v>
      </c>
      <c r="Q24" t="s">
        <v>47</v>
      </c>
      <c r="R24" t="s">
        <v>350</v>
      </c>
      <c r="S24" t="s">
        <v>343</v>
      </c>
      <c r="T24" t="s">
        <v>343</v>
      </c>
    </row>
    <row r="25" spans="2:20" x14ac:dyDescent="0.25">
      <c r="B25">
        <v>20</v>
      </c>
      <c r="C25" t="s">
        <v>357</v>
      </c>
      <c r="D25" s="10">
        <v>0.25578535747152592</v>
      </c>
      <c r="E25" s="10">
        <v>0.90248727899715941</v>
      </c>
      <c r="F25" s="10">
        <v>0.57415586241443439</v>
      </c>
      <c r="G25" s="10">
        <v>0.26034119250300658</v>
      </c>
      <c r="H25" s="6">
        <v>0.26680468271865437</v>
      </c>
      <c r="I25" s="10">
        <v>12.236458379067869</v>
      </c>
      <c r="J25" s="7">
        <v>1.432656846346997E-2</v>
      </c>
      <c r="K25" s="5">
        <v>0.1157655535048699</v>
      </c>
      <c r="L25">
        <v>255.25102753375651</v>
      </c>
      <c r="M25" s="10">
        <v>-0.56764701375088789</v>
      </c>
      <c r="N25" s="24" t="s">
        <v>343</v>
      </c>
      <c r="O25" s="24">
        <v>16.941179174946729</v>
      </c>
      <c r="P25">
        <v>54.46295522465909</v>
      </c>
      <c r="Q25" t="s">
        <v>47</v>
      </c>
      <c r="R25" t="s">
        <v>350</v>
      </c>
      <c r="S25" t="s">
        <v>343</v>
      </c>
      <c r="T25" t="s">
        <v>343</v>
      </c>
    </row>
    <row r="26" spans="2:20" x14ac:dyDescent="0.25">
      <c r="B26">
        <v>21</v>
      </c>
      <c r="C26" t="s">
        <v>358</v>
      </c>
      <c r="D26" s="10">
        <v>0.18496298247078979</v>
      </c>
      <c r="E26" s="10">
        <v>1.3368355050821761</v>
      </c>
      <c r="F26" s="10">
        <v>0.57175834289386851</v>
      </c>
      <c r="G26" s="10">
        <v>0.38275764755935671</v>
      </c>
      <c r="H26" s="6">
        <v>0.12374891951551351</v>
      </c>
      <c r="I26" s="10">
        <v>10.736963474391709</v>
      </c>
      <c r="J26" s="7">
        <v>1.0612208030678749E-2</v>
      </c>
      <c r="K26" s="5">
        <v>0.18568134016296081</v>
      </c>
      <c r="L26">
        <v>301.4538010603477</v>
      </c>
      <c r="M26" s="10">
        <v>-0.48938716382894648</v>
      </c>
      <c r="N26" s="24" t="s">
        <v>343</v>
      </c>
      <c r="O26" s="24">
        <v>21.636770170263208</v>
      </c>
      <c r="P26">
        <v>60.80548091148038</v>
      </c>
      <c r="Q26" t="s">
        <v>47</v>
      </c>
      <c r="R26" t="s">
        <v>350</v>
      </c>
      <c r="S26" t="s">
        <v>343</v>
      </c>
      <c r="T26" t="s">
        <v>343</v>
      </c>
    </row>
    <row r="27" spans="2:20" x14ac:dyDescent="0.25">
      <c r="B27">
        <v>22</v>
      </c>
      <c r="C27" t="s">
        <v>359</v>
      </c>
      <c r="D27" s="10">
        <v>0.18495912325379241</v>
      </c>
      <c r="E27" s="10">
        <v>0.48306138172476298</v>
      </c>
      <c r="F27" s="10">
        <v>0.63617615590645515</v>
      </c>
      <c r="G27" s="10">
        <v>0.33351556400745019</v>
      </c>
      <c r="H27" s="6">
        <v>0.19832508671606591</v>
      </c>
      <c r="I27" s="10">
        <v>8.4953133722126655</v>
      </c>
      <c r="J27" s="7">
        <v>4.2170501749926891E-2</v>
      </c>
      <c r="K27" s="5">
        <v>0.1216028446588432</v>
      </c>
      <c r="L27">
        <v>73.515525376109153</v>
      </c>
      <c r="M27" s="10">
        <v>-0.87547686981267991</v>
      </c>
      <c r="N27" s="24" t="s">
        <v>343</v>
      </c>
      <c r="O27" s="24">
        <v>0</v>
      </c>
      <c r="P27">
        <v>55.428182091585427</v>
      </c>
      <c r="Q27" t="s">
        <v>47</v>
      </c>
      <c r="R27" t="s">
        <v>350</v>
      </c>
      <c r="S27" t="s">
        <v>343</v>
      </c>
      <c r="T27" t="s">
        <v>343</v>
      </c>
    </row>
    <row r="28" spans="2:20" x14ac:dyDescent="0.25">
      <c r="B28">
        <v>23</v>
      </c>
      <c r="C28" t="s">
        <v>360</v>
      </c>
      <c r="D28" s="10">
        <v>0.1692933779469119</v>
      </c>
      <c r="E28" s="10">
        <v>0.62160984276328002</v>
      </c>
      <c r="F28" s="10">
        <v>0.48918468453644443</v>
      </c>
      <c r="G28" s="10">
        <v>0.41850496918935909</v>
      </c>
      <c r="H28" s="6">
        <v>0.2360839708467726</v>
      </c>
      <c r="I28" s="10">
        <v>7.0019253888793012</v>
      </c>
      <c r="J28" s="7">
        <v>2.236160212080476E-2</v>
      </c>
      <c r="K28" s="5">
        <v>0.1047581786847005</v>
      </c>
      <c r="L28">
        <v>125.8512835695731</v>
      </c>
      <c r="M28" s="10">
        <v>-0.78682875912265293</v>
      </c>
      <c r="N28" s="24" t="s">
        <v>343</v>
      </c>
      <c r="O28" s="24">
        <v>3.7902744526408298</v>
      </c>
      <c r="P28">
        <v>55.257912714709683</v>
      </c>
      <c r="Q28" t="s">
        <v>47</v>
      </c>
      <c r="R28" t="s">
        <v>350</v>
      </c>
      <c r="S28" t="s">
        <v>343</v>
      </c>
      <c r="T28" t="s">
        <v>343</v>
      </c>
    </row>
    <row r="29" spans="2:20" x14ac:dyDescent="0.25">
      <c r="B29">
        <v>24</v>
      </c>
      <c r="C29" t="s">
        <v>361</v>
      </c>
      <c r="D29" s="10">
        <v>0.29858818332398962</v>
      </c>
      <c r="E29" s="10">
        <v>0.46726570055583561</v>
      </c>
      <c r="F29" s="10">
        <v>0.68608293561733613</v>
      </c>
      <c r="G29" s="10">
        <v>0.44216121133911918</v>
      </c>
      <c r="H29" s="6">
        <v>0.23856571538193819</v>
      </c>
      <c r="I29" s="10">
        <v>5.9284752785921579</v>
      </c>
      <c r="J29" s="7">
        <v>1.355910105430381E-2</v>
      </c>
      <c r="K29" s="5">
        <v>0.16948818303728641</v>
      </c>
      <c r="L29">
        <v>94.11498442728886</v>
      </c>
      <c r="M29" s="10">
        <v>-0.84058479622556781</v>
      </c>
      <c r="N29" s="24" t="s">
        <v>343</v>
      </c>
      <c r="O29" s="24">
        <v>0.56491222646593542</v>
      </c>
      <c r="P29">
        <v>46.098606381412303</v>
      </c>
      <c r="Q29" t="s">
        <v>346</v>
      </c>
      <c r="R29" t="s">
        <v>347</v>
      </c>
      <c r="S29" t="s">
        <v>343</v>
      </c>
      <c r="T29" t="s">
        <v>343</v>
      </c>
    </row>
    <row r="30" spans="2:20" x14ac:dyDescent="0.25">
      <c r="B30">
        <v>25</v>
      </c>
      <c r="C30" t="s">
        <v>362</v>
      </c>
      <c r="D30" s="10">
        <v>0.25617840187891339</v>
      </c>
      <c r="E30" s="10">
        <v>1.1714374941852519</v>
      </c>
      <c r="F30" s="10">
        <v>0.5291397277893638</v>
      </c>
      <c r="G30" s="10">
        <v>0.37210247889877412</v>
      </c>
      <c r="H30" s="6">
        <v>0.23020088537194019</v>
      </c>
      <c r="I30" s="10">
        <v>5.853720511653572</v>
      </c>
      <c r="J30" s="7">
        <v>3.6570999074901529E-2</v>
      </c>
      <c r="K30" s="5">
        <v>0.1649810586652409</v>
      </c>
      <c r="L30">
        <v>120.45001563597199</v>
      </c>
      <c r="M30" s="10">
        <v>-0.79597761287336</v>
      </c>
      <c r="N30" s="24" t="s">
        <v>343</v>
      </c>
      <c r="O30" s="24">
        <v>3.2413432275983989</v>
      </c>
      <c r="P30">
        <v>60.351351390919341</v>
      </c>
      <c r="Q30" t="s">
        <v>47</v>
      </c>
      <c r="R30" t="s">
        <v>350</v>
      </c>
      <c r="S30" t="s">
        <v>343</v>
      </c>
      <c r="T30" t="s">
        <v>343</v>
      </c>
    </row>
    <row r="31" spans="2:20" x14ac:dyDescent="0.25">
      <c r="B31">
        <v>26</v>
      </c>
      <c r="C31" t="s">
        <v>363</v>
      </c>
      <c r="D31" s="10">
        <v>0.27329161244736733</v>
      </c>
      <c r="E31" s="10">
        <v>0.36824978646401252</v>
      </c>
      <c r="F31" s="10">
        <v>0.51806470019819595</v>
      </c>
      <c r="G31" s="10">
        <v>0.40095482024894058</v>
      </c>
      <c r="H31" s="6">
        <v>0.19940270591297429</v>
      </c>
      <c r="I31" s="10">
        <v>9.1827082266135065</v>
      </c>
      <c r="J31" s="7">
        <v>2.0327123484926182E-2</v>
      </c>
      <c r="K31" s="5">
        <v>0.15700722177220791</v>
      </c>
      <c r="L31">
        <v>126.5242712124695</v>
      </c>
      <c r="M31" s="10">
        <v>-0.78568882946232455</v>
      </c>
      <c r="N31" s="24" t="s">
        <v>343</v>
      </c>
      <c r="O31" s="24">
        <v>3.858670232260522</v>
      </c>
      <c r="P31">
        <v>54.586498002147202</v>
      </c>
      <c r="Q31" t="s">
        <v>47</v>
      </c>
      <c r="R31" t="s">
        <v>350</v>
      </c>
      <c r="S31" t="s">
        <v>343</v>
      </c>
      <c r="T31" t="s">
        <v>343</v>
      </c>
    </row>
    <row r="32" spans="2:20" x14ac:dyDescent="0.25">
      <c r="B32">
        <v>27</v>
      </c>
      <c r="C32" t="s">
        <v>364</v>
      </c>
      <c r="D32" s="10">
        <v>0.16329351908732839</v>
      </c>
      <c r="E32" s="10">
        <v>0.3897948148364721</v>
      </c>
      <c r="F32" s="10">
        <v>0.61814643032685712</v>
      </c>
      <c r="G32" s="10">
        <v>0.25244998647247652</v>
      </c>
      <c r="H32" s="6">
        <v>0.2176446483105593</v>
      </c>
      <c r="I32" s="10">
        <v>4.8348970913938034</v>
      </c>
      <c r="J32" s="7">
        <v>1.6358242597050651E-2</v>
      </c>
      <c r="K32" s="5">
        <v>0.14771433467415229</v>
      </c>
      <c r="L32">
        <v>63.753685198667682</v>
      </c>
      <c r="M32" s="10">
        <v>-0.89201181109296623</v>
      </c>
      <c r="N32" s="24" t="s">
        <v>343</v>
      </c>
      <c r="O32" s="24">
        <v>0</v>
      </c>
      <c r="P32">
        <v>64.724690120886649</v>
      </c>
      <c r="Q32" t="s">
        <v>47</v>
      </c>
      <c r="R32" t="s">
        <v>350</v>
      </c>
      <c r="S32" t="s">
        <v>343</v>
      </c>
      <c r="T32" t="s">
        <v>343</v>
      </c>
    </row>
    <row r="33" spans="2:20" x14ac:dyDescent="0.25">
      <c r="B33">
        <v>28</v>
      </c>
      <c r="C33" t="s">
        <v>365</v>
      </c>
      <c r="D33" s="10">
        <v>0.31518557634591909</v>
      </c>
      <c r="E33" s="10">
        <v>0.6283435240661055</v>
      </c>
      <c r="F33" s="10">
        <v>0.64943432345759622</v>
      </c>
      <c r="G33" s="10">
        <v>0.36325620010025461</v>
      </c>
      <c r="H33" s="6">
        <v>0.22498982784796709</v>
      </c>
      <c r="I33" s="10">
        <v>4.9227106379025152</v>
      </c>
      <c r="J33" s="7">
        <v>4.3691386150123322E-2</v>
      </c>
      <c r="K33" s="5">
        <v>0.19211013363444779</v>
      </c>
      <c r="L33">
        <v>111.37121423265791</v>
      </c>
      <c r="M33" s="10">
        <v>-0.81135559954088232</v>
      </c>
      <c r="N33" s="24" t="s">
        <v>343</v>
      </c>
      <c r="O33" s="24">
        <v>2.318664027547058</v>
      </c>
      <c r="P33">
        <v>51.925913049714907</v>
      </c>
      <c r="Q33" t="s">
        <v>47</v>
      </c>
      <c r="R33" t="s">
        <v>350</v>
      </c>
      <c r="S33" t="s">
        <v>343</v>
      </c>
      <c r="T33" t="s">
        <v>343</v>
      </c>
    </row>
    <row r="34" spans="2:20" x14ac:dyDescent="0.25">
      <c r="B34">
        <v>29</v>
      </c>
      <c r="C34" t="s">
        <v>366</v>
      </c>
      <c r="D34" s="10">
        <v>0.2931908225280675</v>
      </c>
      <c r="E34" s="10">
        <v>0.86560699901311233</v>
      </c>
      <c r="F34" s="10">
        <v>0.53840265885154981</v>
      </c>
      <c r="G34" s="10">
        <v>0.40617479523820432</v>
      </c>
      <c r="H34" s="6">
        <v>0.19418088363208441</v>
      </c>
      <c r="I34" s="10">
        <v>3.1143267435973478</v>
      </c>
      <c r="J34" s="7">
        <v>4.2219001200893842E-2</v>
      </c>
      <c r="K34" s="5">
        <v>0.1113840681122531</v>
      </c>
      <c r="L34">
        <v>171.952618216518</v>
      </c>
      <c r="M34" s="10">
        <v>-0.70874072987058545</v>
      </c>
      <c r="N34" s="24" t="s">
        <v>343</v>
      </c>
      <c r="O34" s="24">
        <v>8.4755562077648712</v>
      </c>
      <c r="P34">
        <v>51.647053078666723</v>
      </c>
      <c r="Q34" t="s">
        <v>47</v>
      </c>
      <c r="R34" t="s">
        <v>350</v>
      </c>
      <c r="S34" t="s">
        <v>343</v>
      </c>
      <c r="T34" t="s">
        <v>343</v>
      </c>
    </row>
    <row r="35" spans="2:20" x14ac:dyDescent="0.25">
      <c r="B35">
        <v>30</v>
      </c>
      <c r="C35" t="s">
        <v>367</v>
      </c>
      <c r="D35" s="10">
        <v>0.19397425770852419</v>
      </c>
      <c r="E35" s="10">
        <v>0.7469022806155452</v>
      </c>
      <c r="F35" s="10">
        <v>0.63418021347243403</v>
      </c>
      <c r="G35" s="10">
        <v>0.34928767288518281</v>
      </c>
      <c r="H35" s="6">
        <v>0.20935274627019559</v>
      </c>
      <c r="I35" s="10">
        <v>9.7466086551503608</v>
      </c>
      <c r="J35" s="7">
        <v>1.3701105027794661E-2</v>
      </c>
      <c r="K35" s="5">
        <v>0.14846546434492419</v>
      </c>
      <c r="L35">
        <v>147.59761268944109</v>
      </c>
      <c r="M35" s="10">
        <v>-0.74999407749267388</v>
      </c>
      <c r="N35" s="24" t="s">
        <v>343</v>
      </c>
      <c r="O35" s="24">
        <v>6.0003553504395626</v>
      </c>
      <c r="P35">
        <v>57.006566007566278</v>
      </c>
      <c r="Q35" t="s">
        <v>47</v>
      </c>
      <c r="R35" t="s">
        <v>350</v>
      </c>
      <c r="S35" t="s">
        <v>343</v>
      </c>
      <c r="T35" t="s">
        <v>343</v>
      </c>
    </row>
    <row r="36" spans="2:20" x14ac:dyDescent="0.25">
      <c r="B36">
        <v>31</v>
      </c>
      <c r="C36" t="s">
        <v>368</v>
      </c>
      <c r="D36" s="10">
        <v>0.18909199475313609</v>
      </c>
      <c r="E36" s="10">
        <v>0.34929794173788797</v>
      </c>
      <c r="F36" s="10">
        <v>0.66977134859537424</v>
      </c>
      <c r="G36" s="10">
        <v>0.37058101969095419</v>
      </c>
      <c r="H36" s="6">
        <v>0.24695520801863599</v>
      </c>
      <c r="I36" s="10">
        <v>13.937786042260569</v>
      </c>
      <c r="J36" s="7">
        <v>4.1474982343754407E-2</v>
      </c>
      <c r="K36" s="5">
        <v>0.15358426962965421</v>
      </c>
      <c r="L36">
        <v>123.5138961918684</v>
      </c>
      <c r="M36" s="10">
        <v>-0.79078790640811492</v>
      </c>
      <c r="N36" s="24" t="s">
        <v>343</v>
      </c>
      <c r="O36" s="24">
        <v>3.5527256155131042</v>
      </c>
      <c r="P36">
        <v>16.213565477233761</v>
      </c>
      <c r="Q36" t="s">
        <v>348</v>
      </c>
      <c r="R36" t="s">
        <v>351</v>
      </c>
      <c r="S36" t="s">
        <v>343</v>
      </c>
      <c r="T36" t="s">
        <v>343</v>
      </c>
    </row>
    <row r="37" spans="2:20" x14ac:dyDescent="0.25">
      <c r="B37">
        <v>32</v>
      </c>
      <c r="C37" t="s">
        <v>369</v>
      </c>
      <c r="D37" s="10">
        <v>0.18934472157654941</v>
      </c>
      <c r="E37" s="10">
        <v>1.3532407136580471</v>
      </c>
      <c r="F37" s="10">
        <v>0.63936895295380891</v>
      </c>
      <c r="G37" s="10">
        <v>0.43776860082782981</v>
      </c>
      <c r="H37" s="6">
        <v>0.16693185317187409</v>
      </c>
      <c r="I37" s="10">
        <v>12.781413129707159</v>
      </c>
      <c r="J37" s="7">
        <v>4.1180363410114627E-2</v>
      </c>
      <c r="K37" s="5">
        <v>0.1021368272461797</v>
      </c>
      <c r="L37">
        <v>567.3897874151321</v>
      </c>
      <c r="M37" s="10">
        <v>-3.893562613087212E-2</v>
      </c>
      <c r="N37" s="24" t="s">
        <v>345</v>
      </c>
      <c r="O37" s="24">
        <v>84.20446207026859</v>
      </c>
      <c r="P37">
        <v>47.516762839166418</v>
      </c>
      <c r="Q37" t="s">
        <v>346</v>
      </c>
      <c r="R37" t="s">
        <v>347</v>
      </c>
      <c r="S37" t="s">
        <v>345</v>
      </c>
      <c r="T37" t="s">
        <v>343</v>
      </c>
    </row>
    <row r="38" spans="2:20" x14ac:dyDescent="0.25">
      <c r="B38">
        <v>33</v>
      </c>
      <c r="C38" t="s">
        <v>370</v>
      </c>
      <c r="D38" s="10">
        <v>0.20867875887352599</v>
      </c>
      <c r="E38" s="10">
        <v>1.3481564723938919</v>
      </c>
      <c r="F38" s="10">
        <v>0.44889108624841662</v>
      </c>
      <c r="G38" s="10">
        <v>0.28358190584686388</v>
      </c>
      <c r="H38" s="6">
        <v>0.19848094904529481</v>
      </c>
      <c r="I38" s="10">
        <v>10.762587848698111</v>
      </c>
      <c r="J38" s="7">
        <v>3.2203109352146667E-2</v>
      </c>
      <c r="K38" s="5">
        <v>0.13913928035641221</v>
      </c>
      <c r="L38">
        <v>162.2885227425335</v>
      </c>
      <c r="M38" s="10">
        <v>-0.7251101078039266</v>
      </c>
      <c r="N38" s="24" t="s">
        <v>343</v>
      </c>
      <c r="O38" s="24">
        <v>7.4933935317644007</v>
      </c>
      <c r="P38">
        <v>18.862134665520749</v>
      </c>
      <c r="Q38" t="s">
        <v>348</v>
      </c>
      <c r="R38" t="s">
        <v>371</v>
      </c>
      <c r="S38" t="s">
        <v>343</v>
      </c>
      <c r="T38" t="s">
        <v>343</v>
      </c>
    </row>
    <row r="39" spans="2:20" x14ac:dyDescent="0.25">
      <c r="B39">
        <v>34</v>
      </c>
      <c r="C39" t="s">
        <v>372</v>
      </c>
      <c r="D39" s="10">
        <v>0.2439610290611581</v>
      </c>
      <c r="E39" s="10">
        <v>0.60729195556483584</v>
      </c>
      <c r="F39" s="10">
        <v>0.65511591695520888</v>
      </c>
      <c r="G39" s="10">
        <v>0.26161423166142062</v>
      </c>
      <c r="H39" s="6">
        <v>0.1212719581538262</v>
      </c>
      <c r="I39" s="10">
        <v>11.6407782754323</v>
      </c>
      <c r="J39" s="7">
        <v>2.8540830031156341E-2</v>
      </c>
      <c r="K39" s="5">
        <v>0.1743662019119209</v>
      </c>
      <c r="L39">
        <v>220.71407386959461</v>
      </c>
      <c r="M39" s="10">
        <v>-0.62614689599199991</v>
      </c>
      <c r="N39" s="24" t="s">
        <v>343</v>
      </c>
      <c r="O39" s="24">
        <v>13.43118624048001</v>
      </c>
      <c r="P39">
        <v>17.450562795737131</v>
      </c>
      <c r="Q39" t="s">
        <v>348</v>
      </c>
      <c r="R39" t="s">
        <v>373</v>
      </c>
      <c r="S39" t="s">
        <v>343</v>
      </c>
      <c r="T39" t="s">
        <v>343</v>
      </c>
    </row>
    <row r="40" spans="2:20" x14ac:dyDescent="0.25">
      <c r="B40">
        <v>35</v>
      </c>
      <c r="C40" t="s">
        <v>374</v>
      </c>
      <c r="D40" s="10">
        <v>0.22911120298273849</v>
      </c>
      <c r="E40" s="10">
        <v>1.104678176795439</v>
      </c>
      <c r="F40" s="10">
        <v>0.64136504919813553</v>
      </c>
      <c r="G40" s="10">
        <v>0.39194159489069019</v>
      </c>
      <c r="H40" s="6">
        <v>0.22311545996651899</v>
      </c>
      <c r="I40" s="10">
        <v>7.5853798789012057</v>
      </c>
      <c r="J40" s="7">
        <v>1.761034812304579E-2</v>
      </c>
      <c r="K40" s="5">
        <v>0.14475438174807859</v>
      </c>
      <c r="L40">
        <v>289.81239606730509</v>
      </c>
      <c r="M40" s="10">
        <v>-0.50910577676268554</v>
      </c>
      <c r="N40" s="24" t="s">
        <v>343</v>
      </c>
      <c r="O40" s="24">
        <v>20.45365339423887</v>
      </c>
      <c r="P40">
        <v>17.84380563882948</v>
      </c>
      <c r="Q40" t="s">
        <v>348</v>
      </c>
      <c r="R40" t="s">
        <v>375</v>
      </c>
      <c r="S40" t="s">
        <v>343</v>
      </c>
      <c r="T40" t="s">
        <v>343</v>
      </c>
    </row>
    <row r="41" spans="2:20" x14ac:dyDescent="0.25">
      <c r="B41">
        <v>36</v>
      </c>
      <c r="C41" t="s">
        <v>376</v>
      </c>
      <c r="D41" s="10">
        <v>0.2065966624316867</v>
      </c>
      <c r="E41" s="10">
        <v>0.93643295252154601</v>
      </c>
      <c r="F41" s="10">
        <v>0.61401546191982836</v>
      </c>
      <c r="G41" s="10">
        <v>0.42102675921493771</v>
      </c>
      <c r="H41" s="6">
        <v>0.14930781969222631</v>
      </c>
      <c r="I41" s="10">
        <v>6.2788751040767572</v>
      </c>
      <c r="J41" s="7">
        <v>1.4248449639205411E-2</v>
      </c>
      <c r="K41" s="5">
        <v>0.18315145273013711</v>
      </c>
      <c r="L41">
        <v>173.20721877011499</v>
      </c>
      <c r="M41" s="10">
        <v>-0.70661564422004597</v>
      </c>
      <c r="N41" s="24" t="s">
        <v>343</v>
      </c>
      <c r="O41" s="24">
        <v>8.6030613467972401</v>
      </c>
      <c r="P41">
        <v>61.649052978889557</v>
      </c>
      <c r="Q41" t="s">
        <v>47</v>
      </c>
      <c r="R41" t="s">
        <v>350</v>
      </c>
      <c r="S41" t="s">
        <v>343</v>
      </c>
      <c r="T41" t="s">
        <v>343</v>
      </c>
    </row>
    <row r="42" spans="2:20" x14ac:dyDescent="0.25">
      <c r="B42">
        <v>37</v>
      </c>
      <c r="C42" t="s">
        <v>377</v>
      </c>
      <c r="D42" s="10">
        <v>0.25789646315558068</v>
      </c>
      <c r="E42" s="10">
        <v>0.56122436450618651</v>
      </c>
      <c r="F42" s="10">
        <v>0.63760582896285489</v>
      </c>
      <c r="G42" s="10">
        <v>0.427107841488164</v>
      </c>
      <c r="H42" s="6">
        <v>0.19215018805706541</v>
      </c>
      <c r="I42" s="10">
        <v>7.0549111007315188</v>
      </c>
      <c r="J42" s="7">
        <v>3.122291678360109E-2</v>
      </c>
      <c r="K42" s="5">
        <v>0.16125589852949859</v>
      </c>
      <c r="L42">
        <v>176.18020036242231</v>
      </c>
      <c r="M42" s="10">
        <v>-0.70157990555165706</v>
      </c>
      <c r="N42" s="24" t="s">
        <v>343</v>
      </c>
      <c r="O42" s="24">
        <v>8.9052056669005815</v>
      </c>
      <c r="P42">
        <v>59.632194342814422</v>
      </c>
      <c r="Q42" t="s">
        <v>47</v>
      </c>
      <c r="R42" t="s">
        <v>350</v>
      </c>
      <c r="S42" t="s">
        <v>343</v>
      </c>
      <c r="T42" t="s">
        <v>343</v>
      </c>
    </row>
    <row r="43" spans="2:20" x14ac:dyDescent="0.25">
      <c r="B43">
        <v>38</v>
      </c>
      <c r="C43" t="s">
        <v>378</v>
      </c>
      <c r="D43" s="10">
        <v>0.18231901770432671</v>
      </c>
      <c r="E43" s="10">
        <v>0.58838870691577694</v>
      </c>
      <c r="F43" s="10">
        <v>0.69465060291630398</v>
      </c>
      <c r="G43" s="10">
        <v>0.3811617893600685</v>
      </c>
      <c r="H43" s="6">
        <v>0.15153078244206891</v>
      </c>
      <c r="I43" s="10">
        <v>3.8956428990305318</v>
      </c>
      <c r="J43" s="7">
        <v>3.8768503985301239E-2</v>
      </c>
      <c r="K43" s="5">
        <v>0.17277810958473799</v>
      </c>
      <c r="L43">
        <v>165.4102535927953</v>
      </c>
      <c r="M43" s="10">
        <v>-0.71982241251659551</v>
      </c>
      <c r="N43" s="24" t="s">
        <v>343</v>
      </c>
      <c r="O43" s="24">
        <v>7.8106552490042667</v>
      </c>
      <c r="P43">
        <v>19.40233728437342</v>
      </c>
      <c r="Q43" t="s">
        <v>348</v>
      </c>
      <c r="R43" t="s">
        <v>353</v>
      </c>
      <c r="S43" t="s">
        <v>343</v>
      </c>
      <c r="T43" t="s">
        <v>343</v>
      </c>
    </row>
    <row r="44" spans="2:20" x14ac:dyDescent="0.25">
      <c r="B44">
        <v>39</v>
      </c>
      <c r="C44" t="s">
        <v>379</v>
      </c>
      <c r="D44" s="10">
        <v>0.20674314376563491</v>
      </c>
      <c r="E44" s="10">
        <v>0.84026849174149554</v>
      </c>
      <c r="F44" s="10">
        <v>0.55208935083277089</v>
      </c>
      <c r="G44" s="10">
        <v>0.42330695199757667</v>
      </c>
      <c r="H44" s="6">
        <v>0.1235300571867738</v>
      </c>
      <c r="I44" s="10">
        <v>9.9717471783259573</v>
      </c>
      <c r="J44" s="7">
        <v>3.4102534908989401E-2</v>
      </c>
      <c r="K44" s="5">
        <v>0.17642561284327421</v>
      </c>
      <c r="L44">
        <v>163.07484026798679</v>
      </c>
      <c r="M44" s="10">
        <v>-0.72377821608323689</v>
      </c>
      <c r="N44" s="24" t="s">
        <v>343</v>
      </c>
      <c r="O44" s="24">
        <v>7.573307035005783</v>
      </c>
      <c r="P44">
        <v>58.264028072522109</v>
      </c>
      <c r="Q44" t="s">
        <v>47</v>
      </c>
      <c r="R44" t="s">
        <v>350</v>
      </c>
      <c r="S44" t="s">
        <v>343</v>
      </c>
      <c r="T44" t="s">
        <v>343</v>
      </c>
    </row>
    <row r="45" spans="2:20" x14ac:dyDescent="0.25">
      <c r="B45">
        <v>40</v>
      </c>
      <c r="C45" t="s">
        <v>380</v>
      </c>
      <c r="D45" s="10">
        <v>0.21861789492699071</v>
      </c>
      <c r="E45" s="10">
        <v>0.76116063564709613</v>
      </c>
      <c r="F45" s="10">
        <v>0.45747804108819551</v>
      </c>
      <c r="G45" s="10">
        <v>0.39414612525912379</v>
      </c>
      <c r="H45" s="6">
        <v>0.19248308275470249</v>
      </c>
      <c r="I45" s="10">
        <v>4.9235152443394128</v>
      </c>
      <c r="J45" s="7">
        <v>1.6328014828357461E-2</v>
      </c>
      <c r="K45" s="5">
        <v>0.16550252274681271</v>
      </c>
      <c r="L45">
        <v>184.47663645675061</v>
      </c>
      <c r="M45" s="10">
        <v>-0.68752711620438067</v>
      </c>
      <c r="N45" s="24" t="s">
        <v>343</v>
      </c>
      <c r="O45" s="24">
        <v>9.7483730277371592</v>
      </c>
      <c r="P45">
        <v>56.875800681799447</v>
      </c>
      <c r="Q45" t="s">
        <v>47</v>
      </c>
      <c r="R45" t="s">
        <v>350</v>
      </c>
      <c r="S45" t="s">
        <v>343</v>
      </c>
      <c r="T45" t="s">
        <v>343</v>
      </c>
    </row>
    <row r="46" spans="2:20" x14ac:dyDescent="0.25">
      <c r="B46">
        <v>41</v>
      </c>
      <c r="C46" t="s">
        <v>381</v>
      </c>
      <c r="D46" s="10">
        <v>0.23297119747472569</v>
      </c>
      <c r="E46" s="10">
        <v>0.62035226105439056</v>
      </c>
      <c r="F46" s="10">
        <v>0.55983139210320632</v>
      </c>
      <c r="G46" s="10">
        <v>0.25922292149949389</v>
      </c>
      <c r="H46" s="6">
        <v>0.18372504099160611</v>
      </c>
      <c r="I46" s="10">
        <v>11.391660322760419</v>
      </c>
      <c r="J46" s="7">
        <v>2.0150652408809849E-2</v>
      </c>
      <c r="K46" s="5">
        <v>0.17119116270250331</v>
      </c>
      <c r="L46">
        <v>121.62840883024749</v>
      </c>
      <c r="M46" s="10">
        <v>-0.7939816098741036</v>
      </c>
      <c r="N46" s="24" t="s">
        <v>343</v>
      </c>
      <c r="O46" s="24">
        <v>3.361103407553784</v>
      </c>
      <c r="P46">
        <v>60.484479544452427</v>
      </c>
      <c r="Q46" t="s">
        <v>47</v>
      </c>
      <c r="R46" t="s">
        <v>350</v>
      </c>
      <c r="S46" t="s">
        <v>343</v>
      </c>
      <c r="T46" t="s">
        <v>343</v>
      </c>
    </row>
    <row r="47" spans="2:20" x14ac:dyDescent="0.25">
      <c r="B47">
        <v>42</v>
      </c>
      <c r="C47" t="s">
        <v>382</v>
      </c>
      <c r="D47" s="10">
        <v>0.2856281538228822</v>
      </c>
      <c r="E47" s="10">
        <v>1.188262755935664</v>
      </c>
      <c r="F47" s="10">
        <v>0.45207275040167239</v>
      </c>
      <c r="G47" s="10">
        <v>0.4076495717346974</v>
      </c>
      <c r="H47" s="6">
        <v>0.18377242702865709</v>
      </c>
      <c r="I47" s="10">
        <v>5.0897410849019398</v>
      </c>
      <c r="J47" s="7">
        <v>2.912461555163318E-2</v>
      </c>
      <c r="K47" s="5">
        <v>0.16605450128301849</v>
      </c>
      <c r="L47">
        <v>217.72067307020151</v>
      </c>
      <c r="M47" s="10">
        <v>-0.63121722141698544</v>
      </c>
      <c r="N47" s="24" t="s">
        <v>343</v>
      </c>
      <c r="O47" s="24">
        <v>13.12696671498087</v>
      </c>
      <c r="P47">
        <v>59.141917062068977</v>
      </c>
      <c r="Q47" t="s">
        <v>47</v>
      </c>
      <c r="R47" t="s">
        <v>350</v>
      </c>
      <c r="S47" t="s">
        <v>343</v>
      </c>
      <c r="T47" t="s">
        <v>343</v>
      </c>
    </row>
    <row r="48" spans="2:20" x14ac:dyDescent="0.25">
      <c r="B48">
        <v>43</v>
      </c>
      <c r="C48" t="s">
        <v>383</v>
      </c>
      <c r="D48" s="10">
        <v>0.19194780514533749</v>
      </c>
      <c r="E48" s="10">
        <v>0.82960920940112337</v>
      </c>
      <c r="F48" s="10">
        <v>0.51650510610299993</v>
      </c>
      <c r="G48" s="10">
        <v>0.27945913170107251</v>
      </c>
      <c r="H48" s="6">
        <v>0.15132092398933061</v>
      </c>
      <c r="I48" s="10">
        <v>5.5093642779407022</v>
      </c>
      <c r="J48" s="7">
        <v>3.1874738114021181E-2</v>
      </c>
      <c r="K48" s="5">
        <v>0.15229405610309421</v>
      </c>
      <c r="L48">
        <v>82.225393657245917</v>
      </c>
      <c r="M48" s="10">
        <v>-0.86072379478073757</v>
      </c>
      <c r="N48" s="24" t="s">
        <v>343</v>
      </c>
      <c r="O48" s="24">
        <v>0</v>
      </c>
      <c r="P48">
        <v>63.910259488445007</v>
      </c>
      <c r="Q48" t="s">
        <v>47</v>
      </c>
      <c r="R48" t="s">
        <v>350</v>
      </c>
      <c r="S48" t="s">
        <v>343</v>
      </c>
      <c r="T48" t="s">
        <v>343</v>
      </c>
    </row>
    <row r="49" spans="2:20" x14ac:dyDescent="0.25">
      <c r="B49">
        <v>44</v>
      </c>
      <c r="C49" t="s">
        <v>384</v>
      </c>
      <c r="D49" s="10">
        <v>0.2422775101461779</v>
      </c>
      <c r="E49" s="10">
        <v>1.0203328686280411</v>
      </c>
      <c r="F49" s="10">
        <v>0.59258874586715726</v>
      </c>
      <c r="G49" s="10">
        <v>0.292054055370014</v>
      </c>
      <c r="H49" s="6">
        <v>0.26208068846222687</v>
      </c>
      <c r="I49" s="10">
        <v>13.53036203313785</v>
      </c>
      <c r="J49" s="7">
        <v>1.2528841437757451E-2</v>
      </c>
      <c r="K49" s="5">
        <v>0.1538206317315661</v>
      </c>
      <c r="L49">
        <v>171.464262950554</v>
      </c>
      <c r="M49" s="10">
        <v>-0.70956792284853376</v>
      </c>
      <c r="N49" s="24" t="s">
        <v>343</v>
      </c>
      <c r="O49" s="24">
        <v>8.4259246290879801</v>
      </c>
      <c r="P49">
        <v>54.768732358714047</v>
      </c>
      <c r="Q49" t="s">
        <v>47</v>
      </c>
      <c r="R49" t="s">
        <v>350</v>
      </c>
      <c r="S49" t="s">
        <v>343</v>
      </c>
      <c r="T49" t="s">
        <v>343</v>
      </c>
    </row>
    <row r="50" spans="2:20" x14ac:dyDescent="0.25">
      <c r="B50">
        <v>45</v>
      </c>
      <c r="C50" t="s">
        <v>385</v>
      </c>
      <c r="D50" s="10">
        <v>0.2547863310179268</v>
      </c>
      <c r="E50" s="10">
        <v>0.50820085018466299</v>
      </c>
      <c r="F50" s="10">
        <v>0.52050195216080064</v>
      </c>
      <c r="G50" s="10">
        <v>0.32682313793970619</v>
      </c>
      <c r="H50" s="6">
        <v>0.1205260727716042</v>
      </c>
      <c r="I50" s="10">
        <v>4.1593550322610033</v>
      </c>
      <c r="J50" s="7">
        <v>3.1491807338563757E-2</v>
      </c>
      <c r="K50" s="5">
        <v>0.11803905435049609</v>
      </c>
      <c r="L50">
        <v>134.90828113347121</v>
      </c>
      <c r="M50" s="10">
        <v>-0.77148770454968196</v>
      </c>
      <c r="N50" s="24" t="s">
        <v>343</v>
      </c>
      <c r="O50" s="24">
        <v>4.7107377270190796</v>
      </c>
      <c r="P50">
        <v>64.016076522949746</v>
      </c>
      <c r="Q50" t="s">
        <v>47</v>
      </c>
      <c r="R50" t="s">
        <v>350</v>
      </c>
      <c r="S50" t="s">
        <v>343</v>
      </c>
      <c r="T50" t="s">
        <v>343</v>
      </c>
    </row>
    <row r="51" spans="2:20" x14ac:dyDescent="0.25">
      <c r="B51">
        <v>46</v>
      </c>
      <c r="C51" t="s">
        <v>386</v>
      </c>
      <c r="D51" s="10">
        <v>0.16743206603519961</v>
      </c>
      <c r="E51" s="10">
        <v>0.88685842876813537</v>
      </c>
      <c r="F51" s="10">
        <v>0.61820276393647999</v>
      </c>
      <c r="G51" s="10">
        <v>0.30920475459179408</v>
      </c>
      <c r="H51" s="6">
        <v>0.25373181749960078</v>
      </c>
      <c r="I51" s="10">
        <v>8.4872679317063273</v>
      </c>
      <c r="J51" s="7">
        <v>3.5771178820226797E-2</v>
      </c>
      <c r="K51" s="5">
        <v>0.17860672717101039</v>
      </c>
      <c r="L51">
        <v>113.58728483374171</v>
      </c>
      <c r="M51" s="10">
        <v>-0.80760194279217157</v>
      </c>
      <c r="N51" s="24" t="s">
        <v>343</v>
      </c>
      <c r="O51" s="24">
        <v>2.543883432469713</v>
      </c>
      <c r="P51">
        <v>62.346749505081718</v>
      </c>
      <c r="Q51" t="s">
        <v>47</v>
      </c>
      <c r="R51" t="s">
        <v>350</v>
      </c>
      <c r="S51" t="s">
        <v>343</v>
      </c>
      <c r="T51" t="s">
        <v>343</v>
      </c>
    </row>
    <row r="52" spans="2:20" x14ac:dyDescent="0.25">
      <c r="B52">
        <v>47</v>
      </c>
      <c r="C52" t="s">
        <v>387</v>
      </c>
      <c r="D52" s="10">
        <v>0.25720717630423018</v>
      </c>
      <c r="E52" s="10">
        <v>0.64977365439128354</v>
      </c>
      <c r="F52" s="10">
        <v>0.65371644519828742</v>
      </c>
      <c r="G52" s="10">
        <v>0.31076338242664059</v>
      </c>
      <c r="H52" s="6">
        <v>0.23053528847092231</v>
      </c>
      <c r="I52" s="10">
        <v>3.689551581417569</v>
      </c>
      <c r="J52" s="7">
        <v>1.6347524701273909E-2</v>
      </c>
      <c r="K52" s="5">
        <v>0.1296530448083304</v>
      </c>
      <c r="L52">
        <v>111.09081653551669</v>
      </c>
      <c r="M52" s="10">
        <v>-0.8118305468226531</v>
      </c>
      <c r="N52" s="24" t="s">
        <v>343</v>
      </c>
      <c r="O52" s="24">
        <v>2.290167190640815</v>
      </c>
      <c r="P52">
        <v>60.844411750813997</v>
      </c>
      <c r="Q52" t="s">
        <v>47</v>
      </c>
      <c r="R52" t="s">
        <v>350</v>
      </c>
      <c r="S52" t="s">
        <v>343</v>
      </c>
      <c r="T52" t="s">
        <v>343</v>
      </c>
    </row>
    <row r="53" spans="2:20" x14ac:dyDescent="0.25">
      <c r="B53">
        <v>48</v>
      </c>
      <c r="C53" t="s">
        <v>388</v>
      </c>
      <c r="D53" s="10">
        <v>0.18728385978996659</v>
      </c>
      <c r="E53" s="10">
        <v>0.87905497143436606</v>
      </c>
      <c r="F53" s="10">
        <v>0.54931418661267961</v>
      </c>
      <c r="G53" s="10">
        <v>0.27723709532488999</v>
      </c>
      <c r="H53" s="6">
        <v>0.14581080502999069</v>
      </c>
      <c r="I53" s="10">
        <v>3.9943009129042699</v>
      </c>
      <c r="J53" s="7">
        <v>1.861765502685719E-2</v>
      </c>
      <c r="K53" s="5">
        <v>0.15089500383420651</v>
      </c>
      <c r="L53">
        <v>65.289942712369637</v>
      </c>
      <c r="M53" s="10">
        <v>-0.8894096451776542</v>
      </c>
      <c r="N53" s="24" t="s">
        <v>343</v>
      </c>
      <c r="O53" s="24">
        <v>0</v>
      </c>
      <c r="P53">
        <v>59.514967942187262</v>
      </c>
      <c r="Q53" t="s">
        <v>47</v>
      </c>
      <c r="R53" t="s">
        <v>350</v>
      </c>
      <c r="S53" t="s">
        <v>343</v>
      </c>
      <c r="T53" t="s">
        <v>343</v>
      </c>
    </row>
    <row r="54" spans="2:20" x14ac:dyDescent="0.25">
      <c r="B54">
        <v>49</v>
      </c>
      <c r="C54" t="s">
        <v>389</v>
      </c>
      <c r="D54" s="10">
        <v>0.17040825487764469</v>
      </c>
      <c r="E54" s="10">
        <v>1.1589084167520209</v>
      </c>
      <c r="F54" s="10">
        <v>0.67403586733618082</v>
      </c>
      <c r="G54" s="10">
        <v>0.30465163036409981</v>
      </c>
      <c r="H54" s="6">
        <v>0.1908287979455332</v>
      </c>
      <c r="I54" s="10">
        <v>9.9685039835226963</v>
      </c>
      <c r="J54" s="7">
        <v>1.9061380656255001E-2</v>
      </c>
      <c r="K54" s="5">
        <v>0.123706828004539</v>
      </c>
      <c r="L54">
        <v>174.96764044352631</v>
      </c>
      <c r="M54" s="10">
        <v>-0.70363378132644261</v>
      </c>
      <c r="N54" s="24" t="s">
        <v>343</v>
      </c>
      <c r="O54" s="24">
        <v>8.7819731204134399</v>
      </c>
      <c r="P54">
        <v>60.517203845691483</v>
      </c>
      <c r="Q54" t="s">
        <v>47</v>
      </c>
      <c r="R54" t="s">
        <v>350</v>
      </c>
      <c r="S54" t="s">
        <v>343</v>
      </c>
      <c r="T54" t="s">
        <v>343</v>
      </c>
    </row>
    <row r="55" spans="2:20" x14ac:dyDescent="0.25">
      <c r="B55">
        <v>50</v>
      </c>
      <c r="C55" t="s">
        <v>390</v>
      </c>
      <c r="D55" s="10">
        <v>0.31182168596053328</v>
      </c>
      <c r="E55" s="10">
        <v>1.1458045311003879</v>
      </c>
      <c r="F55" s="10">
        <v>0.46075812215110412</v>
      </c>
      <c r="G55" s="10">
        <v>0.244325769794694</v>
      </c>
      <c r="H55" s="6">
        <v>0.26832751222624091</v>
      </c>
      <c r="I55" s="10">
        <v>9.9379998936444416</v>
      </c>
      <c r="J55" s="7">
        <v>4.289335884015491E-2</v>
      </c>
      <c r="K55" s="5">
        <v>0.16610717301509159</v>
      </c>
      <c r="L55">
        <v>168.60400402505951</v>
      </c>
      <c r="M55" s="10">
        <v>-0.71441272797951294</v>
      </c>
      <c r="N55" s="24" t="s">
        <v>343</v>
      </c>
      <c r="O55" s="24">
        <v>8.1352363212292218</v>
      </c>
      <c r="P55">
        <v>45.035382702159332</v>
      </c>
      <c r="Q55" t="s">
        <v>346</v>
      </c>
      <c r="R55" t="s">
        <v>347</v>
      </c>
      <c r="S55" t="s">
        <v>343</v>
      </c>
      <c r="T55" t="s">
        <v>343</v>
      </c>
    </row>
    <row r="56" spans="2:20" x14ac:dyDescent="0.25">
      <c r="B56">
        <v>51</v>
      </c>
      <c r="C56" t="s">
        <v>391</v>
      </c>
      <c r="D56" s="10">
        <v>0.31450112529192947</v>
      </c>
      <c r="E56" s="10">
        <v>0.68964274583770346</v>
      </c>
      <c r="F56" s="10">
        <v>0.65842942269211691</v>
      </c>
      <c r="G56" s="10">
        <v>0.34404040827143167</v>
      </c>
      <c r="H56" s="6">
        <v>0.21655473554764609</v>
      </c>
      <c r="I56" s="10">
        <v>5.1243230945657512</v>
      </c>
      <c r="J56" s="7">
        <v>2.4245564227579629E-2</v>
      </c>
      <c r="K56" s="5">
        <v>0.1926410504574739</v>
      </c>
      <c r="L56">
        <v>73.453426985036756</v>
      </c>
      <c r="M56" s="10">
        <v>-0.87558205420735535</v>
      </c>
      <c r="N56" s="24" t="s">
        <v>343</v>
      </c>
      <c r="O56" s="24">
        <v>0</v>
      </c>
      <c r="P56">
        <v>51.240809916433577</v>
      </c>
      <c r="Q56" t="s">
        <v>47</v>
      </c>
      <c r="R56" t="s">
        <v>350</v>
      </c>
      <c r="S56" t="s">
        <v>343</v>
      </c>
      <c r="T56" t="s">
        <v>343</v>
      </c>
    </row>
    <row r="57" spans="2:20" x14ac:dyDescent="0.25">
      <c r="B57">
        <v>52</v>
      </c>
      <c r="C57" t="s">
        <v>392</v>
      </c>
      <c r="D57" s="10">
        <v>0.28934357569863378</v>
      </c>
      <c r="E57" s="10">
        <v>1.063704828787603</v>
      </c>
      <c r="F57" s="10">
        <v>0.6554290178142177</v>
      </c>
      <c r="G57" s="10">
        <v>0.40909001092935748</v>
      </c>
      <c r="H57" s="6">
        <v>0.1391065085728001</v>
      </c>
      <c r="I57" s="10">
        <v>12.59735166784232</v>
      </c>
      <c r="J57" s="7">
        <v>2.8570000973459811E-2</v>
      </c>
      <c r="K57" s="5">
        <v>0.17618432229150369</v>
      </c>
      <c r="L57">
        <v>213.76025011237309</v>
      </c>
      <c r="M57" s="10">
        <v>-0.63792552229698973</v>
      </c>
      <c r="N57" s="24" t="s">
        <v>343</v>
      </c>
      <c r="O57" s="24">
        <v>12.72446866218062</v>
      </c>
      <c r="P57">
        <v>50.557754731779177</v>
      </c>
      <c r="Q57" t="s">
        <v>47</v>
      </c>
      <c r="R57" t="s">
        <v>350</v>
      </c>
      <c r="S57" t="s">
        <v>343</v>
      </c>
      <c r="T57" t="s">
        <v>343</v>
      </c>
    </row>
    <row r="58" spans="2:20" x14ac:dyDescent="0.25">
      <c r="B58">
        <v>53</v>
      </c>
      <c r="C58" t="s">
        <v>393</v>
      </c>
      <c r="D58" s="10">
        <v>0.2087382030677393</v>
      </c>
      <c r="E58" s="10">
        <v>1.3354189454337051</v>
      </c>
      <c r="F58" s="10">
        <v>0.52371841304495881</v>
      </c>
      <c r="G58" s="10">
        <v>0.42969442122946477</v>
      </c>
      <c r="H58" s="6">
        <v>0.1886463358284648</v>
      </c>
      <c r="I58" s="10">
        <v>10.72405695251275</v>
      </c>
      <c r="J58" s="7">
        <v>3.5351002240095852E-2</v>
      </c>
      <c r="K58" s="5">
        <v>0.15881407077931889</v>
      </c>
      <c r="L58">
        <v>215.49454838890659</v>
      </c>
      <c r="M58" s="10">
        <v>-0.63498790811321604</v>
      </c>
      <c r="N58" s="24" t="s">
        <v>343</v>
      </c>
      <c r="O58" s="24">
        <v>12.900725513207041</v>
      </c>
      <c r="P58">
        <v>50.418751772212431</v>
      </c>
      <c r="Q58" t="s">
        <v>47</v>
      </c>
      <c r="R58" t="s">
        <v>350</v>
      </c>
      <c r="S58" t="s">
        <v>343</v>
      </c>
      <c r="T58" t="s">
        <v>343</v>
      </c>
    </row>
    <row r="59" spans="2:20" x14ac:dyDescent="0.25">
      <c r="B59">
        <v>54</v>
      </c>
      <c r="C59" t="s">
        <v>394</v>
      </c>
      <c r="D59" s="10">
        <v>0.1756275382410214</v>
      </c>
      <c r="E59" s="10">
        <v>0.98823626291739708</v>
      </c>
      <c r="F59" s="10">
        <v>0.5176659486523999</v>
      </c>
      <c r="G59" s="10">
        <v>0.42049428297107649</v>
      </c>
      <c r="H59" s="6">
        <v>0.19023046448592179</v>
      </c>
      <c r="I59" s="10">
        <v>6.3067164115828103</v>
      </c>
      <c r="J59" s="7">
        <v>2.3001109218543921E-2</v>
      </c>
      <c r="K59" s="5">
        <v>0.15391312070549959</v>
      </c>
      <c r="L59">
        <v>152.22333515973929</v>
      </c>
      <c r="M59" s="10">
        <v>-0.74215886937258679</v>
      </c>
      <c r="N59" s="24" t="s">
        <v>343</v>
      </c>
      <c r="O59" s="24">
        <v>6.4704678376447973</v>
      </c>
      <c r="P59">
        <v>61.158775241407753</v>
      </c>
      <c r="Q59" t="s">
        <v>47</v>
      </c>
      <c r="R59" t="s">
        <v>350</v>
      </c>
      <c r="S59" t="s">
        <v>343</v>
      </c>
      <c r="T59" t="s">
        <v>343</v>
      </c>
    </row>
    <row r="60" spans="2:20" x14ac:dyDescent="0.25">
      <c r="B60">
        <v>55</v>
      </c>
      <c r="C60" t="s">
        <v>395</v>
      </c>
      <c r="D60" s="10">
        <v>0.26947728424194511</v>
      </c>
      <c r="E60" s="10">
        <v>0.46325113572090082</v>
      </c>
      <c r="F60" s="10">
        <v>0.5193246950999133</v>
      </c>
      <c r="G60" s="10">
        <v>0.33162069817892492</v>
      </c>
      <c r="H60" s="6">
        <v>0.24033949993246631</v>
      </c>
      <c r="I60" s="10">
        <v>5.7322521380982101</v>
      </c>
      <c r="J60" s="7">
        <v>1.3694444143052421E-2</v>
      </c>
      <c r="K60" s="5">
        <v>0.14652826944852829</v>
      </c>
      <c r="L60">
        <v>100.7967356742467</v>
      </c>
      <c r="M60" s="10">
        <v>-0.82926701571393424</v>
      </c>
      <c r="N60" s="24" t="s">
        <v>343</v>
      </c>
      <c r="O60" s="24">
        <v>1.243979057163948</v>
      </c>
      <c r="P60">
        <v>61.864159414075509</v>
      </c>
      <c r="Q60" t="s">
        <v>47</v>
      </c>
      <c r="R60" t="s">
        <v>350</v>
      </c>
      <c r="S60" t="s">
        <v>343</v>
      </c>
      <c r="T60" t="s">
        <v>343</v>
      </c>
    </row>
    <row r="61" spans="2:20" x14ac:dyDescent="0.25">
      <c r="B61">
        <v>56</v>
      </c>
      <c r="C61" t="s">
        <v>396</v>
      </c>
      <c r="D61" s="10">
        <v>0.23042439899833619</v>
      </c>
      <c r="E61" s="10">
        <v>1.047679492207005</v>
      </c>
      <c r="F61" s="10">
        <v>0.65096236520954687</v>
      </c>
      <c r="G61" s="10">
        <v>0.4006938258560484</v>
      </c>
      <c r="H61" s="6">
        <v>0.25742443992392328</v>
      </c>
      <c r="I61" s="10">
        <v>11.297137784439119</v>
      </c>
      <c r="J61" s="7">
        <v>3.290126547515522E-2</v>
      </c>
      <c r="K61" s="5">
        <v>0.11947228601754201</v>
      </c>
      <c r="L61">
        <v>295.49176015547022</v>
      </c>
      <c r="M61" s="10">
        <v>-0.49948587416233492</v>
      </c>
      <c r="N61" s="24" t="s">
        <v>343</v>
      </c>
      <c r="O61" s="24">
        <v>21.03084755025991</v>
      </c>
      <c r="P61">
        <v>49.813420536013261</v>
      </c>
      <c r="Q61" t="s">
        <v>346</v>
      </c>
      <c r="R61" t="s">
        <v>347</v>
      </c>
      <c r="S61" t="s">
        <v>343</v>
      </c>
      <c r="T61" t="s">
        <v>343</v>
      </c>
    </row>
    <row r="62" spans="2:20" x14ac:dyDescent="0.25">
      <c r="B62">
        <v>57</v>
      </c>
      <c r="C62" t="s">
        <v>397</v>
      </c>
      <c r="D62" s="10">
        <v>0.1795261175751646</v>
      </c>
      <c r="E62" s="10">
        <v>0.41539482498424241</v>
      </c>
      <c r="F62" s="10">
        <v>0.65622990677865067</v>
      </c>
      <c r="G62" s="10">
        <v>0.30333597030094672</v>
      </c>
      <c r="H62" s="6">
        <v>0.1323362314933102</v>
      </c>
      <c r="I62" s="10">
        <v>11.06986316545864</v>
      </c>
      <c r="J62" s="7">
        <v>3.3354560830080392E-2</v>
      </c>
      <c r="K62" s="5">
        <v>0.13306095492520331</v>
      </c>
      <c r="L62">
        <v>236.60753273289939</v>
      </c>
      <c r="M62" s="10">
        <v>-0.5992260076893331</v>
      </c>
      <c r="N62" s="24" t="s">
        <v>343</v>
      </c>
      <c r="O62" s="24">
        <v>15.046439538640019</v>
      </c>
      <c r="P62">
        <v>23.346317096689951</v>
      </c>
      <c r="Q62" t="s">
        <v>348</v>
      </c>
      <c r="R62" t="s">
        <v>351</v>
      </c>
      <c r="S62" t="s">
        <v>343</v>
      </c>
      <c r="T62" t="s">
        <v>343</v>
      </c>
    </row>
    <row r="63" spans="2:20" x14ac:dyDescent="0.25">
      <c r="B63">
        <v>58</v>
      </c>
      <c r="C63" t="s">
        <v>398</v>
      </c>
      <c r="D63" s="10">
        <v>0.2392283056178032</v>
      </c>
      <c r="E63" s="10">
        <v>1.25932144967233</v>
      </c>
      <c r="F63" s="10">
        <v>0.52572783929519362</v>
      </c>
      <c r="G63" s="10">
        <v>0.25222374399787589</v>
      </c>
      <c r="H63" s="6">
        <v>0.16710559304292491</v>
      </c>
      <c r="I63" s="10">
        <v>4.6371510268458147</v>
      </c>
      <c r="J63" s="7">
        <v>1.9119173525042488E-2</v>
      </c>
      <c r="K63" s="5">
        <v>0.1386074370462736</v>
      </c>
      <c r="L63">
        <v>117.1271890349543</v>
      </c>
      <c r="M63" s="10">
        <v>-0.80160593107297229</v>
      </c>
      <c r="N63" s="24" t="s">
        <v>343</v>
      </c>
      <c r="O63" s="24">
        <v>2.903644135621668</v>
      </c>
      <c r="P63">
        <v>58.592939945467258</v>
      </c>
      <c r="Q63" t="s">
        <v>47</v>
      </c>
      <c r="R63" t="s">
        <v>350</v>
      </c>
      <c r="S63" t="s">
        <v>343</v>
      </c>
      <c r="T63" t="s">
        <v>343</v>
      </c>
    </row>
    <row r="64" spans="2:20" x14ac:dyDescent="0.25">
      <c r="B64">
        <v>59</v>
      </c>
      <c r="C64" t="s">
        <v>399</v>
      </c>
      <c r="D64" s="10">
        <v>0.16550216337843501</v>
      </c>
      <c r="E64" s="10">
        <v>0.86832654538213427</v>
      </c>
      <c r="F64" s="10">
        <v>0.59407349033556001</v>
      </c>
      <c r="G64" s="10">
        <v>0.38871373558607869</v>
      </c>
      <c r="H64" s="6">
        <v>0.16476571903276721</v>
      </c>
      <c r="I64" s="10">
        <v>6.8410663353729513</v>
      </c>
      <c r="J64" s="7">
        <v>1.123301184477526E-2</v>
      </c>
      <c r="K64" s="5">
        <v>0.18973406210989599</v>
      </c>
      <c r="L64">
        <v>161.7611943516925</v>
      </c>
      <c r="M64" s="10">
        <v>-0.72600331480378433</v>
      </c>
      <c r="N64" s="24" t="s">
        <v>343</v>
      </c>
      <c r="O64" s="24">
        <v>7.4398011117729368</v>
      </c>
      <c r="P64">
        <v>66.559541287691587</v>
      </c>
      <c r="Q64" t="s">
        <v>47</v>
      </c>
      <c r="R64" t="s">
        <v>350</v>
      </c>
      <c r="S64" t="s">
        <v>343</v>
      </c>
      <c r="T64" t="s">
        <v>343</v>
      </c>
    </row>
    <row r="65" spans="2:20" x14ac:dyDescent="0.25">
      <c r="B65">
        <v>60</v>
      </c>
      <c r="C65" t="s">
        <v>400</v>
      </c>
      <c r="D65" s="10">
        <v>0.30549126433260521</v>
      </c>
      <c r="E65" s="10">
        <v>0.72365480994273734</v>
      </c>
      <c r="F65" s="10">
        <v>0.47612263965451818</v>
      </c>
      <c r="G65" s="10">
        <v>0.38273515624200932</v>
      </c>
      <c r="H65" s="6">
        <v>0.26940721873785278</v>
      </c>
      <c r="I65" s="10">
        <v>5.3834497132428476</v>
      </c>
      <c r="J65" s="7">
        <v>3.3287360398588171E-2</v>
      </c>
      <c r="K65" s="5">
        <v>0.14043037113342119</v>
      </c>
      <c r="L65">
        <v>96.106406204723783</v>
      </c>
      <c r="M65" s="10">
        <v>-0.83721165739563042</v>
      </c>
      <c r="N65" s="24" t="s">
        <v>343</v>
      </c>
      <c r="O65" s="24">
        <v>0.76730055626217819</v>
      </c>
      <c r="P65">
        <v>50.733417635573701</v>
      </c>
      <c r="Q65" t="s">
        <v>47</v>
      </c>
      <c r="R65" t="s">
        <v>350</v>
      </c>
      <c r="S65" t="s">
        <v>343</v>
      </c>
      <c r="T65" t="s">
        <v>343</v>
      </c>
    </row>
    <row r="66" spans="2:20" x14ac:dyDescent="0.25">
      <c r="B66">
        <v>61</v>
      </c>
      <c r="C66" t="s">
        <v>401</v>
      </c>
      <c r="D66" s="10">
        <v>0.2014047970560027</v>
      </c>
      <c r="E66" s="10">
        <v>0.36270725411466159</v>
      </c>
      <c r="F66" s="10">
        <v>0.56188247195306573</v>
      </c>
      <c r="G66" s="10">
        <v>0.41635846700183271</v>
      </c>
      <c r="H66" s="6">
        <v>0.20388406750370999</v>
      </c>
      <c r="I66" s="10">
        <v>6.2355861569446036</v>
      </c>
      <c r="J66" s="7">
        <v>3.4619894335687768E-2</v>
      </c>
      <c r="K66" s="5">
        <v>0.15568808370561299</v>
      </c>
      <c r="L66">
        <v>108.45008458169021</v>
      </c>
      <c r="M66" s="10">
        <v>-0.81630350960424014</v>
      </c>
      <c r="N66" s="24" t="s">
        <v>343</v>
      </c>
      <c r="O66" s="24">
        <v>2.021789423745588</v>
      </c>
      <c r="P66">
        <v>69.283132043381244</v>
      </c>
      <c r="Q66" t="s">
        <v>47</v>
      </c>
      <c r="R66" t="s">
        <v>350</v>
      </c>
      <c r="S66" t="s">
        <v>343</v>
      </c>
      <c r="T66" t="s">
        <v>343</v>
      </c>
    </row>
    <row r="67" spans="2:20" x14ac:dyDescent="0.25">
      <c r="B67">
        <v>62</v>
      </c>
      <c r="C67" t="s">
        <v>402</v>
      </c>
      <c r="D67" s="10">
        <v>0.26600356549663712</v>
      </c>
      <c r="E67" s="10">
        <v>0.71886210805132056</v>
      </c>
      <c r="F67" s="10">
        <v>0.69968614122243988</v>
      </c>
      <c r="G67" s="10">
        <v>0.37554336547463357</v>
      </c>
      <c r="H67" s="6">
        <v>0.25197472441799768</v>
      </c>
      <c r="I67" s="10">
        <v>6.1632035874435953</v>
      </c>
      <c r="J67" s="7">
        <v>1.091227124004676E-2</v>
      </c>
      <c r="K67" s="5">
        <v>0.1876303313581171</v>
      </c>
      <c r="L67">
        <v>105.47265952877071</v>
      </c>
      <c r="M67" s="10">
        <v>-0.82134677475933304</v>
      </c>
      <c r="N67" s="24" t="s">
        <v>343</v>
      </c>
      <c r="O67" s="24">
        <v>1.719193514440015</v>
      </c>
      <c r="P67">
        <v>54.048498339404667</v>
      </c>
      <c r="Q67" t="s">
        <v>47</v>
      </c>
      <c r="R67" t="s">
        <v>350</v>
      </c>
      <c r="S67" t="s">
        <v>343</v>
      </c>
      <c r="T67" t="s">
        <v>343</v>
      </c>
    </row>
    <row r="68" spans="2:20" x14ac:dyDescent="0.25">
      <c r="B68">
        <v>63</v>
      </c>
      <c r="C68" t="s">
        <v>403</v>
      </c>
      <c r="D68" s="10">
        <v>0.20987377217430581</v>
      </c>
      <c r="E68" s="10">
        <v>1.2935273347073679</v>
      </c>
      <c r="F68" s="10">
        <v>0.48129817840362421</v>
      </c>
      <c r="G68" s="10">
        <v>0.27451615749426161</v>
      </c>
      <c r="H68" s="6">
        <v>0.1839049274167236</v>
      </c>
      <c r="I68" s="10">
        <v>13.73626069959627</v>
      </c>
      <c r="J68" s="7">
        <v>3.4261414395967617E-2</v>
      </c>
      <c r="K68" s="5">
        <v>0.1492505087420776</v>
      </c>
      <c r="L68">
        <v>360.50814765583198</v>
      </c>
      <c r="M68" s="10">
        <v>-0.38935887658465279</v>
      </c>
      <c r="N68" s="24" t="s">
        <v>343</v>
      </c>
      <c r="O68" s="24">
        <v>27.638467404920831</v>
      </c>
      <c r="P68">
        <v>18.20084192081886</v>
      </c>
      <c r="Q68" t="s">
        <v>348</v>
      </c>
      <c r="R68" t="s">
        <v>404</v>
      </c>
      <c r="S68" t="s">
        <v>343</v>
      </c>
      <c r="T68" t="s">
        <v>343</v>
      </c>
    </row>
    <row r="69" spans="2:20" x14ac:dyDescent="0.25">
      <c r="B69">
        <v>64</v>
      </c>
      <c r="C69" t="s">
        <v>405</v>
      </c>
      <c r="D69" s="10">
        <v>0.24321088338844971</v>
      </c>
      <c r="E69" s="10">
        <v>0.32308129591493351</v>
      </c>
      <c r="F69" s="10">
        <v>0.68636628638961528</v>
      </c>
      <c r="G69" s="10">
        <v>0.42769572625104357</v>
      </c>
      <c r="H69" s="6">
        <v>0.2284084725613405</v>
      </c>
      <c r="I69" s="10">
        <v>11.252325104216251</v>
      </c>
      <c r="J69" s="7">
        <v>4.2862499917312537E-2</v>
      </c>
      <c r="K69" s="5">
        <v>0.1238877290870833</v>
      </c>
      <c r="L69">
        <v>248.0234494125105</v>
      </c>
      <c r="M69" s="10">
        <v>-0.57988933463108971</v>
      </c>
      <c r="N69" s="24" t="s">
        <v>343</v>
      </c>
      <c r="O69" s="24">
        <v>16.20663992213462</v>
      </c>
      <c r="P69">
        <v>53.987569396424142</v>
      </c>
      <c r="Q69" t="s">
        <v>47</v>
      </c>
      <c r="R69" t="s">
        <v>350</v>
      </c>
      <c r="S69" t="s">
        <v>343</v>
      </c>
      <c r="T69" t="s">
        <v>343</v>
      </c>
    </row>
    <row r="70" spans="2:20" x14ac:dyDescent="0.25">
      <c r="B70">
        <v>65</v>
      </c>
      <c r="C70" t="s">
        <v>406</v>
      </c>
      <c r="D70" s="10">
        <v>0.24747364469492469</v>
      </c>
      <c r="E70" s="10">
        <v>0.82211297355998525</v>
      </c>
      <c r="F70" s="10">
        <v>0.65430622771090197</v>
      </c>
      <c r="G70" s="10">
        <v>0.37799561336411419</v>
      </c>
      <c r="H70" s="6">
        <v>0.16298784634562191</v>
      </c>
      <c r="I70" s="10">
        <v>11.58057253829463</v>
      </c>
      <c r="J70" s="7">
        <v>1.6257484905493669E-2</v>
      </c>
      <c r="K70" s="5">
        <v>0.1361955801268174</v>
      </c>
      <c r="L70">
        <v>340.26731056734172</v>
      </c>
      <c r="M70" s="10">
        <v>-0.42364350393344269</v>
      </c>
      <c r="N70" s="24" t="s">
        <v>343</v>
      </c>
      <c r="O70" s="24">
        <v>25.581389763993439</v>
      </c>
      <c r="P70">
        <v>58.190781045257637</v>
      </c>
      <c r="Q70" t="s">
        <v>47</v>
      </c>
      <c r="R70" t="s">
        <v>350</v>
      </c>
      <c r="S70" t="s">
        <v>343</v>
      </c>
      <c r="T70" t="s">
        <v>343</v>
      </c>
    </row>
    <row r="71" spans="2:20" x14ac:dyDescent="0.25">
      <c r="B71">
        <v>66</v>
      </c>
      <c r="C71" t="s">
        <v>407</v>
      </c>
      <c r="D71" s="10">
        <v>0.18957671288408429</v>
      </c>
      <c r="E71" s="10">
        <v>1.324273900221685</v>
      </c>
      <c r="F71" s="10">
        <v>0.69277580924603011</v>
      </c>
      <c r="G71" s="10">
        <v>0.41767413378770091</v>
      </c>
      <c r="H71" s="6">
        <v>0.25676790352338502</v>
      </c>
      <c r="I71" s="10">
        <v>6.0516548179218326</v>
      </c>
      <c r="J71" s="7">
        <v>2.8246331411068099E-2</v>
      </c>
      <c r="K71" s="5">
        <v>0.13567622404301441</v>
      </c>
      <c r="L71">
        <v>390.4064297152658</v>
      </c>
      <c r="M71" s="10">
        <v>-0.3387161361537453</v>
      </c>
      <c r="N71" s="24" t="s">
        <v>343</v>
      </c>
      <c r="O71" s="24">
        <v>30.677031830775281</v>
      </c>
      <c r="P71">
        <v>50.527180301843877</v>
      </c>
      <c r="Q71" t="s">
        <v>47</v>
      </c>
      <c r="R71" t="s">
        <v>350</v>
      </c>
      <c r="S71" t="s">
        <v>343</v>
      </c>
      <c r="T71" t="s">
        <v>343</v>
      </c>
    </row>
    <row r="72" spans="2:20" x14ac:dyDescent="0.25">
      <c r="B72">
        <v>67</v>
      </c>
      <c r="C72" t="s">
        <v>408</v>
      </c>
      <c r="D72" s="10">
        <v>0.31513354044232939</v>
      </c>
      <c r="E72" s="10">
        <v>0.73432509974152316</v>
      </c>
      <c r="F72" s="10">
        <v>0.48669047775873858</v>
      </c>
      <c r="G72" s="10">
        <v>0.41030356648272898</v>
      </c>
      <c r="H72" s="6">
        <v>0.1882719361479801</v>
      </c>
      <c r="I72" s="10">
        <v>3.0057979355100528</v>
      </c>
      <c r="J72" s="7">
        <v>3.4387175914792872E-2</v>
      </c>
      <c r="K72" s="5">
        <v>0.1678981686467047</v>
      </c>
      <c r="L72">
        <v>103.5252012048916</v>
      </c>
      <c r="M72" s="10">
        <v>-0.82464544677668061</v>
      </c>
      <c r="N72" s="24" t="s">
        <v>343</v>
      </c>
      <c r="O72" s="24">
        <v>1.521273193399161</v>
      </c>
      <c r="P72">
        <v>57.700381814621849</v>
      </c>
      <c r="Q72" t="s">
        <v>47</v>
      </c>
      <c r="R72" t="s">
        <v>350</v>
      </c>
      <c r="S72" t="s">
        <v>343</v>
      </c>
      <c r="T72" t="s">
        <v>343</v>
      </c>
    </row>
    <row r="73" spans="2:20" x14ac:dyDescent="0.25">
      <c r="B73">
        <v>68</v>
      </c>
      <c r="C73" t="s">
        <v>409</v>
      </c>
      <c r="D73" s="10">
        <v>0.28402125173777842</v>
      </c>
      <c r="E73" s="10">
        <v>0.77099325620836545</v>
      </c>
      <c r="F73" s="10">
        <v>0.49551480751527471</v>
      </c>
      <c r="G73" s="10">
        <v>0.30553018718951952</v>
      </c>
      <c r="H73" s="6">
        <v>0.2405588245974131</v>
      </c>
      <c r="I73" s="10">
        <v>3.639727054141884</v>
      </c>
      <c r="J73" s="7">
        <v>1.8052779074072871E-2</v>
      </c>
      <c r="K73" s="5">
        <v>0.12813146939370251</v>
      </c>
      <c r="L73">
        <v>34.095647786998327</v>
      </c>
      <c r="M73" s="10">
        <v>-0.94224761686078951</v>
      </c>
      <c r="N73" s="24" t="s">
        <v>343</v>
      </c>
      <c r="O73" s="24">
        <v>0</v>
      </c>
      <c r="P73">
        <v>50.36034040926058</v>
      </c>
      <c r="Q73" t="s">
        <v>47</v>
      </c>
      <c r="R73" t="s">
        <v>350</v>
      </c>
      <c r="S73" t="s">
        <v>343</v>
      </c>
      <c r="T73" t="s">
        <v>343</v>
      </c>
    </row>
    <row r="74" spans="2:20" x14ac:dyDescent="0.25">
      <c r="B74">
        <v>69</v>
      </c>
      <c r="C74" t="s">
        <v>410</v>
      </c>
      <c r="D74" s="10">
        <v>0.31031983065027019</v>
      </c>
      <c r="E74" s="10">
        <v>0.93641606071903172</v>
      </c>
      <c r="F74" s="10">
        <v>0.44438546725106332</v>
      </c>
      <c r="G74" s="10">
        <v>0.2564016544674515</v>
      </c>
      <c r="H74" s="6">
        <v>0.15837253250138469</v>
      </c>
      <c r="I74" s="10">
        <v>9.0829974332247527</v>
      </c>
      <c r="J74" s="7">
        <v>3.6304211208189149E-2</v>
      </c>
      <c r="K74" s="5">
        <v>0.16937741488723751</v>
      </c>
      <c r="L74">
        <v>108.54597679263919</v>
      </c>
      <c r="M74" s="10">
        <v>-0.81614108407294084</v>
      </c>
      <c r="N74" s="24" t="s">
        <v>343</v>
      </c>
      <c r="O74" s="24">
        <v>2.0315349556235489</v>
      </c>
      <c r="P74">
        <v>50.75587599277744</v>
      </c>
      <c r="Q74" t="s">
        <v>47</v>
      </c>
      <c r="R74" t="s">
        <v>350</v>
      </c>
      <c r="S74" t="s">
        <v>343</v>
      </c>
      <c r="T74" t="s">
        <v>343</v>
      </c>
    </row>
    <row r="75" spans="2:20" x14ac:dyDescent="0.25">
      <c r="B75">
        <v>70</v>
      </c>
      <c r="C75" t="s">
        <v>411</v>
      </c>
      <c r="D75" s="10">
        <v>0.30317237606842379</v>
      </c>
      <c r="E75" s="10">
        <v>0.80923106693490165</v>
      </c>
      <c r="F75" s="10">
        <v>0.6284224713580574</v>
      </c>
      <c r="G75" s="10">
        <v>0.27883096999970869</v>
      </c>
      <c r="H75" s="6">
        <v>0.22404065128828191</v>
      </c>
      <c r="I75" s="10">
        <v>6.1402925278822504</v>
      </c>
      <c r="J75" s="7">
        <v>4.0383095037332978E-2</v>
      </c>
      <c r="K75" s="5">
        <v>0.18447805762923891</v>
      </c>
      <c r="L75">
        <v>101.82696572211169</v>
      </c>
      <c r="M75" s="10">
        <v>-0.82752197655769</v>
      </c>
      <c r="N75" s="24" t="s">
        <v>343</v>
      </c>
      <c r="O75" s="24">
        <v>1.3486814065385959</v>
      </c>
      <c r="P75">
        <v>50.399188100999972</v>
      </c>
      <c r="Q75" t="s">
        <v>47</v>
      </c>
      <c r="R75" t="s">
        <v>350</v>
      </c>
      <c r="S75" t="s">
        <v>343</v>
      </c>
      <c r="T75" t="s">
        <v>343</v>
      </c>
    </row>
    <row r="76" spans="2:20" x14ac:dyDescent="0.25">
      <c r="B76">
        <v>71</v>
      </c>
      <c r="C76" t="s">
        <v>412</v>
      </c>
      <c r="D76" s="10">
        <v>0.25566399660977362</v>
      </c>
      <c r="E76" s="10">
        <v>0.48546186036130762</v>
      </c>
      <c r="F76" s="10">
        <v>0.6074646202934082</v>
      </c>
      <c r="G76" s="10">
        <v>0.26042971354891509</v>
      </c>
      <c r="H76" s="6">
        <v>0.18077376066000539</v>
      </c>
      <c r="I76" s="10">
        <v>5.122500607130072</v>
      </c>
      <c r="J76" s="7">
        <v>3.8509283626944141E-2</v>
      </c>
      <c r="K76" s="5">
        <v>0.1319269361128026</v>
      </c>
      <c r="L76">
        <v>85.241805671851111</v>
      </c>
      <c r="M76" s="10">
        <v>-0.85561449216647179</v>
      </c>
      <c r="N76" s="24" t="s">
        <v>343</v>
      </c>
      <c r="O76" s="24">
        <v>0</v>
      </c>
      <c r="P76">
        <v>62.298615446007098</v>
      </c>
      <c r="Q76" t="s">
        <v>47</v>
      </c>
      <c r="R76" t="s">
        <v>350</v>
      </c>
      <c r="S76" t="s">
        <v>343</v>
      </c>
      <c r="T76" t="s">
        <v>343</v>
      </c>
    </row>
    <row r="77" spans="2:20" x14ac:dyDescent="0.25">
      <c r="B77">
        <v>72</v>
      </c>
      <c r="C77" t="s">
        <v>413</v>
      </c>
      <c r="D77" s="10">
        <v>0.30749987760369868</v>
      </c>
      <c r="E77" s="10">
        <v>0.32041109297684639</v>
      </c>
      <c r="F77" s="10">
        <v>0.48629701396443042</v>
      </c>
      <c r="G77" s="10">
        <v>0.29355073505763002</v>
      </c>
      <c r="H77" s="6">
        <v>0.12471591344618201</v>
      </c>
      <c r="I77" s="10">
        <v>3.5460501377795062</v>
      </c>
      <c r="J77" s="7">
        <v>1.9061462045802301E-2</v>
      </c>
      <c r="K77" s="5">
        <v>0.1128574045233481</v>
      </c>
      <c r="L77">
        <v>72.586638350505368</v>
      </c>
      <c r="M77" s="10">
        <v>-0.8770502506655925</v>
      </c>
      <c r="N77" s="24" t="s">
        <v>343</v>
      </c>
      <c r="O77" s="24">
        <v>0</v>
      </c>
      <c r="P77">
        <v>48.946536094201583</v>
      </c>
      <c r="Q77" t="s">
        <v>346</v>
      </c>
      <c r="R77" t="s">
        <v>347</v>
      </c>
      <c r="S77" t="s">
        <v>343</v>
      </c>
      <c r="T77" t="s">
        <v>343</v>
      </c>
    </row>
    <row r="78" spans="2:20" x14ac:dyDescent="0.25">
      <c r="B78">
        <v>73</v>
      </c>
      <c r="C78" t="s">
        <v>414</v>
      </c>
      <c r="D78" s="10">
        <v>0.17415880032830711</v>
      </c>
      <c r="E78" s="10">
        <v>0.97079282377657172</v>
      </c>
      <c r="F78" s="10">
        <v>0.64569769104093866</v>
      </c>
      <c r="G78" s="10">
        <v>0.34109710006571847</v>
      </c>
      <c r="H78" s="6">
        <v>0.18195123806385949</v>
      </c>
      <c r="I78" s="10">
        <v>12.63469913372712</v>
      </c>
      <c r="J78" s="7">
        <v>3.8147575429228059E-2</v>
      </c>
      <c r="K78" s="5">
        <v>0.16066266334202109</v>
      </c>
      <c r="L78">
        <v>227.87359452236669</v>
      </c>
      <c r="M78" s="10">
        <v>-0.61401985319712304</v>
      </c>
      <c r="N78" s="24" t="s">
        <v>343</v>
      </c>
      <c r="O78" s="24">
        <v>14.158808808172621</v>
      </c>
      <c r="P78">
        <v>57.223186164500397</v>
      </c>
      <c r="Q78" t="s">
        <v>47</v>
      </c>
      <c r="R78" t="s">
        <v>350</v>
      </c>
      <c r="S78" t="s">
        <v>343</v>
      </c>
      <c r="T78" t="s">
        <v>343</v>
      </c>
    </row>
    <row r="79" spans="2:20" x14ac:dyDescent="0.25">
      <c r="B79">
        <v>74</v>
      </c>
      <c r="C79" t="s">
        <v>415</v>
      </c>
      <c r="D79" s="10">
        <v>0.19135725798706321</v>
      </c>
      <c r="E79" s="10">
        <v>1.3128872457085929</v>
      </c>
      <c r="F79" s="10">
        <v>0.51779083159424855</v>
      </c>
      <c r="G79" s="10">
        <v>0.43949833309588232</v>
      </c>
      <c r="H79" s="6">
        <v>0.20250324626331309</v>
      </c>
      <c r="I79" s="10">
        <v>9.6014008176377352</v>
      </c>
      <c r="J79" s="7">
        <v>2.4467013554083431E-2</v>
      </c>
      <c r="K79" s="5">
        <v>0.13428117441477949</v>
      </c>
      <c r="L79">
        <v>393.3982327003352</v>
      </c>
      <c r="M79" s="10">
        <v>-0.33364851716172111</v>
      </c>
      <c r="N79" s="24" t="s">
        <v>343</v>
      </c>
      <c r="O79" s="24">
        <v>30.981088970296732</v>
      </c>
      <c r="P79">
        <v>57.983701099512238</v>
      </c>
      <c r="Q79" t="s">
        <v>47</v>
      </c>
      <c r="R79" t="s">
        <v>350</v>
      </c>
      <c r="S79" t="s">
        <v>343</v>
      </c>
      <c r="T79" t="s">
        <v>343</v>
      </c>
    </row>
    <row r="80" spans="2:20" x14ac:dyDescent="0.25">
      <c r="B80">
        <v>75</v>
      </c>
      <c r="C80" t="s">
        <v>416</v>
      </c>
      <c r="D80" s="10">
        <v>0.16723636622568611</v>
      </c>
      <c r="E80" s="10">
        <v>0.41700054632988209</v>
      </c>
      <c r="F80" s="10">
        <v>0.47509884802596508</v>
      </c>
      <c r="G80" s="10">
        <v>0.43184412630253971</v>
      </c>
      <c r="H80" s="6">
        <v>0.1427642420869763</v>
      </c>
      <c r="I80" s="10">
        <v>4.1811053589308296</v>
      </c>
      <c r="J80" s="7">
        <v>1.93262198687786E-2</v>
      </c>
      <c r="K80" s="5">
        <v>0.15072868587873489</v>
      </c>
      <c r="L80">
        <v>119.9562060828758</v>
      </c>
      <c r="M80" s="10">
        <v>-0.79681404451080473</v>
      </c>
      <c r="N80" s="24" t="s">
        <v>343</v>
      </c>
      <c r="O80" s="24">
        <v>3.1911573293517108</v>
      </c>
      <c r="P80">
        <v>54.684568288478218</v>
      </c>
      <c r="Q80" t="s">
        <v>47</v>
      </c>
      <c r="R80" t="s">
        <v>350</v>
      </c>
      <c r="S80" t="s">
        <v>343</v>
      </c>
      <c r="T80" t="s">
        <v>343</v>
      </c>
    </row>
    <row r="81" spans="2:20" x14ac:dyDescent="0.25">
      <c r="B81">
        <v>76</v>
      </c>
      <c r="C81" t="s">
        <v>417</v>
      </c>
      <c r="D81" s="10">
        <v>0.21205285292212231</v>
      </c>
      <c r="E81" s="10">
        <v>0.5320479911780287</v>
      </c>
      <c r="F81" s="10">
        <v>0.54986629290503053</v>
      </c>
      <c r="G81" s="10">
        <v>0.39809195932106017</v>
      </c>
      <c r="H81" s="6">
        <v>0.14758696577889219</v>
      </c>
      <c r="I81" s="10">
        <v>11.43044417706253</v>
      </c>
      <c r="J81" s="7">
        <v>1.587900135112244E-2</v>
      </c>
      <c r="K81" s="5">
        <v>0.160245735024763</v>
      </c>
      <c r="L81">
        <v>135.370835760376</v>
      </c>
      <c r="M81" s="10">
        <v>-0.77070421358324825</v>
      </c>
      <c r="N81" s="24" t="s">
        <v>343</v>
      </c>
      <c r="O81" s="24">
        <v>4.7577471850051012</v>
      </c>
      <c r="P81">
        <v>61.929333785161973</v>
      </c>
      <c r="Q81" t="s">
        <v>47</v>
      </c>
      <c r="R81" t="s">
        <v>350</v>
      </c>
      <c r="S81" t="s">
        <v>343</v>
      </c>
      <c r="T81" t="s">
        <v>343</v>
      </c>
    </row>
    <row r="82" spans="2:20" x14ac:dyDescent="0.25">
      <c r="B82">
        <v>77</v>
      </c>
      <c r="C82" t="s">
        <v>418</v>
      </c>
      <c r="D82" s="10">
        <v>0.22218836635031711</v>
      </c>
      <c r="E82" s="10">
        <v>0.70725243440747088</v>
      </c>
      <c r="F82" s="10">
        <v>0.46365216059098258</v>
      </c>
      <c r="G82" s="10">
        <v>0.24530471910052171</v>
      </c>
      <c r="H82" s="6">
        <v>0.18972941974847349</v>
      </c>
      <c r="I82" s="10">
        <v>11.31408150184479</v>
      </c>
      <c r="J82" s="7">
        <v>4.1814350487734041E-2</v>
      </c>
      <c r="K82" s="5">
        <v>0.13873557968578659</v>
      </c>
      <c r="L82">
        <v>115.9794379295454</v>
      </c>
      <c r="M82" s="10">
        <v>-0.80355003144619652</v>
      </c>
      <c r="N82" s="24" t="s">
        <v>343</v>
      </c>
      <c r="O82" s="24">
        <v>2.7869981132282078</v>
      </c>
      <c r="P82">
        <v>19.366315297115431</v>
      </c>
      <c r="Q82" t="s">
        <v>348</v>
      </c>
      <c r="R82" t="s">
        <v>371</v>
      </c>
      <c r="S82" t="s">
        <v>343</v>
      </c>
      <c r="T82" t="s">
        <v>343</v>
      </c>
    </row>
    <row r="83" spans="2:20" x14ac:dyDescent="0.25">
      <c r="B83">
        <v>78</v>
      </c>
      <c r="C83" t="s">
        <v>419</v>
      </c>
      <c r="D83" s="10">
        <v>0.20341584508382329</v>
      </c>
      <c r="E83" s="10">
        <v>1.189616451923232</v>
      </c>
      <c r="F83" s="10">
        <v>0.50844335063104418</v>
      </c>
      <c r="G83" s="10">
        <v>0.3151056242905218</v>
      </c>
      <c r="H83" s="6">
        <v>0.171409456865011</v>
      </c>
      <c r="I83" s="10">
        <v>6.183440051167814</v>
      </c>
      <c r="J83" s="7">
        <v>2.494141395308197E-2</v>
      </c>
      <c r="K83" s="5">
        <v>0.18784597292005711</v>
      </c>
      <c r="L83">
        <v>112.9119612532333</v>
      </c>
      <c r="M83" s="10">
        <v>-0.80874582914412207</v>
      </c>
      <c r="N83" s="24" t="s">
        <v>343</v>
      </c>
      <c r="O83" s="24">
        <v>2.475250251352676</v>
      </c>
      <c r="P83">
        <v>64.278483885033509</v>
      </c>
      <c r="Q83" t="s">
        <v>47</v>
      </c>
      <c r="R83" t="s">
        <v>350</v>
      </c>
      <c r="S83" t="s">
        <v>343</v>
      </c>
      <c r="T83" t="s">
        <v>343</v>
      </c>
    </row>
    <row r="84" spans="2:20" x14ac:dyDescent="0.25">
      <c r="B84">
        <v>79</v>
      </c>
      <c r="C84" t="s">
        <v>420</v>
      </c>
      <c r="D84" s="10">
        <v>0.2925980014643087</v>
      </c>
      <c r="E84" s="10">
        <v>0.59618634811807536</v>
      </c>
      <c r="F84" s="10">
        <v>0.53654667319110994</v>
      </c>
      <c r="G84" s="10">
        <v>0.39011665382659427</v>
      </c>
      <c r="H84" s="6">
        <v>0.18611108070050439</v>
      </c>
      <c r="I84" s="10">
        <v>5.0726958071241883</v>
      </c>
      <c r="J84" s="7">
        <v>4.0300591540898233E-2</v>
      </c>
      <c r="K84" s="5">
        <v>0.13796339214619491</v>
      </c>
      <c r="L84">
        <v>115.9538949190564</v>
      </c>
      <c r="M84" s="10">
        <v>-0.80359329707756111</v>
      </c>
      <c r="N84" s="24" t="s">
        <v>343</v>
      </c>
      <c r="O84" s="24">
        <v>2.784402175346337</v>
      </c>
      <c r="P84">
        <v>58.85254443917389</v>
      </c>
      <c r="Q84" t="s">
        <v>47</v>
      </c>
      <c r="R84" t="s">
        <v>350</v>
      </c>
      <c r="S84" t="s">
        <v>343</v>
      </c>
      <c r="T84" t="s">
        <v>343</v>
      </c>
    </row>
    <row r="85" spans="2:20" x14ac:dyDescent="0.25">
      <c r="B85">
        <v>80</v>
      </c>
      <c r="C85" t="s">
        <v>421</v>
      </c>
      <c r="D85" s="10">
        <v>0.21708053227097429</v>
      </c>
      <c r="E85" s="10">
        <v>1.2702598447066451</v>
      </c>
      <c r="F85" s="10">
        <v>0.66148468537367888</v>
      </c>
      <c r="G85" s="10">
        <v>0.26838635730459498</v>
      </c>
      <c r="H85" s="6">
        <v>0.18912404839840841</v>
      </c>
      <c r="I85" s="10">
        <v>11.95380063753314</v>
      </c>
      <c r="J85" s="7">
        <v>1.5584074612542751E-2</v>
      </c>
      <c r="K85" s="5">
        <v>0.12920056108780281</v>
      </c>
      <c r="L85">
        <v>151.5938918231256</v>
      </c>
      <c r="M85" s="10">
        <v>-0.74322504218642016</v>
      </c>
      <c r="N85" s="24" t="s">
        <v>343</v>
      </c>
      <c r="O85" s="24">
        <v>6.4064974688147913</v>
      </c>
      <c r="P85">
        <v>47.118751705494212</v>
      </c>
      <c r="Q85" t="s">
        <v>346</v>
      </c>
      <c r="R85" t="s">
        <v>347</v>
      </c>
      <c r="S85" t="s">
        <v>343</v>
      </c>
      <c r="T85" t="s">
        <v>343</v>
      </c>
    </row>
    <row r="86" spans="2:20" x14ac:dyDescent="0.25">
      <c r="B86">
        <v>81</v>
      </c>
      <c r="C86" t="s">
        <v>422</v>
      </c>
      <c r="D86" s="10">
        <v>0.20494952154998089</v>
      </c>
      <c r="E86" s="10">
        <v>0.36045366211507301</v>
      </c>
      <c r="F86" s="10">
        <v>0.64606267273623752</v>
      </c>
      <c r="G86" s="10">
        <v>0.41623932700349991</v>
      </c>
      <c r="H86" s="6">
        <v>0.1410114065554133</v>
      </c>
      <c r="I86" s="10">
        <v>6.6252120591624912</v>
      </c>
      <c r="J86" s="7">
        <v>3.6844771315359147E-2</v>
      </c>
      <c r="K86" s="5">
        <v>0.18413914600439429</v>
      </c>
      <c r="L86">
        <v>82.237781904361412</v>
      </c>
      <c r="M86" s="10">
        <v>-0.86070281114088099</v>
      </c>
      <c r="N86" s="24" t="s">
        <v>343</v>
      </c>
      <c r="O86" s="24">
        <v>0</v>
      </c>
      <c r="P86">
        <v>58.895539145250133</v>
      </c>
      <c r="Q86" t="s">
        <v>47</v>
      </c>
      <c r="R86" t="s">
        <v>350</v>
      </c>
      <c r="S86" t="s">
        <v>343</v>
      </c>
      <c r="T86" t="s">
        <v>343</v>
      </c>
    </row>
    <row r="87" spans="2:20" x14ac:dyDescent="0.25">
      <c r="B87">
        <v>82</v>
      </c>
      <c r="C87" t="s">
        <v>423</v>
      </c>
      <c r="D87" s="10">
        <v>0.24683137330531979</v>
      </c>
      <c r="E87" s="10">
        <v>1.335052283384828</v>
      </c>
      <c r="F87" s="10">
        <v>0.55511611429516072</v>
      </c>
      <c r="G87" s="10">
        <v>0.44120620959727058</v>
      </c>
      <c r="H87" s="6">
        <v>0.14717918629051721</v>
      </c>
      <c r="I87" s="10">
        <v>12.32170889189053</v>
      </c>
      <c r="J87" s="7">
        <v>1.385046717264614E-2</v>
      </c>
      <c r="K87" s="5">
        <v>0.1129486637254519</v>
      </c>
      <c r="L87">
        <v>374.06707988657411</v>
      </c>
      <c r="M87" s="10">
        <v>-0.36639228993874629</v>
      </c>
      <c r="N87" s="24" t="s">
        <v>343</v>
      </c>
      <c r="O87" s="24">
        <v>29.016462603675219</v>
      </c>
      <c r="P87">
        <v>46.928956870907349</v>
      </c>
      <c r="Q87" t="s">
        <v>346</v>
      </c>
      <c r="R87" t="s">
        <v>347</v>
      </c>
      <c r="S87" t="s">
        <v>343</v>
      </c>
      <c r="T87" t="s">
        <v>343</v>
      </c>
    </row>
    <row r="88" spans="2:20" x14ac:dyDescent="0.25">
      <c r="B88">
        <v>83</v>
      </c>
      <c r="C88" t="s">
        <v>424</v>
      </c>
      <c r="D88" s="10">
        <v>0.18254787599596201</v>
      </c>
      <c r="E88" s="10">
        <v>0.91682178566114136</v>
      </c>
      <c r="F88" s="10">
        <v>0.62838951501562068</v>
      </c>
      <c r="G88" s="10">
        <v>0.3179029782603216</v>
      </c>
      <c r="H88" s="6">
        <v>0.24722480902192409</v>
      </c>
      <c r="I88" s="10">
        <v>3.4801677435256262</v>
      </c>
      <c r="J88" s="7">
        <v>1.0614773112797999E-2</v>
      </c>
      <c r="K88" s="5">
        <v>0.1117998482346311</v>
      </c>
      <c r="L88">
        <v>131.59920063329031</v>
      </c>
      <c r="M88" s="10">
        <v>-0.77709273913001375</v>
      </c>
      <c r="N88" s="24" t="s">
        <v>343</v>
      </c>
      <c r="O88" s="24">
        <v>4.3744356521991747</v>
      </c>
      <c r="P88">
        <v>56.974946453493708</v>
      </c>
      <c r="Q88" t="s">
        <v>47</v>
      </c>
      <c r="R88" t="s">
        <v>350</v>
      </c>
      <c r="S88" t="s">
        <v>343</v>
      </c>
      <c r="T88" t="s">
        <v>343</v>
      </c>
    </row>
    <row r="89" spans="2:20" x14ac:dyDescent="0.25">
      <c r="B89">
        <v>84</v>
      </c>
      <c r="C89" t="s">
        <v>425</v>
      </c>
      <c r="D89" s="10">
        <v>0.28835151692064631</v>
      </c>
      <c r="E89" s="10">
        <v>1.024655446336475</v>
      </c>
      <c r="F89" s="10">
        <v>0.58784890540654122</v>
      </c>
      <c r="G89" s="10">
        <v>0.39528547361004329</v>
      </c>
      <c r="H89" s="6">
        <v>0.14440780339657261</v>
      </c>
      <c r="I89" s="10">
        <v>8.4921784380270502</v>
      </c>
      <c r="J89" s="7">
        <v>4.4826725770424451E-2</v>
      </c>
      <c r="K89" s="5">
        <v>0.1888913297225345</v>
      </c>
      <c r="L89">
        <v>252.00814212440611</v>
      </c>
      <c r="M89" s="10">
        <v>-0.57313992480532383</v>
      </c>
      <c r="N89" s="24" t="s">
        <v>343</v>
      </c>
      <c r="O89" s="24">
        <v>16.611604511680572</v>
      </c>
      <c r="P89">
        <v>52.761137176596833</v>
      </c>
      <c r="Q89" t="s">
        <v>47</v>
      </c>
      <c r="R89" t="s">
        <v>350</v>
      </c>
      <c r="S89" t="s">
        <v>343</v>
      </c>
      <c r="T89" t="s">
        <v>343</v>
      </c>
    </row>
    <row r="90" spans="2:20" x14ac:dyDescent="0.25">
      <c r="B90">
        <v>85</v>
      </c>
      <c r="C90" t="s">
        <v>426</v>
      </c>
      <c r="D90" s="10">
        <v>0.17192810298876329</v>
      </c>
      <c r="E90" s="10">
        <v>0.70445847478998835</v>
      </c>
      <c r="F90" s="10">
        <v>0.52861888232029774</v>
      </c>
      <c r="G90" s="10">
        <v>0.27260490918711688</v>
      </c>
      <c r="H90" s="6">
        <v>0.21988714995123909</v>
      </c>
      <c r="I90" s="10">
        <v>4.9755480953958191</v>
      </c>
      <c r="J90" s="7">
        <v>1.257380666399468E-2</v>
      </c>
      <c r="K90" s="5">
        <v>0.1198519993403977</v>
      </c>
      <c r="L90">
        <v>161.31746688318611</v>
      </c>
      <c r="M90" s="10">
        <v>-0.72675491568054906</v>
      </c>
      <c r="N90" s="24" t="s">
        <v>343</v>
      </c>
      <c r="O90" s="24">
        <v>7.3947050591670518</v>
      </c>
      <c r="P90">
        <v>60.056144931558819</v>
      </c>
      <c r="Q90" t="s">
        <v>47</v>
      </c>
      <c r="R90" t="s">
        <v>350</v>
      </c>
      <c r="S90" t="s">
        <v>343</v>
      </c>
      <c r="T90" t="s">
        <v>343</v>
      </c>
    </row>
    <row r="91" spans="2:20" x14ac:dyDescent="0.25">
      <c r="B91">
        <v>86</v>
      </c>
      <c r="C91" t="s">
        <v>427</v>
      </c>
      <c r="D91" s="10">
        <v>0.3179019098560828</v>
      </c>
      <c r="E91" s="10">
        <v>1.1601937140621661</v>
      </c>
      <c r="F91" s="10">
        <v>0.62872732930877406</v>
      </c>
      <c r="G91" s="10">
        <v>0.39197961880486598</v>
      </c>
      <c r="H91" s="6">
        <v>0.18277920701516881</v>
      </c>
      <c r="I91" s="10">
        <v>10.392492945509501</v>
      </c>
      <c r="J91" s="7">
        <v>2.6153915822199211E-2</v>
      </c>
      <c r="K91" s="5">
        <v>0.1141015533443409</v>
      </c>
      <c r="L91">
        <v>574.25395401549986</v>
      </c>
      <c r="M91" s="10">
        <v>-2.7308864207698531E-2</v>
      </c>
      <c r="N91" s="24" t="s">
        <v>345</v>
      </c>
      <c r="O91" s="24">
        <v>88.622631601074559</v>
      </c>
      <c r="P91">
        <v>46.424474282278332</v>
      </c>
      <c r="Q91" t="s">
        <v>346</v>
      </c>
      <c r="R91" t="s">
        <v>347</v>
      </c>
      <c r="S91" t="s">
        <v>345</v>
      </c>
      <c r="T91" t="s">
        <v>343</v>
      </c>
    </row>
    <row r="92" spans="2:20" x14ac:dyDescent="0.25">
      <c r="B92">
        <v>87</v>
      </c>
      <c r="C92" t="s">
        <v>428</v>
      </c>
      <c r="D92" s="10">
        <v>0.2835591630874652</v>
      </c>
      <c r="E92" s="10">
        <v>0.48322287509284673</v>
      </c>
      <c r="F92" s="10">
        <v>0.61770978016125822</v>
      </c>
      <c r="G92" s="10">
        <v>0.24472019070314949</v>
      </c>
      <c r="H92" s="6">
        <v>0.26523550289544617</v>
      </c>
      <c r="I92" s="10">
        <v>13.969351376159519</v>
      </c>
      <c r="J92" s="7">
        <v>4.0743488402554581E-2</v>
      </c>
      <c r="K92" s="5">
        <v>0.1508409888818571</v>
      </c>
      <c r="L92">
        <v>169.99709345690701</v>
      </c>
      <c r="M92" s="10">
        <v>-0.71205306509474076</v>
      </c>
      <c r="N92" s="24" t="s">
        <v>343</v>
      </c>
      <c r="O92" s="24">
        <v>8.2768160943155529</v>
      </c>
      <c r="P92">
        <v>51.728185572759607</v>
      </c>
      <c r="Q92" t="s">
        <v>47</v>
      </c>
      <c r="R92" t="s">
        <v>350</v>
      </c>
      <c r="S92" t="s">
        <v>343</v>
      </c>
      <c r="T92" t="s">
        <v>343</v>
      </c>
    </row>
    <row r="93" spans="2:20" x14ac:dyDescent="0.25">
      <c r="B93">
        <v>88</v>
      </c>
      <c r="C93" t="s">
        <v>429</v>
      </c>
      <c r="D93" s="10">
        <v>0.1917945090454676</v>
      </c>
      <c r="E93" s="10">
        <v>0.35380300780633572</v>
      </c>
      <c r="F93" s="10">
        <v>0.60096455497033652</v>
      </c>
      <c r="G93" s="10">
        <v>0.2731697314984422</v>
      </c>
      <c r="H93" s="6">
        <v>0.12991565428323559</v>
      </c>
      <c r="I93" s="10">
        <v>7.5376213522962798</v>
      </c>
      <c r="J93" s="7">
        <v>3.8678284182301487E-2</v>
      </c>
      <c r="K93" s="5">
        <v>0.1044449042899783</v>
      </c>
      <c r="L93">
        <v>76.172335727884487</v>
      </c>
      <c r="M93" s="10">
        <v>-0.87097667288659431</v>
      </c>
      <c r="N93" s="24" t="s">
        <v>343</v>
      </c>
      <c r="O93" s="24">
        <v>0</v>
      </c>
      <c r="P93">
        <v>57.692501039205922</v>
      </c>
      <c r="Q93" t="s">
        <v>47</v>
      </c>
      <c r="R93" t="s">
        <v>350</v>
      </c>
      <c r="S93" t="s">
        <v>343</v>
      </c>
      <c r="T93" t="s">
        <v>343</v>
      </c>
    </row>
    <row r="94" spans="2:20" x14ac:dyDescent="0.25">
      <c r="B94">
        <v>89</v>
      </c>
      <c r="C94" t="s">
        <v>430</v>
      </c>
      <c r="D94" s="10">
        <v>0.1608835387397764</v>
      </c>
      <c r="E94" s="10">
        <v>0.73506863741831285</v>
      </c>
      <c r="F94" s="10">
        <v>0.60066843547124515</v>
      </c>
      <c r="G94" s="10">
        <v>0.39617391825390741</v>
      </c>
      <c r="H94" s="6">
        <v>0.24455832990461429</v>
      </c>
      <c r="I94" s="10">
        <v>4.10341601581153</v>
      </c>
      <c r="J94" s="7">
        <v>2.6491149953446289E-2</v>
      </c>
      <c r="K94" s="5">
        <v>0.1589014250691182</v>
      </c>
      <c r="L94">
        <v>75.669028630372296</v>
      </c>
      <c r="M94" s="10">
        <v>-0.87182919179205098</v>
      </c>
      <c r="N94" s="24" t="s">
        <v>343</v>
      </c>
      <c r="O94" s="24">
        <v>0</v>
      </c>
      <c r="P94">
        <v>62.318758143687113</v>
      </c>
      <c r="Q94" t="s">
        <v>47</v>
      </c>
      <c r="R94" t="s">
        <v>350</v>
      </c>
      <c r="S94" t="s">
        <v>343</v>
      </c>
      <c r="T94" t="s">
        <v>343</v>
      </c>
    </row>
    <row r="95" spans="2:20" x14ac:dyDescent="0.25">
      <c r="B95">
        <v>90</v>
      </c>
      <c r="C95" t="s">
        <v>431</v>
      </c>
      <c r="D95" s="10">
        <v>0.29047382855277348</v>
      </c>
      <c r="E95" s="10">
        <v>1.2390652853791431</v>
      </c>
      <c r="F95" s="10">
        <v>0.61757531800501386</v>
      </c>
      <c r="G95" s="10">
        <v>0.39660704903278737</v>
      </c>
      <c r="H95" s="6">
        <v>0.19371738466539321</v>
      </c>
      <c r="I95" s="10">
        <v>6.4944043142015522</v>
      </c>
      <c r="J95" s="7">
        <v>3.1379697733570709E-2</v>
      </c>
      <c r="K95" s="5">
        <v>0.14302842584221109</v>
      </c>
      <c r="L95">
        <v>161.0381764357746</v>
      </c>
      <c r="M95" s="10">
        <v>-0.72722798746457273</v>
      </c>
      <c r="N95" s="24" t="s">
        <v>343</v>
      </c>
      <c r="O95" s="24">
        <v>7.3663207521256382</v>
      </c>
      <c r="P95">
        <v>54.014993712124543</v>
      </c>
      <c r="Q95" t="s">
        <v>47</v>
      </c>
      <c r="R95" t="s">
        <v>350</v>
      </c>
      <c r="S95" t="s">
        <v>343</v>
      </c>
      <c r="T95" t="s">
        <v>343</v>
      </c>
    </row>
    <row r="96" spans="2:20" x14ac:dyDescent="0.25">
      <c r="B96">
        <v>91</v>
      </c>
      <c r="C96" t="s">
        <v>432</v>
      </c>
      <c r="D96" s="10">
        <v>0.27309717501561881</v>
      </c>
      <c r="E96" s="10">
        <v>1.130419520301464</v>
      </c>
      <c r="F96" s="10">
        <v>0.53998183328705995</v>
      </c>
      <c r="G96" s="10">
        <v>0.38105579528593903</v>
      </c>
      <c r="H96" s="6">
        <v>0.12080285562962829</v>
      </c>
      <c r="I96" s="10">
        <v>12.8065714952159</v>
      </c>
      <c r="J96" s="7">
        <v>3.2039715308198671E-2</v>
      </c>
      <c r="K96" s="5">
        <v>0.16083913661939969</v>
      </c>
      <c r="L96">
        <v>200.80621029745501</v>
      </c>
      <c r="M96" s="10">
        <v>-0.65986752132470783</v>
      </c>
      <c r="N96" s="24" t="s">
        <v>343</v>
      </c>
      <c r="O96" s="24">
        <v>11.407948720517529</v>
      </c>
      <c r="P96">
        <v>48.843153202727137</v>
      </c>
      <c r="Q96" t="s">
        <v>346</v>
      </c>
      <c r="R96" t="s">
        <v>347</v>
      </c>
      <c r="S96" t="s">
        <v>343</v>
      </c>
      <c r="T96" t="s">
        <v>343</v>
      </c>
    </row>
    <row r="97" spans="2:20" x14ac:dyDescent="0.25">
      <c r="B97">
        <v>92</v>
      </c>
      <c r="C97" t="s">
        <v>433</v>
      </c>
      <c r="D97" s="10">
        <v>0.27664114688655789</v>
      </c>
      <c r="E97" s="10">
        <v>0.86887156753785377</v>
      </c>
      <c r="F97" s="10">
        <v>0.66595971191760261</v>
      </c>
      <c r="G97" s="10">
        <v>0.34502008536452472</v>
      </c>
      <c r="H97" s="6">
        <v>0.15954903284093311</v>
      </c>
      <c r="I97" s="10">
        <v>11.42337126514313</v>
      </c>
      <c r="J97" s="7">
        <v>1.384387440537295E-2</v>
      </c>
      <c r="K97" s="5">
        <v>0.1269740058356113</v>
      </c>
      <c r="L97">
        <v>333.84297162977469</v>
      </c>
      <c r="M97" s="10">
        <v>-0.43452527060514101</v>
      </c>
      <c r="N97" s="24" t="s">
        <v>343</v>
      </c>
      <c r="O97" s="24">
        <v>24.928483763691549</v>
      </c>
      <c r="P97">
        <v>54.680254131460728</v>
      </c>
      <c r="Q97" t="s">
        <v>47</v>
      </c>
      <c r="R97" t="s">
        <v>350</v>
      </c>
      <c r="S97" t="s">
        <v>343</v>
      </c>
      <c r="T97" t="s">
        <v>343</v>
      </c>
    </row>
    <row r="98" spans="2:20" x14ac:dyDescent="0.25">
      <c r="B98">
        <v>93</v>
      </c>
      <c r="C98" t="s">
        <v>434</v>
      </c>
      <c r="D98" s="10">
        <v>0.28340325546975131</v>
      </c>
      <c r="E98" s="10">
        <v>0.92935152188188885</v>
      </c>
      <c r="F98" s="10">
        <v>0.48220003982907977</v>
      </c>
      <c r="G98" s="10">
        <v>0.38847978005782791</v>
      </c>
      <c r="H98" s="6">
        <v>0.18115452788239039</v>
      </c>
      <c r="I98" s="10">
        <v>5.5543282808148309</v>
      </c>
      <c r="J98" s="7">
        <v>1.997164330188762E-2</v>
      </c>
      <c r="K98" s="5">
        <v>0.18601986036314949</v>
      </c>
      <c r="L98">
        <v>118.3048827615263</v>
      </c>
      <c r="M98" s="10">
        <v>-0.79961111285621533</v>
      </c>
      <c r="N98" s="24" t="s">
        <v>343</v>
      </c>
      <c r="O98" s="24">
        <v>3.0233332286270809</v>
      </c>
      <c r="P98">
        <v>59.834639417461908</v>
      </c>
      <c r="Q98" t="s">
        <v>47</v>
      </c>
      <c r="R98" t="s">
        <v>350</v>
      </c>
      <c r="S98" t="s">
        <v>343</v>
      </c>
      <c r="T98" t="s">
        <v>343</v>
      </c>
    </row>
    <row r="99" spans="2:20" x14ac:dyDescent="0.25">
      <c r="B99">
        <v>94</v>
      </c>
      <c r="C99" t="s">
        <v>435</v>
      </c>
      <c r="D99" s="10">
        <v>0.17184714427745451</v>
      </c>
      <c r="E99" s="10">
        <v>0.44288210892863089</v>
      </c>
      <c r="F99" s="10">
        <v>0.66981022044218008</v>
      </c>
      <c r="G99" s="10">
        <v>0.41023617562353337</v>
      </c>
      <c r="H99" s="6">
        <v>0.1671292130173388</v>
      </c>
      <c r="I99" s="10">
        <v>13.48958591301858</v>
      </c>
      <c r="J99" s="7">
        <v>2.0534410641338381E-2</v>
      </c>
      <c r="K99" s="5">
        <v>0.12570516770890791</v>
      </c>
      <c r="L99">
        <v>152.61990400994611</v>
      </c>
      <c r="M99" s="10">
        <v>-0.74148714738855825</v>
      </c>
      <c r="N99" s="24" t="s">
        <v>343</v>
      </c>
      <c r="O99" s="24">
        <v>6.5107711566865021</v>
      </c>
      <c r="P99">
        <v>17.970468250536701</v>
      </c>
      <c r="Q99" t="s">
        <v>348</v>
      </c>
      <c r="R99" t="s">
        <v>351</v>
      </c>
      <c r="S99" t="s">
        <v>343</v>
      </c>
      <c r="T99" t="s">
        <v>343</v>
      </c>
    </row>
    <row r="100" spans="2:20" x14ac:dyDescent="0.25">
      <c r="B100">
        <v>95</v>
      </c>
      <c r="C100" t="s">
        <v>436</v>
      </c>
      <c r="D100" s="10">
        <v>0.2173545165670836</v>
      </c>
      <c r="E100" s="10">
        <v>1.2247496594793399</v>
      </c>
      <c r="F100" s="10">
        <v>0.52899327918831851</v>
      </c>
      <c r="G100" s="10">
        <v>0.45262596498808361</v>
      </c>
      <c r="H100" s="6">
        <v>0.17436741960209001</v>
      </c>
      <c r="I100" s="10">
        <v>9.8440672816241541</v>
      </c>
      <c r="J100" s="7">
        <v>2.3234485268713401E-2</v>
      </c>
      <c r="K100" s="5">
        <v>0.16056864512657179</v>
      </c>
      <c r="L100">
        <v>513.07932781274383</v>
      </c>
      <c r="M100" s="10">
        <v>-0.13092855411447829</v>
      </c>
      <c r="N100" s="24" t="s">
        <v>343</v>
      </c>
      <c r="O100" s="24">
        <v>53.123574718249117</v>
      </c>
      <c r="P100">
        <v>23.595129502312819</v>
      </c>
      <c r="Q100" t="s">
        <v>348</v>
      </c>
      <c r="R100" t="s">
        <v>375</v>
      </c>
      <c r="S100" t="s">
        <v>343</v>
      </c>
      <c r="T100" t="s">
        <v>343</v>
      </c>
    </row>
    <row r="101" spans="2:20" x14ac:dyDescent="0.25">
      <c r="B101">
        <v>96</v>
      </c>
      <c r="C101" t="s">
        <v>437</v>
      </c>
      <c r="D101" s="10">
        <v>0.17853904952402069</v>
      </c>
      <c r="E101" s="10">
        <v>1.165655651260616</v>
      </c>
      <c r="F101" s="10">
        <v>0.47250822005824178</v>
      </c>
      <c r="G101" s="10">
        <v>0.43550102694069309</v>
      </c>
      <c r="H101" s="6">
        <v>0.257500786370577</v>
      </c>
      <c r="I101" s="10">
        <v>4.8485434034927604</v>
      </c>
      <c r="J101" s="7">
        <v>1.9587113730109049E-2</v>
      </c>
      <c r="K101" s="5">
        <v>0.18978372580962441</v>
      </c>
      <c r="L101">
        <v>165.0064279225619</v>
      </c>
      <c r="M101" s="10">
        <v>-0.7205064263524511</v>
      </c>
      <c r="N101" s="24" t="s">
        <v>343</v>
      </c>
      <c r="O101" s="24">
        <v>7.7696144188529388</v>
      </c>
      <c r="P101">
        <v>22.757454612558991</v>
      </c>
      <c r="Q101" t="s">
        <v>348</v>
      </c>
      <c r="R101" t="s">
        <v>375</v>
      </c>
      <c r="S101" t="s">
        <v>343</v>
      </c>
      <c r="T101" t="s">
        <v>343</v>
      </c>
    </row>
    <row r="102" spans="2:20" x14ac:dyDescent="0.25">
      <c r="B102">
        <v>97</v>
      </c>
      <c r="C102" t="s">
        <v>438</v>
      </c>
      <c r="D102" s="10">
        <v>0.29809654814009501</v>
      </c>
      <c r="E102" s="10">
        <v>1.0221174332756371</v>
      </c>
      <c r="F102" s="10">
        <v>0.59600712469657369</v>
      </c>
      <c r="G102" s="10">
        <v>0.41479752456454738</v>
      </c>
      <c r="H102" s="6">
        <v>0.17414010485884909</v>
      </c>
      <c r="I102" s="10">
        <v>9.2955435669086306</v>
      </c>
      <c r="J102" s="7">
        <v>1.880244615114629E-2</v>
      </c>
      <c r="K102" s="5">
        <v>0.13807688239242191</v>
      </c>
      <c r="L102">
        <v>295.27272387168438</v>
      </c>
      <c r="M102" s="10">
        <v>-0.4998568853676833</v>
      </c>
      <c r="N102" s="24" t="s">
        <v>343</v>
      </c>
      <c r="O102" s="24">
        <v>21.008586877938999</v>
      </c>
      <c r="P102">
        <v>56.436105570127708</v>
      </c>
      <c r="Q102" t="s">
        <v>47</v>
      </c>
      <c r="R102" t="s">
        <v>350</v>
      </c>
      <c r="S102" t="s">
        <v>343</v>
      </c>
      <c r="T102" t="s">
        <v>343</v>
      </c>
    </row>
    <row r="103" spans="2:20" x14ac:dyDescent="0.25">
      <c r="B103">
        <v>98</v>
      </c>
      <c r="C103" t="s">
        <v>439</v>
      </c>
      <c r="D103" s="10">
        <v>0.25972770029240932</v>
      </c>
      <c r="E103" s="10">
        <v>0.81281013996183216</v>
      </c>
      <c r="F103" s="10">
        <v>0.53775653395830536</v>
      </c>
      <c r="G103" s="10">
        <v>0.39284665367716198</v>
      </c>
      <c r="H103" s="6">
        <v>0.18282440691040991</v>
      </c>
      <c r="I103" s="10">
        <v>7.9640455443039331</v>
      </c>
      <c r="J103" s="7">
        <v>2.2417492945146299E-2</v>
      </c>
      <c r="K103" s="5">
        <v>0.1153355201878203</v>
      </c>
      <c r="L103">
        <v>259.05467986755252</v>
      </c>
      <c r="M103" s="10">
        <v>-0.56120425635610083</v>
      </c>
      <c r="N103" s="24" t="s">
        <v>343</v>
      </c>
      <c r="O103" s="24">
        <v>17.32774461863395</v>
      </c>
      <c r="P103">
        <v>72.418051934235606</v>
      </c>
      <c r="Q103" t="s">
        <v>47</v>
      </c>
      <c r="R103" t="s">
        <v>350</v>
      </c>
      <c r="S103" t="s">
        <v>343</v>
      </c>
      <c r="T103" t="s">
        <v>343</v>
      </c>
    </row>
    <row r="104" spans="2:20" x14ac:dyDescent="0.25">
      <c r="B104">
        <v>99</v>
      </c>
      <c r="C104" t="s">
        <v>440</v>
      </c>
      <c r="D104" s="10">
        <v>0.21294368397642391</v>
      </c>
      <c r="E104" s="10">
        <v>1.360905195107464</v>
      </c>
      <c r="F104" s="10">
        <v>0.65202992904691492</v>
      </c>
      <c r="G104" s="10">
        <v>0.36631421999512082</v>
      </c>
      <c r="H104" s="6">
        <v>0.2341697330367169</v>
      </c>
      <c r="I104" s="10">
        <v>12.016674422509199</v>
      </c>
      <c r="J104" s="7">
        <v>2.3272927776611361E-2</v>
      </c>
      <c r="K104" s="5">
        <v>0.1064963352116242</v>
      </c>
      <c r="L104">
        <v>372.94722237486349</v>
      </c>
      <c r="M104" s="10">
        <v>-0.36828914318176631</v>
      </c>
      <c r="N104" s="24" t="s">
        <v>343</v>
      </c>
      <c r="O104" s="24">
        <v>28.90265140909402</v>
      </c>
      <c r="P104">
        <v>50.439303639193007</v>
      </c>
      <c r="Q104" t="s">
        <v>47</v>
      </c>
      <c r="R104" t="s">
        <v>350</v>
      </c>
      <c r="S104" t="s">
        <v>343</v>
      </c>
      <c r="T104" t="s">
        <v>343</v>
      </c>
    </row>
    <row r="105" spans="2:20" x14ac:dyDescent="0.25">
      <c r="B105">
        <v>100</v>
      </c>
      <c r="C105" t="s">
        <v>441</v>
      </c>
      <c r="D105" s="10">
        <v>0.17016933604576381</v>
      </c>
      <c r="E105" s="10">
        <v>1.266935169064118</v>
      </c>
      <c r="F105" s="10">
        <v>0.55200422181747943</v>
      </c>
      <c r="G105" s="10">
        <v>0.26653394113742163</v>
      </c>
      <c r="H105" s="6">
        <v>0.23907503486225631</v>
      </c>
      <c r="I105" s="10">
        <v>6.7857603257310313</v>
      </c>
      <c r="J105" s="7">
        <v>2.7052841986553149E-2</v>
      </c>
      <c r="K105" s="5">
        <v>0.1914867096967226</v>
      </c>
      <c r="L105">
        <v>119.5675032906299</v>
      </c>
      <c r="M105" s="10">
        <v>-0.79747244269479878</v>
      </c>
      <c r="N105" s="24" t="s">
        <v>343</v>
      </c>
      <c r="O105" s="24">
        <v>3.1516534383120671</v>
      </c>
      <c r="P105">
        <v>58.315497204667182</v>
      </c>
      <c r="Q105" t="s">
        <v>47</v>
      </c>
      <c r="R105" t="s">
        <v>350</v>
      </c>
      <c r="S105" t="s">
        <v>343</v>
      </c>
      <c r="T105" t="s">
        <v>343</v>
      </c>
    </row>
    <row r="106" spans="2:20" x14ac:dyDescent="0.25">
      <c r="B106">
        <v>101</v>
      </c>
      <c r="C106" t="s">
        <v>442</v>
      </c>
      <c r="D106" s="10">
        <v>0.20975717147450601</v>
      </c>
      <c r="E106" s="10">
        <v>1.00887354286608</v>
      </c>
      <c r="F106" s="10">
        <v>0.61382625664614854</v>
      </c>
      <c r="G106" s="10">
        <v>0.27642250526164652</v>
      </c>
      <c r="H106" s="6">
        <v>0.13261344776800421</v>
      </c>
      <c r="I106" s="10">
        <v>12.624761518206411</v>
      </c>
      <c r="J106" s="7">
        <v>1.6073739075190139E-2</v>
      </c>
      <c r="K106" s="5">
        <v>0.1725516411694242</v>
      </c>
      <c r="L106">
        <v>164.04820246665599</v>
      </c>
      <c r="M106" s="10">
        <v>-0.72212950164959577</v>
      </c>
      <c r="N106" s="24" t="s">
        <v>343</v>
      </c>
      <c r="O106" s="24">
        <v>7.6722299010242594</v>
      </c>
      <c r="P106">
        <v>55.738109338331583</v>
      </c>
      <c r="Q106" t="s">
        <v>47</v>
      </c>
      <c r="R106" t="s">
        <v>350</v>
      </c>
      <c r="S106" t="s">
        <v>343</v>
      </c>
      <c r="T106" t="s">
        <v>343</v>
      </c>
    </row>
    <row r="107" spans="2:20" x14ac:dyDescent="0.25">
      <c r="B107">
        <v>102</v>
      </c>
      <c r="C107" t="s">
        <v>443</v>
      </c>
      <c r="D107" s="10">
        <v>0.2120293315242795</v>
      </c>
      <c r="E107" s="10">
        <v>0.70898109748901672</v>
      </c>
      <c r="F107" s="10">
        <v>0.52014707727125464</v>
      </c>
      <c r="G107" s="10">
        <v>0.42046150334759791</v>
      </c>
      <c r="H107" s="6">
        <v>0.22561050518505071</v>
      </c>
      <c r="I107" s="10">
        <v>11.93167425082142</v>
      </c>
      <c r="J107" s="7">
        <v>3.7591783223163942E-2</v>
      </c>
      <c r="K107" s="5">
        <v>0.18730044570672449</v>
      </c>
      <c r="L107">
        <v>218.91147969009339</v>
      </c>
      <c r="M107" s="10">
        <v>-0.62920019212966016</v>
      </c>
      <c r="N107" s="24" t="s">
        <v>343</v>
      </c>
      <c r="O107" s="24">
        <v>13.24798847222039</v>
      </c>
      <c r="P107">
        <v>55.094496424196308</v>
      </c>
      <c r="Q107" t="s">
        <v>47</v>
      </c>
      <c r="R107" t="s">
        <v>350</v>
      </c>
      <c r="S107" t="s">
        <v>343</v>
      </c>
      <c r="T107" t="s">
        <v>343</v>
      </c>
    </row>
    <row r="108" spans="2:20" x14ac:dyDescent="0.25">
      <c r="B108">
        <v>103</v>
      </c>
      <c r="C108" t="s">
        <v>444</v>
      </c>
      <c r="D108" s="10">
        <v>0.27673698853409018</v>
      </c>
      <c r="E108" s="10">
        <v>0.97982450654966358</v>
      </c>
      <c r="F108" s="10">
        <v>0.4944576175065884</v>
      </c>
      <c r="G108" s="10">
        <v>0.41672884068558858</v>
      </c>
      <c r="H108" s="6">
        <v>0.1923857930515164</v>
      </c>
      <c r="I108" s="10">
        <v>10.420637962760001</v>
      </c>
      <c r="J108" s="7">
        <v>4.01233695129724E-2</v>
      </c>
      <c r="K108" s="5">
        <v>0.1663891400501821</v>
      </c>
      <c r="L108">
        <v>406.56604262153968</v>
      </c>
      <c r="M108" s="10">
        <v>-0.31134442696157277</v>
      </c>
      <c r="N108" s="24" t="s">
        <v>343</v>
      </c>
      <c r="O108" s="24">
        <v>32.319334382305627</v>
      </c>
      <c r="P108">
        <v>20.926870910859051</v>
      </c>
      <c r="Q108" t="s">
        <v>348</v>
      </c>
      <c r="R108" t="s">
        <v>404</v>
      </c>
      <c r="S108" t="s">
        <v>343</v>
      </c>
      <c r="T108" t="s">
        <v>343</v>
      </c>
    </row>
    <row r="109" spans="2:20" x14ac:dyDescent="0.25">
      <c r="B109">
        <v>104</v>
      </c>
      <c r="C109" t="s">
        <v>445</v>
      </c>
      <c r="D109" s="10">
        <v>0.2620091954168341</v>
      </c>
      <c r="E109" s="10">
        <v>0.93298501918373189</v>
      </c>
      <c r="F109" s="10">
        <v>0.54089274804669418</v>
      </c>
      <c r="G109" s="10">
        <v>0.37518096371413989</v>
      </c>
      <c r="H109" s="6">
        <v>0.14007808398564831</v>
      </c>
      <c r="I109" s="10">
        <v>5.8446794458079072</v>
      </c>
      <c r="J109" s="7">
        <v>1.8685770922170358E-2</v>
      </c>
      <c r="K109" s="5">
        <v>0.1325326078979889</v>
      </c>
      <c r="L109">
        <v>136.96394632013821</v>
      </c>
      <c r="M109" s="10">
        <v>-0.76800574801939425</v>
      </c>
      <c r="N109" s="24" t="s">
        <v>343</v>
      </c>
      <c r="O109" s="24">
        <v>4.9196551188363458</v>
      </c>
      <c r="P109">
        <v>59.193171690021288</v>
      </c>
      <c r="Q109" t="s">
        <v>47</v>
      </c>
      <c r="R109" t="s">
        <v>350</v>
      </c>
      <c r="S109" t="s">
        <v>343</v>
      </c>
      <c r="T109" t="s">
        <v>343</v>
      </c>
    </row>
    <row r="110" spans="2:20" x14ac:dyDescent="0.25">
      <c r="B110">
        <v>105</v>
      </c>
      <c r="C110" t="s">
        <v>446</v>
      </c>
      <c r="D110" s="10">
        <v>0.30195403881221228</v>
      </c>
      <c r="E110" s="10">
        <v>0.73366618661840799</v>
      </c>
      <c r="F110" s="10">
        <v>0.59777003699663267</v>
      </c>
      <c r="G110" s="10">
        <v>0.33654482919755369</v>
      </c>
      <c r="H110" s="6">
        <v>0.1597065845920326</v>
      </c>
      <c r="I110" s="10">
        <v>13.67362533907756</v>
      </c>
      <c r="J110" s="7">
        <v>1.431552544912703E-2</v>
      </c>
      <c r="K110" s="5">
        <v>0.11168657566842111</v>
      </c>
      <c r="L110">
        <v>438.49402595368821</v>
      </c>
      <c r="M110" s="10">
        <v>-0.25726370857253239</v>
      </c>
      <c r="N110" s="24" t="s">
        <v>343</v>
      </c>
      <c r="O110" s="24">
        <v>35.564177485648052</v>
      </c>
      <c r="P110">
        <v>51.449337383049723</v>
      </c>
      <c r="Q110" t="s">
        <v>47</v>
      </c>
      <c r="R110" t="s">
        <v>350</v>
      </c>
      <c r="S110" t="s">
        <v>343</v>
      </c>
      <c r="T110" t="s">
        <v>343</v>
      </c>
    </row>
    <row r="111" spans="2:20" x14ac:dyDescent="0.25">
      <c r="B111">
        <v>106</v>
      </c>
      <c r="C111" t="s">
        <v>447</v>
      </c>
      <c r="D111" s="10">
        <v>0.23555438802591189</v>
      </c>
      <c r="E111" s="10">
        <v>0.63734136885688364</v>
      </c>
      <c r="F111" s="10">
        <v>0.61080615219495149</v>
      </c>
      <c r="G111" s="10">
        <v>0.2457271829611932</v>
      </c>
      <c r="H111" s="6">
        <v>0.1267553245959778</v>
      </c>
      <c r="I111" s="10">
        <v>9.0353345833236904</v>
      </c>
      <c r="J111" s="7">
        <v>3.5280919344220583E-2</v>
      </c>
      <c r="K111" s="5">
        <v>0.18828415163112511</v>
      </c>
      <c r="L111">
        <v>121.4478650931584</v>
      </c>
      <c r="M111" s="10">
        <v>-0.79428742107742467</v>
      </c>
      <c r="N111" s="24" t="s">
        <v>343</v>
      </c>
      <c r="O111" s="24">
        <v>3.3427547353545179</v>
      </c>
      <c r="P111">
        <v>56.076581941539139</v>
      </c>
      <c r="Q111" t="s">
        <v>47</v>
      </c>
      <c r="R111" t="s">
        <v>350</v>
      </c>
      <c r="S111" t="s">
        <v>343</v>
      </c>
      <c r="T111" t="s">
        <v>343</v>
      </c>
    </row>
    <row r="112" spans="2:20" x14ac:dyDescent="0.25">
      <c r="B112">
        <v>107</v>
      </c>
      <c r="C112" t="s">
        <v>448</v>
      </c>
      <c r="D112" s="10">
        <v>0.17913507935012829</v>
      </c>
      <c r="E112" s="10">
        <v>0.74771187146105456</v>
      </c>
      <c r="F112" s="10">
        <v>0.5903337329774847</v>
      </c>
      <c r="G112" s="10">
        <v>0.31197892735627958</v>
      </c>
      <c r="H112" s="6">
        <v>0.1740355783217753</v>
      </c>
      <c r="I112" s="10">
        <v>12.982653761993321</v>
      </c>
      <c r="J112" s="7">
        <v>4.2348579295302703E-2</v>
      </c>
      <c r="K112" s="5">
        <v>0.14651380919243939</v>
      </c>
      <c r="L112">
        <v>205.97840277244219</v>
      </c>
      <c r="M112" s="10">
        <v>-0.65110668347961753</v>
      </c>
      <c r="N112" s="24" t="s">
        <v>343</v>
      </c>
      <c r="O112" s="24">
        <v>11.933598991222951</v>
      </c>
      <c r="P112">
        <v>52.44287157135313</v>
      </c>
      <c r="Q112" t="s">
        <v>47</v>
      </c>
      <c r="R112" t="s">
        <v>350</v>
      </c>
      <c r="S112" t="s">
        <v>343</v>
      </c>
      <c r="T112" t="s">
        <v>343</v>
      </c>
    </row>
    <row r="113" spans="2:20" x14ac:dyDescent="0.25">
      <c r="B113">
        <v>108</v>
      </c>
      <c r="C113" t="s">
        <v>449</v>
      </c>
      <c r="D113" s="10">
        <v>0.2741191659556792</v>
      </c>
      <c r="E113" s="10">
        <v>0.9313025466367375</v>
      </c>
      <c r="F113" s="10">
        <v>0.69689448684226829</v>
      </c>
      <c r="G113" s="10">
        <v>0.3325407246643699</v>
      </c>
      <c r="H113" s="6">
        <v>0.15831096605010361</v>
      </c>
      <c r="I113" s="10">
        <v>5.373028891752158</v>
      </c>
      <c r="J113" s="7">
        <v>1.123019187105362E-2</v>
      </c>
      <c r="K113" s="5">
        <v>0.1376683546463742</v>
      </c>
      <c r="L113">
        <v>166.87891700643559</v>
      </c>
      <c r="M113" s="10">
        <v>-0.71733473981722418</v>
      </c>
      <c r="N113" s="24" t="s">
        <v>343</v>
      </c>
      <c r="O113" s="24">
        <v>7.9599156109665543</v>
      </c>
      <c r="P113">
        <v>50.278181069179297</v>
      </c>
      <c r="Q113" t="s">
        <v>47</v>
      </c>
      <c r="R113" t="s">
        <v>350</v>
      </c>
      <c r="S113" t="s">
        <v>343</v>
      </c>
      <c r="T113" t="s">
        <v>343</v>
      </c>
    </row>
    <row r="114" spans="2:20" x14ac:dyDescent="0.25">
      <c r="B114">
        <v>109</v>
      </c>
      <c r="C114" t="s">
        <v>450</v>
      </c>
      <c r="D114" s="10">
        <v>0.28172560777870359</v>
      </c>
      <c r="E114" s="10">
        <v>0.7709483291822038</v>
      </c>
      <c r="F114" s="10">
        <v>0.61968344848874291</v>
      </c>
      <c r="G114" s="10">
        <v>0.34687958295815252</v>
      </c>
      <c r="H114" s="6">
        <v>0.17731550960700271</v>
      </c>
      <c r="I114" s="10">
        <v>13.817161322941139</v>
      </c>
      <c r="J114" s="7">
        <v>1.0505259266201231E-2</v>
      </c>
      <c r="K114" s="5">
        <v>0.15489024581771671</v>
      </c>
      <c r="L114">
        <v>227.30421314609569</v>
      </c>
      <c r="M114" s="10">
        <v>-0.61498429099282526</v>
      </c>
      <c r="N114" s="24" t="s">
        <v>343</v>
      </c>
      <c r="O114" s="24">
        <v>14.100942540430481</v>
      </c>
      <c r="P114">
        <v>17.838382670589692</v>
      </c>
      <c r="Q114" t="s">
        <v>348</v>
      </c>
      <c r="R114" t="s">
        <v>353</v>
      </c>
      <c r="S114" t="s">
        <v>343</v>
      </c>
      <c r="T114" t="s">
        <v>343</v>
      </c>
    </row>
    <row r="115" spans="2:20" x14ac:dyDescent="0.25">
      <c r="B115">
        <v>110</v>
      </c>
      <c r="C115" t="s">
        <v>451</v>
      </c>
      <c r="D115" s="10">
        <v>0.24980435161111941</v>
      </c>
      <c r="E115" s="10">
        <v>0.58993193702152213</v>
      </c>
      <c r="F115" s="10">
        <v>0.6821951031751986</v>
      </c>
      <c r="G115" s="10">
        <v>0.44445141168346602</v>
      </c>
      <c r="H115" s="6">
        <v>0.20705108212961351</v>
      </c>
      <c r="I115" s="10">
        <v>11.976651518392419</v>
      </c>
      <c r="J115" s="7">
        <v>1.6419891148451781E-2</v>
      </c>
      <c r="K115" s="5">
        <v>0.1101231355359516</v>
      </c>
      <c r="L115">
        <v>335.20016304713948</v>
      </c>
      <c r="M115" s="10">
        <v>-0.43222641301432568</v>
      </c>
      <c r="N115" s="24" t="s">
        <v>343</v>
      </c>
      <c r="O115" s="24">
        <v>25.06641521914046</v>
      </c>
      <c r="P115">
        <v>57.013301196396412</v>
      </c>
      <c r="Q115" t="s">
        <v>47</v>
      </c>
      <c r="R115" t="s">
        <v>350</v>
      </c>
      <c r="S115" t="s">
        <v>343</v>
      </c>
      <c r="T115" t="s">
        <v>343</v>
      </c>
    </row>
    <row r="116" spans="2:20" x14ac:dyDescent="0.25">
      <c r="B116">
        <v>111</v>
      </c>
      <c r="C116" t="s">
        <v>452</v>
      </c>
      <c r="D116" s="10">
        <v>0.28335474879272982</v>
      </c>
      <c r="E116" s="10">
        <v>1.137059649536889</v>
      </c>
      <c r="F116" s="10">
        <v>0.47066263067274539</v>
      </c>
      <c r="G116" s="10">
        <v>0.2639160679560314</v>
      </c>
      <c r="H116" s="6">
        <v>0.22985093280549301</v>
      </c>
      <c r="I116" s="10">
        <v>13.44149571769826</v>
      </c>
      <c r="J116" s="7">
        <v>3.3967736985777777E-2</v>
      </c>
      <c r="K116" s="5">
        <v>0.12937436284057599</v>
      </c>
      <c r="L116">
        <v>332.46282200744872</v>
      </c>
      <c r="M116" s="10">
        <v>-0.43686301559464669</v>
      </c>
      <c r="N116" s="24" t="s">
        <v>343</v>
      </c>
      <c r="O116" s="24">
        <v>24.788219064321201</v>
      </c>
      <c r="P116">
        <v>15.57576187791364</v>
      </c>
      <c r="Q116" t="s">
        <v>348</v>
      </c>
      <c r="R116" t="s">
        <v>371</v>
      </c>
      <c r="S116" t="s">
        <v>343</v>
      </c>
      <c r="T116" t="s">
        <v>343</v>
      </c>
    </row>
    <row r="117" spans="2:20" x14ac:dyDescent="0.25">
      <c r="B117">
        <v>112</v>
      </c>
      <c r="C117" t="s">
        <v>453</v>
      </c>
      <c r="D117" s="10">
        <v>0.23900729541830251</v>
      </c>
      <c r="E117" s="10">
        <v>0.88461424555315404</v>
      </c>
      <c r="F117" s="10">
        <v>0.45595696175150452</v>
      </c>
      <c r="G117" s="10">
        <v>0.35415072235154949</v>
      </c>
      <c r="H117" s="6">
        <v>0.21080279798392951</v>
      </c>
      <c r="I117" s="10">
        <v>5.3360230550248602</v>
      </c>
      <c r="J117" s="7">
        <v>4.3767335274081207E-2</v>
      </c>
      <c r="K117" s="5">
        <v>0.1605982301743259</v>
      </c>
      <c r="L117">
        <v>122.45516444002899</v>
      </c>
      <c r="M117" s="10">
        <v>-0.79258122273270426</v>
      </c>
      <c r="N117" s="24" t="s">
        <v>343</v>
      </c>
      <c r="O117" s="24">
        <v>3.4451266360377422</v>
      </c>
      <c r="P117">
        <v>62.850989086347347</v>
      </c>
      <c r="Q117" t="s">
        <v>47</v>
      </c>
      <c r="R117" t="s">
        <v>350</v>
      </c>
      <c r="S117" t="s">
        <v>343</v>
      </c>
      <c r="T117" t="s">
        <v>343</v>
      </c>
    </row>
    <row r="118" spans="2:20" x14ac:dyDescent="0.25">
      <c r="B118">
        <v>113</v>
      </c>
      <c r="C118" t="s">
        <v>454</v>
      </c>
      <c r="D118" s="10">
        <v>0.24363725270111911</v>
      </c>
      <c r="E118" s="10">
        <v>0.37444267954816002</v>
      </c>
      <c r="F118" s="10">
        <v>0.52085862252310799</v>
      </c>
      <c r="G118" s="10">
        <v>0.32094290533082148</v>
      </c>
      <c r="H118" s="6">
        <v>0.22175659533899189</v>
      </c>
      <c r="I118" s="10">
        <v>7.7372388644080283</v>
      </c>
      <c r="J118" s="7">
        <v>3.6263333430576417E-2</v>
      </c>
      <c r="K118" s="5">
        <v>0.10951167990392981</v>
      </c>
      <c r="L118">
        <v>107.512341403227</v>
      </c>
      <c r="M118" s="10">
        <v>-0.81789189131404416</v>
      </c>
      <c r="N118" s="24" t="s">
        <v>343</v>
      </c>
      <c r="O118" s="24">
        <v>1.9264865211573581</v>
      </c>
      <c r="P118">
        <v>52.369102885788408</v>
      </c>
      <c r="Q118" t="s">
        <v>47</v>
      </c>
      <c r="R118" t="s">
        <v>350</v>
      </c>
      <c r="S118" t="s">
        <v>343</v>
      </c>
      <c r="T118" t="s">
        <v>343</v>
      </c>
    </row>
    <row r="119" spans="2:20" x14ac:dyDescent="0.25">
      <c r="B119">
        <v>114</v>
      </c>
      <c r="C119" t="s">
        <v>455</v>
      </c>
      <c r="D119" s="10">
        <v>0.22840656293736791</v>
      </c>
      <c r="E119" s="10">
        <v>0.70514815618873805</v>
      </c>
      <c r="F119" s="10">
        <v>0.47551312397787021</v>
      </c>
      <c r="G119" s="10">
        <v>0.45782158622753139</v>
      </c>
      <c r="H119" s="6">
        <v>0.249845868092819</v>
      </c>
      <c r="I119" s="10">
        <v>4.0739731401696844</v>
      </c>
      <c r="J119" s="7">
        <v>3.005614101278415E-2</v>
      </c>
      <c r="K119" s="5">
        <v>0.112848062101664</v>
      </c>
      <c r="L119">
        <v>237.55014701548669</v>
      </c>
      <c r="M119" s="10">
        <v>-0.59762937513550796</v>
      </c>
      <c r="N119" s="24" t="s">
        <v>343</v>
      </c>
      <c r="O119" s="24">
        <v>15.142237491869521</v>
      </c>
      <c r="P119">
        <v>53.771155692822063</v>
      </c>
      <c r="Q119" t="s">
        <v>47</v>
      </c>
      <c r="R119" t="s">
        <v>350</v>
      </c>
      <c r="S119" t="s">
        <v>343</v>
      </c>
      <c r="T119" t="s">
        <v>343</v>
      </c>
    </row>
    <row r="120" spans="2:20" x14ac:dyDescent="0.25">
      <c r="B120">
        <v>115</v>
      </c>
      <c r="C120" t="s">
        <v>456</v>
      </c>
      <c r="D120" s="10">
        <v>0.16406706027905521</v>
      </c>
      <c r="E120" s="10">
        <v>1.273404802933193</v>
      </c>
      <c r="F120" s="10">
        <v>0.57672581733934958</v>
      </c>
      <c r="G120" s="10">
        <v>0.42961008358223918</v>
      </c>
      <c r="H120" s="6">
        <v>0.25107366651922658</v>
      </c>
      <c r="I120" s="10">
        <v>4.5066656721503318</v>
      </c>
      <c r="J120" s="7">
        <v>3.4519228750644171E-2</v>
      </c>
      <c r="K120" s="5">
        <v>0.14850584708865031</v>
      </c>
      <c r="L120">
        <v>202.903071805975</v>
      </c>
      <c r="M120" s="10">
        <v>-0.65631578504486254</v>
      </c>
      <c r="N120" s="24" t="s">
        <v>343</v>
      </c>
      <c r="O120" s="24">
        <v>11.62105289730825</v>
      </c>
      <c r="P120">
        <v>56.895371528068488</v>
      </c>
      <c r="Q120" t="s">
        <v>47</v>
      </c>
      <c r="R120" t="s">
        <v>350</v>
      </c>
      <c r="S120" t="s">
        <v>343</v>
      </c>
      <c r="T120" t="s">
        <v>343</v>
      </c>
    </row>
    <row r="121" spans="2:20" x14ac:dyDescent="0.25">
      <c r="B121">
        <v>116</v>
      </c>
      <c r="C121" t="s">
        <v>457</v>
      </c>
      <c r="D121" s="10">
        <v>0.17726262831892869</v>
      </c>
      <c r="E121" s="10">
        <v>1.1307601843199471</v>
      </c>
      <c r="F121" s="10">
        <v>0.57493512591605245</v>
      </c>
      <c r="G121" s="10">
        <v>0.33653288793256259</v>
      </c>
      <c r="H121" s="6">
        <v>0.24910790225387611</v>
      </c>
      <c r="I121" s="10">
        <v>6.1235452994570174</v>
      </c>
      <c r="J121" s="7">
        <v>1.8074440895226619E-2</v>
      </c>
      <c r="K121" s="5">
        <v>0.15922842683710359</v>
      </c>
      <c r="L121">
        <v>77.248951370637158</v>
      </c>
      <c r="M121" s="10">
        <v>-0.86915306421130667</v>
      </c>
      <c r="N121" s="24" t="s">
        <v>343</v>
      </c>
      <c r="O121" s="24">
        <v>0</v>
      </c>
      <c r="P121">
        <v>47.732344178514907</v>
      </c>
      <c r="Q121" t="s">
        <v>346</v>
      </c>
      <c r="R121" t="s">
        <v>347</v>
      </c>
      <c r="S121" t="s">
        <v>343</v>
      </c>
      <c r="T121" t="s">
        <v>343</v>
      </c>
    </row>
    <row r="122" spans="2:20" x14ac:dyDescent="0.25">
      <c r="B122">
        <v>117</v>
      </c>
      <c r="C122" t="s">
        <v>458</v>
      </c>
      <c r="D122" s="10">
        <v>0.16502866970987751</v>
      </c>
      <c r="E122" s="10">
        <v>0.65557146233840768</v>
      </c>
      <c r="F122" s="10">
        <v>0.58951226327542705</v>
      </c>
      <c r="G122" s="10">
        <v>0.45993303405804731</v>
      </c>
      <c r="H122" s="6">
        <v>0.14297533732192899</v>
      </c>
      <c r="I122" s="10">
        <v>13.467882265205819</v>
      </c>
      <c r="J122" s="7">
        <v>3.4099318182279223E-2</v>
      </c>
      <c r="K122" s="5">
        <v>0.1177651620504101</v>
      </c>
      <c r="L122">
        <v>286.5708214823415</v>
      </c>
      <c r="M122" s="10">
        <v>-0.51459646749760479</v>
      </c>
      <c r="N122" s="24" t="s">
        <v>343</v>
      </c>
      <c r="O122" s="24">
        <v>20.12421195014371</v>
      </c>
      <c r="P122">
        <v>53.597125349187827</v>
      </c>
      <c r="Q122" t="s">
        <v>47</v>
      </c>
      <c r="R122" t="s">
        <v>350</v>
      </c>
      <c r="S122" t="s">
        <v>343</v>
      </c>
      <c r="T122" t="s">
        <v>343</v>
      </c>
    </row>
    <row r="123" spans="2:20" x14ac:dyDescent="0.25">
      <c r="B123">
        <v>118</v>
      </c>
      <c r="C123" t="s">
        <v>459</v>
      </c>
      <c r="D123" s="10">
        <v>0.2618256658022049</v>
      </c>
      <c r="E123" s="10">
        <v>1.33200146724896</v>
      </c>
      <c r="F123" s="10">
        <v>0.63375924901607883</v>
      </c>
      <c r="G123" s="10">
        <v>0.35309391422372921</v>
      </c>
      <c r="H123" s="6">
        <v>0.15766037003904679</v>
      </c>
      <c r="I123" s="10">
        <v>10.339108492319751</v>
      </c>
      <c r="J123" s="7">
        <v>2.1250573371752492E-2</v>
      </c>
      <c r="K123" s="5">
        <v>0.1031430402732717</v>
      </c>
      <c r="L123">
        <v>486.57525103262088</v>
      </c>
      <c r="M123" s="10">
        <v>-0.17582207268080971</v>
      </c>
      <c r="N123" s="24" t="s">
        <v>343</v>
      </c>
      <c r="O123" s="24">
        <v>44.593806190646148</v>
      </c>
      <c r="P123">
        <v>53.143676203239657</v>
      </c>
      <c r="Q123" t="s">
        <v>47</v>
      </c>
      <c r="R123" t="s">
        <v>350</v>
      </c>
      <c r="S123" t="s">
        <v>343</v>
      </c>
      <c r="T123" t="s">
        <v>343</v>
      </c>
    </row>
    <row r="124" spans="2:20" x14ac:dyDescent="0.25">
      <c r="B124">
        <v>119</v>
      </c>
      <c r="C124" t="s">
        <v>460</v>
      </c>
      <c r="D124" s="10">
        <v>0.21029695697221229</v>
      </c>
      <c r="E124" s="10">
        <v>0.38426319919403118</v>
      </c>
      <c r="F124" s="10">
        <v>0.69254572205520315</v>
      </c>
      <c r="G124" s="10">
        <v>0.27676591525010807</v>
      </c>
      <c r="H124" s="6">
        <v>0.1953487957391358</v>
      </c>
      <c r="I124" s="10">
        <v>6.4609553777357744</v>
      </c>
      <c r="J124" s="7">
        <v>1.7784774649143738E-2</v>
      </c>
      <c r="K124" s="5">
        <v>0.19104485481284181</v>
      </c>
      <c r="L124">
        <v>58.040473151074018</v>
      </c>
      <c r="M124" s="10">
        <v>-0.90168904653337922</v>
      </c>
      <c r="N124" s="24" t="s">
        <v>343</v>
      </c>
      <c r="O124" s="24">
        <v>0</v>
      </c>
      <c r="P124">
        <v>50.111050102779402</v>
      </c>
      <c r="Q124" t="s">
        <v>47</v>
      </c>
      <c r="R124" t="s">
        <v>350</v>
      </c>
      <c r="S124" t="s">
        <v>343</v>
      </c>
      <c r="T124" t="s">
        <v>343</v>
      </c>
    </row>
    <row r="125" spans="2:20" x14ac:dyDescent="0.25">
      <c r="B125">
        <v>120</v>
      </c>
      <c r="C125" t="s">
        <v>461</v>
      </c>
      <c r="D125" s="10">
        <v>0.24137131058635239</v>
      </c>
      <c r="E125" s="10">
        <v>1.357358174281408</v>
      </c>
      <c r="F125" s="10">
        <v>0.66834725977417808</v>
      </c>
      <c r="G125" s="10">
        <v>0.36229243220187718</v>
      </c>
      <c r="H125" s="6">
        <v>0.17381089410240411</v>
      </c>
      <c r="I125" s="10">
        <v>13.50030650721772</v>
      </c>
      <c r="J125" s="7">
        <v>1.8279459947930558E-2</v>
      </c>
      <c r="K125" s="5">
        <v>0.1026118024988429</v>
      </c>
      <c r="L125">
        <v>914.68648037139872</v>
      </c>
      <c r="M125" s="10">
        <v>0.54932748005476362</v>
      </c>
      <c r="N125" s="24" t="s">
        <v>343</v>
      </c>
      <c r="O125" s="24">
        <v>18.04035119671418</v>
      </c>
      <c r="P125">
        <v>14.03537484692902</v>
      </c>
      <c r="Q125" t="s">
        <v>348</v>
      </c>
      <c r="R125" t="s">
        <v>351</v>
      </c>
      <c r="S125" t="s">
        <v>343</v>
      </c>
      <c r="T125" t="s">
        <v>343</v>
      </c>
    </row>
    <row r="126" spans="2:20" x14ac:dyDescent="0.25">
      <c r="B126">
        <v>121</v>
      </c>
      <c r="C126" t="s">
        <v>462</v>
      </c>
      <c r="D126" s="10">
        <v>0.30521063582817493</v>
      </c>
      <c r="E126" s="10">
        <v>0.57027560173314318</v>
      </c>
      <c r="F126" s="10">
        <v>0.47077548228965121</v>
      </c>
      <c r="G126" s="10">
        <v>0.28976526847680217</v>
      </c>
      <c r="H126" s="6">
        <v>0.13975034524199451</v>
      </c>
      <c r="I126" s="10">
        <v>11.137045472788079</v>
      </c>
      <c r="J126" s="7">
        <v>3.337257131496512E-2</v>
      </c>
      <c r="K126" s="5">
        <v>0.10019494394446091</v>
      </c>
      <c r="L126">
        <v>196.19737394871851</v>
      </c>
      <c r="M126" s="10">
        <v>-0.66767412715020702</v>
      </c>
      <c r="N126" s="24" t="s">
        <v>343</v>
      </c>
      <c r="O126" s="24">
        <v>10.939552370987579</v>
      </c>
      <c r="P126">
        <v>19.056471111440239</v>
      </c>
      <c r="Q126" t="s">
        <v>348</v>
      </c>
      <c r="R126" t="s">
        <v>371</v>
      </c>
      <c r="S126" t="s">
        <v>343</v>
      </c>
      <c r="T126" t="s">
        <v>343</v>
      </c>
    </row>
    <row r="127" spans="2:20" x14ac:dyDescent="0.25">
      <c r="B127">
        <v>122</v>
      </c>
      <c r="C127" t="s">
        <v>463</v>
      </c>
      <c r="D127" s="10">
        <v>0.19988675666382</v>
      </c>
      <c r="E127" s="10">
        <v>0.31000359833266122</v>
      </c>
      <c r="F127" s="10">
        <v>0.52801355908037084</v>
      </c>
      <c r="G127" s="10">
        <v>0.37998882481677537</v>
      </c>
      <c r="H127" s="6">
        <v>0.1631625351908477</v>
      </c>
      <c r="I127" s="10">
        <v>12.976769145687429</v>
      </c>
      <c r="J127" s="7">
        <v>3.6852900277010207E-2</v>
      </c>
      <c r="K127" s="5">
        <v>0.13071735403867901</v>
      </c>
      <c r="L127">
        <v>182.92216399461279</v>
      </c>
      <c r="M127" s="10">
        <v>-0.69016013522703046</v>
      </c>
      <c r="N127" s="24" t="s">
        <v>343</v>
      </c>
      <c r="O127" s="24">
        <v>9.5903918863781747</v>
      </c>
      <c r="P127">
        <v>61.104343924228459</v>
      </c>
      <c r="Q127" t="s">
        <v>47</v>
      </c>
      <c r="R127" t="s">
        <v>350</v>
      </c>
      <c r="S127" t="s">
        <v>343</v>
      </c>
      <c r="T127" t="s">
        <v>343</v>
      </c>
    </row>
    <row r="128" spans="2:20" x14ac:dyDescent="0.25">
      <c r="B128">
        <v>123</v>
      </c>
      <c r="C128" t="s">
        <v>464</v>
      </c>
      <c r="D128" s="10">
        <v>0.2256612676857008</v>
      </c>
      <c r="E128" s="10">
        <v>0.77718884017015943</v>
      </c>
      <c r="F128" s="10">
        <v>0.50651398651249091</v>
      </c>
      <c r="G128" s="10">
        <v>0.44623683847446372</v>
      </c>
      <c r="H128" s="6">
        <v>0.26631431424984592</v>
      </c>
      <c r="I128" s="10">
        <v>13.19942873223008</v>
      </c>
      <c r="J128" s="7">
        <v>3.0363073869549149E-2</v>
      </c>
      <c r="K128" s="5">
        <v>0.121133051033679</v>
      </c>
      <c r="L128">
        <v>229.4179475904042</v>
      </c>
      <c r="M128" s="10">
        <v>-0.61140397475290909</v>
      </c>
      <c r="N128" s="24" t="s">
        <v>343</v>
      </c>
      <c r="O128" s="24">
        <v>14.315761514825461</v>
      </c>
      <c r="P128">
        <v>42.981412876804512</v>
      </c>
      <c r="Q128" t="s">
        <v>346</v>
      </c>
      <c r="R128" t="s">
        <v>347</v>
      </c>
      <c r="S128" t="s">
        <v>343</v>
      </c>
      <c r="T128" t="s">
        <v>343</v>
      </c>
    </row>
    <row r="129" spans="2:20" x14ac:dyDescent="0.25">
      <c r="B129">
        <v>124</v>
      </c>
      <c r="C129" t="s">
        <v>465</v>
      </c>
      <c r="D129" s="10">
        <v>0.28088818216688782</v>
      </c>
      <c r="E129" s="10">
        <v>0.69486747265570947</v>
      </c>
      <c r="F129" s="10">
        <v>0.48597251302274608</v>
      </c>
      <c r="G129" s="10">
        <v>0.41296368690370622</v>
      </c>
      <c r="H129" s="6">
        <v>0.17203901332448041</v>
      </c>
      <c r="I129" s="10">
        <v>11.258467249032901</v>
      </c>
      <c r="J129" s="7">
        <v>1.223493414873956E-2</v>
      </c>
      <c r="K129" s="5">
        <v>0.15449070439932999</v>
      </c>
      <c r="L129">
        <v>173.7917485008989</v>
      </c>
      <c r="M129" s="10">
        <v>-0.70562554761946572</v>
      </c>
      <c r="N129" s="24" t="s">
        <v>343</v>
      </c>
      <c r="O129" s="24">
        <v>8.6624671428320532</v>
      </c>
      <c r="P129">
        <v>16.41523094622443</v>
      </c>
      <c r="Q129" t="s">
        <v>348</v>
      </c>
      <c r="R129" t="s">
        <v>371</v>
      </c>
      <c r="S129" t="s">
        <v>343</v>
      </c>
      <c r="T129" t="s">
        <v>343</v>
      </c>
    </row>
    <row r="130" spans="2:20" x14ac:dyDescent="0.25">
      <c r="B130">
        <v>125</v>
      </c>
      <c r="C130" t="s">
        <v>466</v>
      </c>
      <c r="D130" s="10">
        <v>0.19660770647865961</v>
      </c>
      <c r="E130" s="10">
        <v>0.89299790572747306</v>
      </c>
      <c r="F130" s="10">
        <v>0.58162846793050393</v>
      </c>
      <c r="G130" s="10">
        <v>0.30009601189219209</v>
      </c>
      <c r="H130" s="6">
        <v>0.1828371102443942</v>
      </c>
      <c r="I130" s="10">
        <v>5.6744677277074462</v>
      </c>
      <c r="J130" s="7">
        <v>1.133032667969117E-2</v>
      </c>
      <c r="K130" s="5">
        <v>0.18494984329990261</v>
      </c>
      <c r="L130">
        <v>86.204757091988611</v>
      </c>
      <c r="M130" s="10">
        <v>-0.85398341186825755</v>
      </c>
      <c r="N130" s="24" t="s">
        <v>343</v>
      </c>
      <c r="O130" s="24">
        <v>0</v>
      </c>
      <c r="P130">
        <v>62.469951979160683</v>
      </c>
      <c r="Q130" t="s">
        <v>47</v>
      </c>
      <c r="R130" t="s">
        <v>350</v>
      </c>
      <c r="S130" t="s">
        <v>343</v>
      </c>
      <c r="T130" t="s">
        <v>343</v>
      </c>
    </row>
    <row r="131" spans="2:20" x14ac:dyDescent="0.25">
      <c r="B131">
        <v>126</v>
      </c>
      <c r="C131" t="s">
        <v>467</v>
      </c>
      <c r="D131" s="10">
        <v>0.17231678557260691</v>
      </c>
      <c r="E131" s="10">
        <v>1.17645014662683</v>
      </c>
      <c r="F131" s="10">
        <v>0.58384874452850988</v>
      </c>
      <c r="G131" s="10">
        <v>0.30530889749252149</v>
      </c>
      <c r="H131" s="6">
        <v>0.12096021327859451</v>
      </c>
      <c r="I131" s="10">
        <v>13.96247850630871</v>
      </c>
      <c r="J131" s="7">
        <v>1.7600839752735971E-2</v>
      </c>
      <c r="K131" s="5">
        <v>0.1457052288817349</v>
      </c>
      <c r="L131">
        <v>275.26899066602778</v>
      </c>
      <c r="M131" s="10">
        <v>-0.53373989798925792</v>
      </c>
      <c r="N131" s="24" t="s">
        <v>343</v>
      </c>
      <c r="O131" s="24">
        <v>18.975606120644521</v>
      </c>
      <c r="P131">
        <v>57.577353009117573</v>
      </c>
      <c r="Q131" t="s">
        <v>47</v>
      </c>
      <c r="R131" t="s">
        <v>350</v>
      </c>
      <c r="S131" t="s">
        <v>343</v>
      </c>
      <c r="T131" t="s">
        <v>343</v>
      </c>
    </row>
    <row r="132" spans="2:20" x14ac:dyDescent="0.25">
      <c r="B132">
        <v>127</v>
      </c>
      <c r="C132" t="s">
        <v>468</v>
      </c>
      <c r="D132" s="10">
        <v>0.20636023246620289</v>
      </c>
      <c r="E132" s="10">
        <v>1.2266738823654919</v>
      </c>
      <c r="F132" s="10">
        <v>0.49908365525089587</v>
      </c>
      <c r="G132" s="10">
        <v>0.25524340467986861</v>
      </c>
      <c r="H132" s="6">
        <v>0.2279122319685298</v>
      </c>
      <c r="I132" s="10">
        <v>6.5759992406780006</v>
      </c>
      <c r="J132" s="7">
        <v>2.002640458483948E-2</v>
      </c>
      <c r="K132" s="5">
        <v>0.17346361483761219</v>
      </c>
      <c r="L132">
        <v>136.68349666705319</v>
      </c>
      <c r="M132" s="10">
        <v>-0.76848078330593306</v>
      </c>
      <c r="N132" s="24" t="s">
        <v>343</v>
      </c>
      <c r="O132" s="24">
        <v>4.8911530016440139</v>
      </c>
      <c r="P132">
        <v>63.150546808640698</v>
      </c>
      <c r="Q132" t="s">
        <v>47</v>
      </c>
      <c r="R132" t="s">
        <v>350</v>
      </c>
      <c r="S132" t="s">
        <v>343</v>
      </c>
      <c r="T132" t="s">
        <v>343</v>
      </c>
    </row>
    <row r="133" spans="2:20" x14ac:dyDescent="0.25">
      <c r="B133">
        <v>128</v>
      </c>
      <c r="C133" t="s">
        <v>469</v>
      </c>
      <c r="D133" s="10">
        <v>0.1857954059606407</v>
      </c>
      <c r="E133" s="10">
        <v>0.74135299957286094</v>
      </c>
      <c r="F133" s="10">
        <v>0.62509328507973816</v>
      </c>
      <c r="G133" s="10">
        <v>0.30289092384218103</v>
      </c>
      <c r="H133" s="6">
        <v>0.18203250983180699</v>
      </c>
      <c r="I133" s="10">
        <v>10.388763245244901</v>
      </c>
      <c r="J133" s="7">
        <v>2.416869624944146E-2</v>
      </c>
      <c r="K133" s="5">
        <v>0.1863765686555002</v>
      </c>
      <c r="L133">
        <v>155.815097678417</v>
      </c>
      <c r="M133" s="10">
        <v>-0.73607501824825572</v>
      </c>
      <c r="N133" s="24" t="s">
        <v>343</v>
      </c>
      <c r="O133" s="24">
        <v>6.8354989051046573</v>
      </c>
      <c r="P133">
        <v>55.623718387265157</v>
      </c>
      <c r="Q133" t="s">
        <v>47</v>
      </c>
      <c r="R133" t="s">
        <v>350</v>
      </c>
      <c r="S133" t="s">
        <v>343</v>
      </c>
      <c r="T133" t="s">
        <v>343</v>
      </c>
    </row>
    <row r="134" spans="2:20" x14ac:dyDescent="0.25">
      <c r="B134">
        <v>129</v>
      </c>
      <c r="C134" t="s">
        <v>470</v>
      </c>
      <c r="D134" s="10">
        <v>0.30875162437481168</v>
      </c>
      <c r="E134" s="10">
        <v>0.7728303180769851</v>
      </c>
      <c r="F134" s="10">
        <v>0.63055771778407133</v>
      </c>
      <c r="G134" s="10">
        <v>0.26037745592911982</v>
      </c>
      <c r="H134" s="6">
        <v>0.13547100943427409</v>
      </c>
      <c r="I134" s="10">
        <v>12.292928644535809</v>
      </c>
      <c r="J134" s="7">
        <v>1.2660982707929119E-2</v>
      </c>
      <c r="K134" s="5">
        <v>0.1179929670925897</v>
      </c>
      <c r="L134">
        <v>240.6793731524522</v>
      </c>
      <c r="M134" s="10">
        <v>-0.59232898407327461</v>
      </c>
      <c r="N134" s="24" t="s">
        <v>343</v>
      </c>
      <c r="O134" s="24">
        <v>15.46026095560352</v>
      </c>
      <c r="P134">
        <v>49.69345052732988</v>
      </c>
      <c r="Q134" t="s">
        <v>346</v>
      </c>
      <c r="R134" t="s">
        <v>347</v>
      </c>
      <c r="S134" t="s">
        <v>343</v>
      </c>
      <c r="T134" t="s">
        <v>343</v>
      </c>
    </row>
    <row r="135" spans="2:20" x14ac:dyDescent="0.25">
      <c r="B135">
        <v>130</v>
      </c>
      <c r="C135" t="s">
        <v>471</v>
      </c>
      <c r="D135" s="10">
        <v>0.28929926073030671</v>
      </c>
      <c r="E135" s="10">
        <v>0.46299550336242101</v>
      </c>
      <c r="F135" s="10">
        <v>0.44545479865682258</v>
      </c>
      <c r="G135" s="10">
        <v>0.34987871825164141</v>
      </c>
      <c r="H135" s="6">
        <v>0.26528351074570078</v>
      </c>
      <c r="I135" s="10">
        <v>4.926660938671219</v>
      </c>
      <c r="J135" s="7">
        <v>3.5380556807981377E-2</v>
      </c>
      <c r="K135" s="5">
        <v>0.14638953418159059</v>
      </c>
      <c r="L135">
        <v>67.855393620462479</v>
      </c>
      <c r="M135" s="10">
        <v>-0.88506419602547515</v>
      </c>
      <c r="N135" s="24" t="s">
        <v>343</v>
      </c>
      <c r="O135" s="24">
        <v>0</v>
      </c>
      <c r="P135">
        <v>49.709761013197102</v>
      </c>
      <c r="Q135" t="s">
        <v>346</v>
      </c>
      <c r="R135" t="s">
        <v>347</v>
      </c>
      <c r="S135" t="s">
        <v>343</v>
      </c>
      <c r="T135" t="s">
        <v>343</v>
      </c>
    </row>
    <row r="136" spans="2:20" x14ac:dyDescent="0.25">
      <c r="B136">
        <v>131</v>
      </c>
      <c r="C136" t="s">
        <v>472</v>
      </c>
      <c r="D136" s="10">
        <v>0.26134460104166779</v>
      </c>
      <c r="E136" s="10">
        <v>0.35230236976927981</v>
      </c>
      <c r="F136" s="10">
        <v>0.5428970029678023</v>
      </c>
      <c r="G136" s="10">
        <v>0.39583635748961671</v>
      </c>
      <c r="H136" s="6">
        <v>0.236614981887763</v>
      </c>
      <c r="I136" s="10">
        <v>9.6994584793928951</v>
      </c>
      <c r="J136" s="7">
        <v>3.4902435554972203E-2</v>
      </c>
      <c r="K136" s="5">
        <v>0.16099664996187929</v>
      </c>
      <c r="L136">
        <v>136.08792730357851</v>
      </c>
      <c r="M136" s="10">
        <v>-0.76948957921678474</v>
      </c>
      <c r="N136" s="24" t="s">
        <v>343</v>
      </c>
      <c r="O136" s="24">
        <v>4.8306252469929234</v>
      </c>
      <c r="P136">
        <v>60.010412289203778</v>
      </c>
      <c r="Q136" t="s">
        <v>47</v>
      </c>
      <c r="R136" t="s">
        <v>350</v>
      </c>
      <c r="S136" t="s">
        <v>343</v>
      </c>
      <c r="T136" t="s">
        <v>343</v>
      </c>
    </row>
    <row r="137" spans="2:20" x14ac:dyDescent="0.25">
      <c r="B137">
        <v>132</v>
      </c>
      <c r="C137" t="s">
        <v>473</v>
      </c>
      <c r="D137" s="10">
        <v>0.29943369443003492</v>
      </c>
      <c r="E137" s="10">
        <v>1.005336489258527</v>
      </c>
      <c r="F137" s="10">
        <v>0.67143656671242147</v>
      </c>
      <c r="G137" s="10">
        <v>0.40525985552981492</v>
      </c>
      <c r="H137" s="6">
        <v>0.22892251341490899</v>
      </c>
      <c r="I137" s="10">
        <v>7.1269005462108366</v>
      </c>
      <c r="J137" s="7">
        <v>2.2133715778017388E-2</v>
      </c>
      <c r="K137" s="5">
        <v>0.13152890760243269</v>
      </c>
      <c r="L137">
        <v>391.53563664530571</v>
      </c>
      <c r="M137" s="10">
        <v>-0.33680344654378341</v>
      </c>
      <c r="N137" s="24" t="s">
        <v>343</v>
      </c>
      <c r="O137" s="24">
        <v>30.791793207373001</v>
      </c>
      <c r="P137">
        <v>22.409682609539839</v>
      </c>
      <c r="Q137" t="s">
        <v>348</v>
      </c>
      <c r="R137" t="s">
        <v>375</v>
      </c>
      <c r="S137" t="s">
        <v>343</v>
      </c>
      <c r="T137" t="s">
        <v>343</v>
      </c>
    </row>
    <row r="138" spans="2:20" x14ac:dyDescent="0.25">
      <c r="B138">
        <v>133</v>
      </c>
      <c r="C138" t="s">
        <v>474</v>
      </c>
      <c r="D138" s="10">
        <v>0.28858753230385831</v>
      </c>
      <c r="E138" s="10">
        <v>0.37088138810796151</v>
      </c>
      <c r="F138" s="10">
        <v>0.57528283814339787</v>
      </c>
      <c r="G138" s="10">
        <v>0.25309643109459939</v>
      </c>
      <c r="H138" s="6">
        <v>0.26368085022625037</v>
      </c>
      <c r="I138" s="10">
        <v>5.6871797660308001</v>
      </c>
      <c r="J138" s="7">
        <v>2.9705088352894361E-2</v>
      </c>
      <c r="K138" s="5">
        <v>0.17027645054390039</v>
      </c>
      <c r="L138">
        <v>54.016482993774801</v>
      </c>
      <c r="M138" s="10">
        <v>-0.90850501972633835</v>
      </c>
      <c r="N138" s="24" t="s">
        <v>343</v>
      </c>
      <c r="O138" s="24">
        <v>0</v>
      </c>
      <c r="P138">
        <v>55.564914722102678</v>
      </c>
      <c r="Q138" t="s">
        <v>47</v>
      </c>
      <c r="R138" t="s">
        <v>350</v>
      </c>
      <c r="S138" t="s">
        <v>343</v>
      </c>
      <c r="T138" t="s">
        <v>343</v>
      </c>
    </row>
    <row r="139" spans="2:20" x14ac:dyDescent="0.25">
      <c r="B139">
        <v>134</v>
      </c>
      <c r="C139" t="s">
        <v>475</v>
      </c>
      <c r="D139" s="10">
        <v>0.1898512094217657</v>
      </c>
      <c r="E139" s="10">
        <v>1.1072131313636011</v>
      </c>
      <c r="F139" s="10">
        <v>0.53038322837413854</v>
      </c>
      <c r="G139" s="10">
        <v>0.31479029761240451</v>
      </c>
      <c r="H139" s="6">
        <v>0.18112201267757069</v>
      </c>
      <c r="I139" s="10">
        <v>3.1294899403194321</v>
      </c>
      <c r="J139" s="7">
        <v>1.353205805291126E-2</v>
      </c>
      <c r="K139" s="5">
        <v>0.16700492264607339</v>
      </c>
      <c r="L139">
        <v>97.737209896731173</v>
      </c>
      <c r="M139" s="10">
        <v>-0.83444934590549458</v>
      </c>
      <c r="N139" s="24" t="s">
        <v>343</v>
      </c>
      <c r="O139" s="24">
        <v>0.93303924567032936</v>
      </c>
      <c r="P139">
        <v>31.9379589421996</v>
      </c>
      <c r="Q139" t="s">
        <v>348</v>
      </c>
      <c r="R139" t="s">
        <v>375</v>
      </c>
      <c r="S139" t="s">
        <v>343</v>
      </c>
      <c r="T139" t="s">
        <v>343</v>
      </c>
    </row>
    <row r="140" spans="2:20" x14ac:dyDescent="0.25">
      <c r="B140">
        <v>135</v>
      </c>
      <c r="C140" t="s">
        <v>476</v>
      </c>
      <c r="D140" s="10">
        <v>0.30280943975839653</v>
      </c>
      <c r="E140" s="10">
        <v>0.89299915952447217</v>
      </c>
      <c r="F140" s="10">
        <v>0.50595579941473379</v>
      </c>
      <c r="G140" s="10">
        <v>0.30339778864043537</v>
      </c>
      <c r="H140" s="6">
        <v>0.22778003104386729</v>
      </c>
      <c r="I140" s="10">
        <v>12.591714701777679</v>
      </c>
      <c r="J140" s="7">
        <v>2.4532652498003699E-2</v>
      </c>
      <c r="K140" s="5">
        <v>0.14000395699438489</v>
      </c>
      <c r="L140">
        <v>224.02188136909609</v>
      </c>
      <c r="M140" s="10">
        <v>-0.62054401766408585</v>
      </c>
      <c r="N140" s="24" t="s">
        <v>343</v>
      </c>
      <c r="O140" s="24">
        <v>13.76735894015485</v>
      </c>
      <c r="P140">
        <v>53.956390965930488</v>
      </c>
      <c r="Q140" t="s">
        <v>47</v>
      </c>
      <c r="R140" t="s">
        <v>350</v>
      </c>
      <c r="S140" t="s">
        <v>343</v>
      </c>
      <c r="T140" t="s">
        <v>343</v>
      </c>
    </row>
    <row r="141" spans="2:20" x14ac:dyDescent="0.25">
      <c r="B141">
        <v>136</v>
      </c>
      <c r="C141" t="s">
        <v>477</v>
      </c>
      <c r="D141" s="10">
        <v>0.24629475870650411</v>
      </c>
      <c r="E141" s="10">
        <v>0.51844127604869172</v>
      </c>
      <c r="F141" s="10">
        <v>0.50327217517875344</v>
      </c>
      <c r="G141" s="10">
        <v>0.26294607105721363</v>
      </c>
      <c r="H141" s="6">
        <v>0.15093118460781771</v>
      </c>
      <c r="I141" s="10">
        <v>4.4946970194954101</v>
      </c>
      <c r="J141" s="7">
        <v>4.0014766511801948E-2</v>
      </c>
      <c r="K141" s="5">
        <v>0.1083556065753238</v>
      </c>
      <c r="L141">
        <v>91.339737253225138</v>
      </c>
      <c r="M141" s="10">
        <v>-0.84528560552251431</v>
      </c>
      <c r="N141" s="24" t="s">
        <v>343</v>
      </c>
      <c r="O141" s="24">
        <v>0.28286366864914209</v>
      </c>
      <c r="P141">
        <v>61.353804786626768</v>
      </c>
      <c r="Q141" t="s">
        <v>47</v>
      </c>
      <c r="R141" t="s">
        <v>350</v>
      </c>
      <c r="S141" t="s">
        <v>343</v>
      </c>
      <c r="T141" t="s">
        <v>343</v>
      </c>
    </row>
    <row r="142" spans="2:20" x14ac:dyDescent="0.25">
      <c r="B142">
        <v>137</v>
      </c>
      <c r="C142" t="s">
        <v>478</v>
      </c>
      <c r="D142" s="10">
        <v>0.28919042482625001</v>
      </c>
      <c r="E142" s="10">
        <v>0.89347523786391458</v>
      </c>
      <c r="F142" s="10">
        <v>0.46593968880120967</v>
      </c>
      <c r="G142" s="10">
        <v>0.31974368840504119</v>
      </c>
      <c r="H142" s="6">
        <v>0.22456808211781801</v>
      </c>
      <c r="I142" s="10">
        <v>12.6592887675334</v>
      </c>
      <c r="J142" s="7">
        <v>3.3121786209255911E-2</v>
      </c>
      <c r="K142" s="5">
        <v>0.1010990344308451</v>
      </c>
      <c r="L142">
        <v>426.52541968847578</v>
      </c>
      <c r="M142" s="10">
        <v>-0.27753654629625157</v>
      </c>
      <c r="N142" s="24" t="s">
        <v>343</v>
      </c>
      <c r="O142" s="24">
        <v>34.347807222224908</v>
      </c>
      <c r="P142">
        <v>14.34932060909915</v>
      </c>
      <c r="Q142" t="s">
        <v>348</v>
      </c>
      <c r="R142" t="s">
        <v>371</v>
      </c>
      <c r="S142" t="s">
        <v>343</v>
      </c>
      <c r="T142" t="s">
        <v>343</v>
      </c>
    </row>
    <row r="143" spans="2:20" x14ac:dyDescent="0.25">
      <c r="B143">
        <v>138</v>
      </c>
      <c r="C143" t="s">
        <v>479</v>
      </c>
      <c r="D143" s="10">
        <v>0.30337460798775889</v>
      </c>
      <c r="E143" s="10">
        <v>0.50129748826230869</v>
      </c>
      <c r="F143" s="10">
        <v>0.65247886896420393</v>
      </c>
      <c r="G143" s="10">
        <v>0.30585042401063189</v>
      </c>
      <c r="H143" s="6">
        <v>0.1221118638281404</v>
      </c>
      <c r="I143" s="10">
        <v>9.6075965868929281</v>
      </c>
      <c r="J143" s="7">
        <v>1.3638032148585831E-2</v>
      </c>
      <c r="K143" s="5">
        <v>0.1350882084052808</v>
      </c>
      <c r="L143">
        <v>97.694161813055956</v>
      </c>
      <c r="M143" s="10">
        <v>-0.83452226223303738</v>
      </c>
      <c r="N143" s="24" t="s">
        <v>343</v>
      </c>
      <c r="O143" s="24">
        <v>0.92866426601776197</v>
      </c>
      <c r="P143">
        <v>53.276718185609298</v>
      </c>
      <c r="Q143" t="s">
        <v>47</v>
      </c>
      <c r="R143" t="s">
        <v>350</v>
      </c>
      <c r="S143" t="s">
        <v>343</v>
      </c>
      <c r="T143" t="s">
        <v>343</v>
      </c>
    </row>
    <row r="144" spans="2:20" x14ac:dyDescent="0.25">
      <c r="B144">
        <v>139</v>
      </c>
      <c r="C144" t="s">
        <v>480</v>
      </c>
      <c r="D144" s="10">
        <v>0.21088055599549821</v>
      </c>
      <c r="E144" s="10">
        <v>0.78261092826145306</v>
      </c>
      <c r="F144" s="10">
        <v>0.46253092540248453</v>
      </c>
      <c r="G144" s="10">
        <v>0.3795898304546409</v>
      </c>
      <c r="H144" s="6">
        <v>0.13894580706609211</v>
      </c>
      <c r="I144" s="10">
        <v>9.8316110996654533</v>
      </c>
      <c r="J144" s="7">
        <v>3.9665231092607417E-2</v>
      </c>
      <c r="K144" s="5">
        <v>0.1077965402861718</v>
      </c>
      <c r="L144">
        <v>464.18417553826362</v>
      </c>
      <c r="M144" s="10">
        <v>-0.21374884793751051</v>
      </c>
      <c r="N144" s="24" t="s">
        <v>343</v>
      </c>
      <c r="O144" s="24">
        <v>38.175069123749367</v>
      </c>
      <c r="P144">
        <v>55.849841108004703</v>
      </c>
      <c r="Q144" t="s">
        <v>47</v>
      </c>
      <c r="R144" t="s">
        <v>350</v>
      </c>
      <c r="S144" t="s">
        <v>343</v>
      </c>
      <c r="T144" t="s">
        <v>343</v>
      </c>
    </row>
    <row r="145" spans="2:20" x14ac:dyDescent="0.25">
      <c r="B145">
        <v>140</v>
      </c>
      <c r="C145" t="s">
        <v>481</v>
      </c>
      <c r="D145" s="10">
        <v>0.1776083079244283</v>
      </c>
      <c r="E145" s="10">
        <v>1.1795163478664521</v>
      </c>
      <c r="F145" s="10">
        <v>0.51599663912407212</v>
      </c>
      <c r="G145" s="10">
        <v>0.43432658602141683</v>
      </c>
      <c r="H145" s="6">
        <v>0.18378883779042729</v>
      </c>
      <c r="I145" s="10">
        <v>12.115169736833</v>
      </c>
      <c r="J145" s="7">
        <v>3.3824368029666728E-2</v>
      </c>
      <c r="K145" s="5">
        <v>0.17425432210478481</v>
      </c>
      <c r="L145">
        <v>397.35897664181908</v>
      </c>
      <c r="M145" s="10">
        <v>-0.32693967258854029</v>
      </c>
      <c r="N145" s="24" t="s">
        <v>343</v>
      </c>
      <c r="O145" s="24">
        <v>31.383619644687581</v>
      </c>
      <c r="P145">
        <v>22.603050441495078</v>
      </c>
      <c r="Q145" t="s">
        <v>348</v>
      </c>
      <c r="R145" t="s">
        <v>375</v>
      </c>
      <c r="S145" t="s">
        <v>343</v>
      </c>
      <c r="T145" t="s">
        <v>343</v>
      </c>
    </row>
    <row r="146" spans="2:20" x14ac:dyDescent="0.25">
      <c r="B146">
        <v>141</v>
      </c>
      <c r="C146" t="s">
        <v>482</v>
      </c>
      <c r="D146" s="10">
        <v>0.1964696260067107</v>
      </c>
      <c r="E146" s="10">
        <v>0.80811122275170111</v>
      </c>
      <c r="F146" s="10">
        <v>0.45187569202725181</v>
      </c>
      <c r="G146" s="10">
        <v>0.3400651785921075</v>
      </c>
      <c r="H146" s="6">
        <v>0.1218139042209012</v>
      </c>
      <c r="I146" s="10">
        <v>8.6038526134225854</v>
      </c>
      <c r="J146" s="7">
        <v>2.585697029300733E-2</v>
      </c>
      <c r="K146" s="5">
        <v>0.13176094941055319</v>
      </c>
      <c r="L146">
        <v>174.56468161959279</v>
      </c>
      <c r="M146" s="10">
        <v>-0.70431632686816437</v>
      </c>
      <c r="N146" s="24" t="s">
        <v>343</v>
      </c>
      <c r="O146" s="24">
        <v>8.7410203879101402</v>
      </c>
      <c r="P146">
        <v>68.272439413863935</v>
      </c>
      <c r="Q146" t="s">
        <v>47</v>
      </c>
      <c r="R146" t="s">
        <v>350</v>
      </c>
      <c r="S146" t="s">
        <v>343</v>
      </c>
      <c r="T146" t="s">
        <v>343</v>
      </c>
    </row>
    <row r="147" spans="2:20" x14ac:dyDescent="0.25">
      <c r="B147">
        <v>142</v>
      </c>
      <c r="C147" t="s">
        <v>483</v>
      </c>
      <c r="D147" s="10">
        <v>0.22833724618020099</v>
      </c>
      <c r="E147" s="10">
        <v>0.46356925012730299</v>
      </c>
      <c r="F147" s="10">
        <v>0.64316050812816206</v>
      </c>
      <c r="G147" s="10">
        <v>0.4042663380087001</v>
      </c>
      <c r="H147" s="6">
        <v>0.18929487831756289</v>
      </c>
      <c r="I147" s="10">
        <v>6.9301302494777639</v>
      </c>
      <c r="J147" s="7">
        <v>3.4223186365460151E-2</v>
      </c>
      <c r="K147" s="5">
        <v>0.16327933620021121</v>
      </c>
      <c r="L147">
        <v>117.1429529576225</v>
      </c>
      <c r="M147" s="10">
        <v>-0.80157922959754069</v>
      </c>
      <c r="N147" s="24" t="s">
        <v>343</v>
      </c>
      <c r="O147" s="24">
        <v>2.905246224147561</v>
      </c>
      <c r="P147">
        <v>60.769192354291867</v>
      </c>
      <c r="Q147" t="s">
        <v>47</v>
      </c>
      <c r="R147" t="s">
        <v>350</v>
      </c>
      <c r="S147" t="s">
        <v>343</v>
      </c>
      <c r="T147" t="s">
        <v>343</v>
      </c>
    </row>
    <row r="148" spans="2:20" x14ac:dyDescent="0.25">
      <c r="B148">
        <v>143</v>
      </c>
      <c r="C148" t="s">
        <v>484</v>
      </c>
      <c r="D148" s="10">
        <v>0.29088236254759892</v>
      </c>
      <c r="E148" s="10">
        <v>1.0962115500052401</v>
      </c>
      <c r="F148" s="10">
        <v>0.45021375737896552</v>
      </c>
      <c r="G148" s="10">
        <v>0.27212228076434841</v>
      </c>
      <c r="H148" s="6">
        <v>0.19841876235975059</v>
      </c>
      <c r="I148" s="10">
        <v>4.5268735239177236</v>
      </c>
      <c r="J148" s="7">
        <v>1.604870894006118E-2</v>
      </c>
      <c r="K148" s="5">
        <v>0.13290600379354359</v>
      </c>
      <c r="L148">
        <v>207.798036591845</v>
      </c>
      <c r="M148" s="10">
        <v>-0.64802452501271535</v>
      </c>
      <c r="N148" s="24" t="s">
        <v>343</v>
      </c>
      <c r="O148" s="24">
        <v>12.11852849923708</v>
      </c>
      <c r="P148">
        <v>60.68696049958865</v>
      </c>
      <c r="Q148" t="s">
        <v>47</v>
      </c>
      <c r="R148" t="s">
        <v>350</v>
      </c>
      <c r="S148" t="s">
        <v>343</v>
      </c>
      <c r="T148" t="s">
        <v>343</v>
      </c>
    </row>
    <row r="149" spans="2:20" x14ac:dyDescent="0.25">
      <c r="B149">
        <v>144</v>
      </c>
      <c r="C149" t="s">
        <v>485</v>
      </c>
      <c r="D149" s="10">
        <v>0.29771689332101492</v>
      </c>
      <c r="E149" s="10">
        <v>0.50544525789700967</v>
      </c>
      <c r="F149" s="10">
        <v>0.52015828700573419</v>
      </c>
      <c r="G149" s="10">
        <v>0.43689260330165031</v>
      </c>
      <c r="H149" s="6">
        <v>0.21324098963806229</v>
      </c>
      <c r="I149" s="10">
        <v>9.2745691932892331</v>
      </c>
      <c r="J149" s="7">
        <v>2.92670264595392E-2</v>
      </c>
      <c r="K149" s="5">
        <v>0.1756141495986617</v>
      </c>
      <c r="L149">
        <v>158.02634958387651</v>
      </c>
      <c r="M149" s="10">
        <v>-0.73232952357224301</v>
      </c>
      <c r="N149" s="24" t="s">
        <v>343</v>
      </c>
      <c r="O149" s="24">
        <v>7.0602285856654241</v>
      </c>
      <c r="P149">
        <v>57.900424502103867</v>
      </c>
      <c r="Q149" t="s">
        <v>47</v>
      </c>
      <c r="R149" t="s">
        <v>350</v>
      </c>
      <c r="S149" t="s">
        <v>343</v>
      </c>
      <c r="T149" t="s">
        <v>343</v>
      </c>
    </row>
    <row r="150" spans="2:20" x14ac:dyDescent="0.25">
      <c r="B150">
        <v>145</v>
      </c>
      <c r="C150" t="s">
        <v>486</v>
      </c>
      <c r="D150" s="10">
        <v>0.16111234088499049</v>
      </c>
      <c r="E150" s="10">
        <v>1.1124048618071201</v>
      </c>
      <c r="F150" s="10">
        <v>0.58905731622253266</v>
      </c>
      <c r="G150" s="10">
        <v>0.27357084240732032</v>
      </c>
      <c r="H150" s="6">
        <v>0.13505800154904249</v>
      </c>
      <c r="I150" s="10">
        <v>9.0848375967618686</v>
      </c>
      <c r="J150" s="7">
        <v>3.1627445124793457E-2</v>
      </c>
      <c r="K150" s="5">
        <v>0.18439918717887921</v>
      </c>
      <c r="L150">
        <v>134.3780475983462</v>
      </c>
      <c r="M150" s="10">
        <v>-0.77238583238303771</v>
      </c>
      <c r="N150" s="24" t="s">
        <v>343</v>
      </c>
      <c r="O150" s="24">
        <v>4.6568500570177349</v>
      </c>
      <c r="P150">
        <v>57.55176855980185</v>
      </c>
      <c r="Q150" t="s">
        <v>47</v>
      </c>
      <c r="R150" t="s">
        <v>350</v>
      </c>
      <c r="S150" t="s">
        <v>343</v>
      </c>
      <c r="T150" t="s">
        <v>343</v>
      </c>
    </row>
    <row r="151" spans="2:20" x14ac:dyDescent="0.25">
      <c r="B151">
        <v>146</v>
      </c>
      <c r="C151" t="s">
        <v>487</v>
      </c>
      <c r="D151" s="10">
        <v>0.24171956841241049</v>
      </c>
      <c r="E151" s="10">
        <v>0.82728751813741663</v>
      </c>
      <c r="F151" s="10">
        <v>0.54648595367629538</v>
      </c>
      <c r="G151" s="10">
        <v>0.28226225973186558</v>
      </c>
      <c r="H151" s="6">
        <v>0.14715178696908179</v>
      </c>
      <c r="I151" s="10">
        <v>6.2328613423401444</v>
      </c>
      <c r="J151" s="7">
        <v>4.2471068803008993E-2</v>
      </c>
      <c r="K151" s="5">
        <v>0.1795638441799603</v>
      </c>
      <c r="L151">
        <v>143.9956000198585</v>
      </c>
      <c r="M151" s="10">
        <v>-0.7560952906758226</v>
      </c>
      <c r="N151" s="24" t="s">
        <v>343</v>
      </c>
      <c r="O151" s="24">
        <v>5.6342825594506456</v>
      </c>
      <c r="P151">
        <v>50.704849546021343</v>
      </c>
      <c r="Q151" t="s">
        <v>47</v>
      </c>
      <c r="R151" t="s">
        <v>350</v>
      </c>
      <c r="S151" t="s">
        <v>343</v>
      </c>
      <c r="T151" t="s">
        <v>343</v>
      </c>
    </row>
    <row r="152" spans="2:20" x14ac:dyDescent="0.25">
      <c r="B152">
        <v>147</v>
      </c>
      <c r="C152" t="s">
        <v>488</v>
      </c>
      <c r="D152" s="10">
        <v>0.22678576050380461</v>
      </c>
      <c r="E152" s="10">
        <v>0.79911593500373168</v>
      </c>
      <c r="F152" s="10">
        <v>0.51339047748476607</v>
      </c>
      <c r="G152" s="10">
        <v>0.26342203678928883</v>
      </c>
      <c r="H152" s="6">
        <v>0.21199250560757929</v>
      </c>
      <c r="I152" s="10">
        <v>9.600626182188293</v>
      </c>
      <c r="J152" s="7">
        <v>1.234120987805744E-2</v>
      </c>
      <c r="K152" s="5">
        <v>0.1460249885780861</v>
      </c>
      <c r="L152">
        <v>104.9741777414098</v>
      </c>
      <c r="M152" s="10">
        <v>-0.82219112038817788</v>
      </c>
      <c r="N152" s="24" t="s">
        <v>343</v>
      </c>
      <c r="O152" s="24">
        <v>1.6685327767093341</v>
      </c>
      <c r="P152">
        <v>60.774923499105938</v>
      </c>
      <c r="Q152" t="s">
        <v>47</v>
      </c>
      <c r="R152" t="s">
        <v>350</v>
      </c>
      <c r="S152" t="s">
        <v>343</v>
      </c>
      <c r="T152" t="s">
        <v>343</v>
      </c>
    </row>
    <row r="153" spans="2:20" x14ac:dyDescent="0.25">
      <c r="B153">
        <v>148</v>
      </c>
      <c r="C153" t="s">
        <v>489</v>
      </c>
      <c r="D153" s="10">
        <v>0.19553724967531691</v>
      </c>
      <c r="E153" s="10">
        <v>1.236578541643222</v>
      </c>
      <c r="F153" s="10">
        <v>0.51154915883116081</v>
      </c>
      <c r="G153" s="10">
        <v>0.30812949033451797</v>
      </c>
      <c r="H153" s="6">
        <v>0.2187281568693959</v>
      </c>
      <c r="I153" s="10">
        <v>7.8330357456519923</v>
      </c>
      <c r="J153" s="7">
        <v>2.3117394999129709E-2</v>
      </c>
      <c r="K153" s="5">
        <v>0.10797540303263289</v>
      </c>
      <c r="L153">
        <v>114.98579048405171</v>
      </c>
      <c r="M153" s="10">
        <v>-0.80523310572992757</v>
      </c>
      <c r="N153" s="24" t="s">
        <v>343</v>
      </c>
      <c r="O153" s="24">
        <v>2.6860136562043451</v>
      </c>
      <c r="P153">
        <v>52.442735520147302</v>
      </c>
      <c r="Q153" t="s">
        <v>47</v>
      </c>
      <c r="R153" t="s">
        <v>350</v>
      </c>
      <c r="S153" t="s">
        <v>343</v>
      </c>
      <c r="T153" t="s">
        <v>343</v>
      </c>
    </row>
    <row r="154" spans="2:20" x14ac:dyDescent="0.25">
      <c r="B154">
        <v>149</v>
      </c>
      <c r="C154" t="s">
        <v>490</v>
      </c>
      <c r="D154" s="10">
        <v>0.17917845877338931</v>
      </c>
      <c r="E154" s="10">
        <v>1.079463876774736</v>
      </c>
      <c r="F154" s="10">
        <v>0.64742547956162477</v>
      </c>
      <c r="G154" s="10">
        <v>0.36153029827741567</v>
      </c>
      <c r="H154" s="6">
        <v>0.1238850342315414</v>
      </c>
      <c r="I154" s="10">
        <v>11.86083169304818</v>
      </c>
      <c r="J154" s="7">
        <v>4.278851484758267E-2</v>
      </c>
      <c r="K154" s="5">
        <v>0.13531255505037579</v>
      </c>
      <c r="L154">
        <v>390.13873294032209</v>
      </c>
      <c r="M154" s="10">
        <v>-0.33916957017583099</v>
      </c>
      <c r="N154" s="24" t="s">
        <v>343</v>
      </c>
      <c r="O154" s="24">
        <v>30.649825789450141</v>
      </c>
      <c r="P154">
        <v>55.018725769457689</v>
      </c>
      <c r="Q154" t="s">
        <v>47</v>
      </c>
      <c r="R154" t="s">
        <v>350</v>
      </c>
      <c r="S154" t="s">
        <v>343</v>
      </c>
      <c r="T154" t="s">
        <v>343</v>
      </c>
    </row>
    <row r="155" spans="2:20" x14ac:dyDescent="0.25">
      <c r="B155">
        <v>150</v>
      </c>
      <c r="C155" t="s">
        <v>491</v>
      </c>
      <c r="D155" s="10">
        <v>0.21401842742458049</v>
      </c>
      <c r="E155" s="10">
        <v>0.33620187665043322</v>
      </c>
      <c r="F155" s="10">
        <v>0.69323430472268366</v>
      </c>
      <c r="G155" s="10">
        <v>0.45735870450939192</v>
      </c>
      <c r="H155" s="6">
        <v>0.20105510431725571</v>
      </c>
      <c r="I155" s="10">
        <v>9.1543488338916248</v>
      </c>
      <c r="J155" s="7">
        <v>1.7602736929500758E-2</v>
      </c>
      <c r="K155" s="5">
        <v>0.14032331949698279</v>
      </c>
      <c r="L155">
        <v>183.70269912048701</v>
      </c>
      <c r="M155" s="10">
        <v>-0.68883803793400622</v>
      </c>
      <c r="N155" s="24" t="s">
        <v>343</v>
      </c>
      <c r="O155" s="24">
        <v>9.6697177239596286</v>
      </c>
      <c r="P155">
        <v>59.332851847542067</v>
      </c>
      <c r="Q155" t="s">
        <v>47</v>
      </c>
      <c r="R155" t="s">
        <v>350</v>
      </c>
      <c r="S155" t="s">
        <v>343</v>
      </c>
      <c r="T155" t="s">
        <v>343</v>
      </c>
    </row>
    <row r="156" spans="2:20" x14ac:dyDescent="0.25">
      <c r="B156">
        <v>151</v>
      </c>
      <c r="C156" t="s">
        <v>492</v>
      </c>
      <c r="D156" s="10">
        <v>0.31086555262600313</v>
      </c>
      <c r="E156" s="10">
        <v>0.62579174606176258</v>
      </c>
      <c r="F156" s="10">
        <v>0.53049067831668628</v>
      </c>
      <c r="G156" s="10">
        <v>0.41454096762465958</v>
      </c>
      <c r="H156" s="6">
        <v>0.23774725979982489</v>
      </c>
      <c r="I156" s="10">
        <v>13.270464449815121</v>
      </c>
      <c r="J156" s="7">
        <v>3.8462011491293219E-2</v>
      </c>
      <c r="K156" s="5">
        <v>0.19122413103140309</v>
      </c>
      <c r="L156">
        <v>217.47145864761939</v>
      </c>
      <c r="M156" s="10">
        <v>-0.63163934939374933</v>
      </c>
      <c r="N156" s="24" t="s">
        <v>343</v>
      </c>
      <c r="O156" s="24">
        <v>13.10163903637504</v>
      </c>
      <c r="P156">
        <v>51.993190529328267</v>
      </c>
      <c r="Q156" t="s">
        <v>47</v>
      </c>
      <c r="R156" t="s">
        <v>350</v>
      </c>
      <c r="S156" t="s">
        <v>343</v>
      </c>
      <c r="T156" t="s">
        <v>343</v>
      </c>
    </row>
    <row r="157" spans="2:20" x14ac:dyDescent="0.25">
      <c r="B157">
        <v>152</v>
      </c>
      <c r="C157" t="s">
        <v>493</v>
      </c>
      <c r="D157" s="10">
        <v>0.21171246912332081</v>
      </c>
      <c r="E157" s="10">
        <v>1.258012726934888</v>
      </c>
      <c r="F157" s="10">
        <v>0.45017783353834429</v>
      </c>
      <c r="G157" s="10">
        <v>0.32369587663623611</v>
      </c>
      <c r="H157" s="6">
        <v>0.13036513166780911</v>
      </c>
      <c r="I157" s="10">
        <v>8.6978126522347612</v>
      </c>
      <c r="J157" s="7">
        <v>1.005619372358235E-2</v>
      </c>
      <c r="K157" s="5">
        <v>0.1537222439946741</v>
      </c>
      <c r="L157">
        <v>326.98819382323529</v>
      </c>
      <c r="M157" s="10">
        <v>-0.44613612946579517</v>
      </c>
      <c r="N157" s="24" t="s">
        <v>343</v>
      </c>
      <c r="O157" s="24">
        <v>24.231832232052291</v>
      </c>
      <c r="P157">
        <v>20.57430820839901</v>
      </c>
      <c r="Q157" t="s">
        <v>348</v>
      </c>
      <c r="R157" t="s">
        <v>375</v>
      </c>
      <c r="S157" t="s">
        <v>343</v>
      </c>
      <c r="T157" t="s">
        <v>343</v>
      </c>
    </row>
    <row r="158" spans="2:20" x14ac:dyDescent="0.25">
      <c r="B158">
        <v>153</v>
      </c>
      <c r="C158" t="s">
        <v>494</v>
      </c>
      <c r="D158" s="10">
        <v>0.2430064994789386</v>
      </c>
      <c r="E158" s="10">
        <v>0.32015878539971848</v>
      </c>
      <c r="F158" s="10">
        <v>0.4495071022563682</v>
      </c>
      <c r="G158" s="10">
        <v>0.36668613273878548</v>
      </c>
      <c r="H158" s="6">
        <v>0.18197592978697799</v>
      </c>
      <c r="I158" s="10">
        <v>12.7624483347296</v>
      </c>
      <c r="J158" s="7">
        <v>1.0905942444662E-2</v>
      </c>
      <c r="K158" s="5">
        <v>0.160880392125162</v>
      </c>
      <c r="L158">
        <v>74.406505424638482</v>
      </c>
      <c r="M158" s="10">
        <v>-0.87396769710379019</v>
      </c>
      <c r="N158" s="24" t="s">
        <v>343</v>
      </c>
      <c r="O158" s="24">
        <v>0</v>
      </c>
      <c r="P158">
        <v>20.153276104600639</v>
      </c>
      <c r="Q158" t="s">
        <v>348</v>
      </c>
      <c r="R158" t="s">
        <v>371</v>
      </c>
      <c r="S158" t="s">
        <v>343</v>
      </c>
      <c r="T158" t="s">
        <v>343</v>
      </c>
    </row>
    <row r="159" spans="2:20" x14ac:dyDescent="0.25">
      <c r="B159">
        <v>154</v>
      </c>
      <c r="C159" t="s">
        <v>495</v>
      </c>
      <c r="D159" s="10">
        <v>0.27248303342322838</v>
      </c>
      <c r="E159" s="10">
        <v>0.89977879088816737</v>
      </c>
      <c r="F159" s="10">
        <v>0.63739548795478662</v>
      </c>
      <c r="G159" s="10">
        <v>0.37712776680662569</v>
      </c>
      <c r="H159" s="6">
        <v>0.16897669095451531</v>
      </c>
      <c r="I159" s="10">
        <v>8.7257765181551239</v>
      </c>
      <c r="J159" s="7">
        <v>2.14668009838591E-2</v>
      </c>
      <c r="K159" s="5">
        <v>0.17429034019519701</v>
      </c>
      <c r="L159">
        <v>170.89643064334101</v>
      </c>
      <c r="M159" s="10">
        <v>-0.71052973677768549</v>
      </c>
      <c r="N159" s="24" t="s">
        <v>343</v>
      </c>
      <c r="O159" s="24">
        <v>8.3682157933388694</v>
      </c>
      <c r="P159">
        <v>64.300264757100365</v>
      </c>
      <c r="Q159" t="s">
        <v>47</v>
      </c>
      <c r="R159" t="s">
        <v>350</v>
      </c>
      <c r="S159" t="s">
        <v>343</v>
      </c>
      <c r="T159" t="s">
        <v>343</v>
      </c>
    </row>
    <row r="160" spans="2:20" x14ac:dyDescent="0.25">
      <c r="B160">
        <v>155</v>
      </c>
      <c r="C160" t="s">
        <v>496</v>
      </c>
      <c r="D160" s="10">
        <v>0.21818073638068711</v>
      </c>
      <c r="E160" s="10">
        <v>1.1006082360913381</v>
      </c>
      <c r="F160" s="10">
        <v>0.58361615361837305</v>
      </c>
      <c r="G160" s="10">
        <v>0.42099998867441629</v>
      </c>
      <c r="H160" s="6">
        <v>0.25704984380280249</v>
      </c>
      <c r="I160" s="10">
        <v>9.1383828400436649</v>
      </c>
      <c r="J160" s="7">
        <v>3.6897629879059528E-2</v>
      </c>
      <c r="K160" s="5">
        <v>0.15397923438498221</v>
      </c>
      <c r="L160">
        <v>164.86414938751429</v>
      </c>
      <c r="M160" s="10">
        <v>-0.7207474226379561</v>
      </c>
      <c r="N160" s="24" t="s">
        <v>343</v>
      </c>
      <c r="O160" s="24">
        <v>7.7551546417226369</v>
      </c>
      <c r="P160">
        <v>49.739123388212519</v>
      </c>
      <c r="Q160" t="s">
        <v>346</v>
      </c>
      <c r="R160" t="s">
        <v>347</v>
      </c>
      <c r="S160" t="s">
        <v>343</v>
      </c>
      <c r="T160" t="s">
        <v>343</v>
      </c>
    </row>
    <row r="161" spans="2:20" x14ac:dyDescent="0.25">
      <c r="B161">
        <v>156</v>
      </c>
      <c r="C161" t="s">
        <v>497</v>
      </c>
      <c r="D161" s="10">
        <v>0.31548513323535371</v>
      </c>
      <c r="E161" s="10">
        <v>0.98404169403303321</v>
      </c>
      <c r="F161" s="10">
        <v>0.64373409092850586</v>
      </c>
      <c r="G161" s="10">
        <v>0.4020193927923561</v>
      </c>
      <c r="H161" s="6">
        <v>0.14787035898096829</v>
      </c>
      <c r="I161" s="10">
        <v>7.0348879500114538</v>
      </c>
      <c r="J161" s="7">
        <v>1.364502142322882E-2</v>
      </c>
      <c r="K161" s="5">
        <v>0.15685603787236241</v>
      </c>
      <c r="L161">
        <v>207.11906777823921</v>
      </c>
      <c r="M161" s="10">
        <v>-0.64917458578609899</v>
      </c>
      <c r="N161" s="24" t="s">
        <v>343</v>
      </c>
      <c r="O161" s="24">
        <v>12.049524852834059</v>
      </c>
      <c r="P161">
        <v>20.731064471161989</v>
      </c>
      <c r="Q161" t="s">
        <v>348</v>
      </c>
      <c r="R161" t="s">
        <v>353</v>
      </c>
      <c r="S161" t="s">
        <v>343</v>
      </c>
      <c r="T161" t="s">
        <v>343</v>
      </c>
    </row>
    <row r="162" spans="2:20" x14ac:dyDescent="0.25">
      <c r="B162">
        <v>157</v>
      </c>
      <c r="C162" t="s">
        <v>498</v>
      </c>
      <c r="D162" s="10">
        <v>0.31399156719073779</v>
      </c>
      <c r="E162" s="10">
        <v>1.1365854223148799</v>
      </c>
      <c r="F162" s="10">
        <v>0.62134922267502946</v>
      </c>
      <c r="G162" s="10">
        <v>0.36524404793365089</v>
      </c>
      <c r="H162" s="6">
        <v>0.167754061971672</v>
      </c>
      <c r="I162" s="10">
        <v>7.4018603580661839</v>
      </c>
      <c r="J162" s="7">
        <v>2.3399877526984129E-2</v>
      </c>
      <c r="K162" s="5">
        <v>0.1233061407467875</v>
      </c>
      <c r="L162">
        <v>391.20866169239792</v>
      </c>
      <c r="M162" s="10">
        <v>-0.33735728798639869</v>
      </c>
      <c r="N162" s="24" t="s">
        <v>343</v>
      </c>
      <c r="O162" s="24">
        <v>30.75856272081608</v>
      </c>
      <c r="P162">
        <v>15.077336680637149</v>
      </c>
      <c r="Q162" t="s">
        <v>348</v>
      </c>
      <c r="R162" t="s">
        <v>375</v>
      </c>
      <c r="S162" t="s">
        <v>343</v>
      </c>
      <c r="T162" t="s">
        <v>343</v>
      </c>
    </row>
    <row r="163" spans="2:20" x14ac:dyDescent="0.25">
      <c r="B163">
        <v>158</v>
      </c>
      <c r="C163" t="s">
        <v>499</v>
      </c>
      <c r="D163" s="10">
        <v>0.20028516733205831</v>
      </c>
      <c r="E163" s="10">
        <v>1.09826103380622</v>
      </c>
      <c r="F163" s="10">
        <v>0.6759516508090031</v>
      </c>
      <c r="G163" s="10">
        <v>0.3872202659487245</v>
      </c>
      <c r="H163" s="6">
        <v>0.25476671174869547</v>
      </c>
      <c r="I163" s="10">
        <v>13.264116360207741</v>
      </c>
      <c r="J163" s="7">
        <v>1.460138590553234E-2</v>
      </c>
      <c r="K163" s="5">
        <v>0.10559232771832119</v>
      </c>
      <c r="L163">
        <v>582.24760835342659</v>
      </c>
      <c r="M163" s="10">
        <v>-1.376893703311065E-2</v>
      </c>
      <c r="N163" s="24" t="s">
        <v>345</v>
      </c>
      <c r="O163" s="24">
        <v>93.767803927417958</v>
      </c>
      <c r="P163">
        <v>12.56400600954132</v>
      </c>
      <c r="Q163" t="s">
        <v>348</v>
      </c>
      <c r="R163" t="s">
        <v>353</v>
      </c>
      <c r="S163" t="s">
        <v>343</v>
      </c>
      <c r="T163" t="s">
        <v>343</v>
      </c>
    </row>
    <row r="164" spans="2:20" x14ac:dyDescent="0.25">
      <c r="B164">
        <v>159</v>
      </c>
      <c r="C164" t="s">
        <v>500</v>
      </c>
      <c r="D164" s="10">
        <v>0.2395597609427817</v>
      </c>
      <c r="E164" s="10">
        <v>1.061233764668424</v>
      </c>
      <c r="F164" s="10">
        <v>0.67031431567212207</v>
      </c>
      <c r="G164" s="10">
        <v>0.40410187441183792</v>
      </c>
      <c r="H164" s="6">
        <v>0.16959799590899591</v>
      </c>
      <c r="I164" s="10">
        <v>5.456106421785913</v>
      </c>
      <c r="J164" s="7">
        <v>1.782577493044929E-2</v>
      </c>
      <c r="K164" s="5">
        <v>0.1685316585153584</v>
      </c>
      <c r="L164">
        <v>258.25866932542539</v>
      </c>
      <c r="M164" s="10">
        <v>-0.56255256644244878</v>
      </c>
      <c r="N164" s="24" t="s">
        <v>343</v>
      </c>
      <c r="O164" s="24">
        <v>17.246846013453069</v>
      </c>
      <c r="P164">
        <v>68.768013676138054</v>
      </c>
      <c r="Q164" t="s">
        <v>47</v>
      </c>
      <c r="R164" t="s">
        <v>350</v>
      </c>
      <c r="S164" t="s">
        <v>343</v>
      </c>
      <c r="T164" t="s">
        <v>343</v>
      </c>
    </row>
    <row r="165" spans="2:20" x14ac:dyDescent="0.25">
      <c r="B165">
        <v>160</v>
      </c>
      <c r="C165" t="s">
        <v>501</v>
      </c>
      <c r="D165" s="10">
        <v>0.20814052957068321</v>
      </c>
      <c r="E165" s="10">
        <v>1.203693847018217</v>
      </c>
      <c r="F165" s="10">
        <v>0.64496512286150609</v>
      </c>
      <c r="G165" s="10">
        <v>0.26929169300934902</v>
      </c>
      <c r="H165" s="6">
        <v>0.19970211608783919</v>
      </c>
      <c r="I165" s="10">
        <v>4.3360349384010748</v>
      </c>
      <c r="J165" s="7">
        <v>2.7604796724500918E-2</v>
      </c>
      <c r="K165" s="5">
        <v>0.18062504624867051</v>
      </c>
      <c r="L165">
        <v>121.7261610371493</v>
      </c>
      <c r="M165" s="10">
        <v>-0.79381603381756516</v>
      </c>
      <c r="N165" s="24" t="s">
        <v>343</v>
      </c>
      <c r="O165" s="24">
        <v>3.3710379709460909</v>
      </c>
      <c r="P165">
        <v>63.515421449831472</v>
      </c>
      <c r="Q165" t="s">
        <v>47</v>
      </c>
      <c r="R165" t="s">
        <v>350</v>
      </c>
      <c r="S165" t="s">
        <v>343</v>
      </c>
      <c r="T165" t="s">
        <v>343</v>
      </c>
    </row>
    <row r="166" spans="2:20" x14ac:dyDescent="0.25">
      <c r="B166">
        <v>161</v>
      </c>
      <c r="C166" t="s">
        <v>502</v>
      </c>
      <c r="D166" s="10">
        <v>0.20557447910039481</v>
      </c>
      <c r="E166" s="10">
        <v>1.010259735294492</v>
      </c>
      <c r="F166" s="10">
        <v>0.56354918161095735</v>
      </c>
      <c r="G166" s="10">
        <v>0.28410020148718362</v>
      </c>
      <c r="H166" s="6">
        <v>0.1249553005846319</v>
      </c>
      <c r="I166" s="10">
        <v>12.132320029843349</v>
      </c>
      <c r="J166" s="7">
        <v>2.1169855968572411E-2</v>
      </c>
      <c r="K166" s="5">
        <v>0.13914001741588489</v>
      </c>
      <c r="L166">
        <v>308.40267765507969</v>
      </c>
      <c r="M166" s="10">
        <v>-0.47761691719825822</v>
      </c>
      <c r="N166" s="24" t="s">
        <v>343</v>
      </c>
      <c r="O166" s="24">
        <v>22.34298496810451</v>
      </c>
      <c r="P166">
        <v>19.681821277438281</v>
      </c>
      <c r="Q166" t="s">
        <v>348</v>
      </c>
      <c r="R166" t="s">
        <v>353</v>
      </c>
      <c r="S166" t="s">
        <v>343</v>
      </c>
      <c r="T166" t="s">
        <v>343</v>
      </c>
    </row>
    <row r="167" spans="2:20" x14ac:dyDescent="0.25">
      <c r="B167">
        <v>162</v>
      </c>
      <c r="C167" t="s">
        <v>503</v>
      </c>
      <c r="D167" s="10">
        <v>0.16590191157672529</v>
      </c>
      <c r="E167" s="10">
        <v>0.74266034368268019</v>
      </c>
      <c r="F167" s="10">
        <v>0.52011286597700157</v>
      </c>
      <c r="G167" s="10">
        <v>0.39148854355965368</v>
      </c>
      <c r="H167" s="6">
        <v>0.26773536542625542</v>
      </c>
      <c r="I167" s="10">
        <v>9.3460187971936755</v>
      </c>
      <c r="J167" s="7">
        <v>1.7416942609302891E-2</v>
      </c>
      <c r="K167" s="5">
        <v>0.15214687305857991</v>
      </c>
      <c r="L167">
        <v>215.7822822276749</v>
      </c>
      <c r="M167" s="10">
        <v>-0.63450053462195766</v>
      </c>
      <c r="N167" s="24" t="s">
        <v>343</v>
      </c>
      <c r="O167" s="24">
        <v>12.92996792268254</v>
      </c>
      <c r="P167">
        <v>57.136121060763443</v>
      </c>
      <c r="Q167" t="s">
        <v>47</v>
      </c>
      <c r="R167" t="s">
        <v>350</v>
      </c>
      <c r="S167" t="s">
        <v>343</v>
      </c>
      <c r="T167" t="s">
        <v>343</v>
      </c>
    </row>
    <row r="168" spans="2:20" x14ac:dyDescent="0.25">
      <c r="B168">
        <v>163</v>
      </c>
      <c r="C168" t="s">
        <v>504</v>
      </c>
      <c r="D168" s="10">
        <v>0.25753029343678352</v>
      </c>
      <c r="E168" s="10">
        <v>0.81910002090604617</v>
      </c>
      <c r="F168" s="10">
        <v>0.57182696473560635</v>
      </c>
      <c r="G168" s="10">
        <v>0.4270936236372791</v>
      </c>
      <c r="H168" s="6">
        <v>0.2437420061806784</v>
      </c>
      <c r="I168" s="10">
        <v>6.1311204590762003</v>
      </c>
      <c r="J168" s="7">
        <v>2.3772394338042461E-2</v>
      </c>
      <c r="K168" s="5">
        <v>0.12919209659689179</v>
      </c>
      <c r="L168">
        <v>209.93932763488451</v>
      </c>
      <c r="M168" s="10">
        <v>-0.64439753245628306</v>
      </c>
      <c r="N168" s="24" t="s">
        <v>343</v>
      </c>
      <c r="O168" s="24">
        <v>12.33614805262302</v>
      </c>
      <c r="P168">
        <v>61.790531524319007</v>
      </c>
      <c r="Q168" t="s">
        <v>47</v>
      </c>
      <c r="R168" t="s">
        <v>350</v>
      </c>
      <c r="S168" t="s">
        <v>343</v>
      </c>
      <c r="T168" t="s">
        <v>343</v>
      </c>
    </row>
    <row r="169" spans="2:20" x14ac:dyDescent="0.25">
      <c r="B169">
        <v>164</v>
      </c>
      <c r="C169" t="s">
        <v>505</v>
      </c>
      <c r="D169" s="10">
        <v>0.24042864371661779</v>
      </c>
      <c r="E169" s="10">
        <v>1.088397260949596</v>
      </c>
      <c r="F169" s="10">
        <v>0.57053861790315408</v>
      </c>
      <c r="G169" s="10">
        <v>0.3300377021939489</v>
      </c>
      <c r="H169" s="6">
        <v>0.21516014171200151</v>
      </c>
      <c r="I169" s="10">
        <v>7.7564024231866222</v>
      </c>
      <c r="J169" s="7">
        <v>3.4536923749577092E-2</v>
      </c>
      <c r="K169" s="5">
        <v>0.14277095637924481</v>
      </c>
      <c r="L169">
        <v>278.04527388678628</v>
      </c>
      <c r="M169" s="10">
        <v>-0.52903733380071793</v>
      </c>
      <c r="N169" s="24" t="s">
        <v>343</v>
      </c>
      <c r="O169" s="24">
        <v>19.257759971956929</v>
      </c>
      <c r="P169">
        <v>20.032235264656439</v>
      </c>
      <c r="Q169" t="s">
        <v>348</v>
      </c>
      <c r="R169" t="s">
        <v>353</v>
      </c>
      <c r="S169" t="s">
        <v>343</v>
      </c>
      <c r="T169" t="s">
        <v>343</v>
      </c>
    </row>
    <row r="170" spans="2:20" x14ac:dyDescent="0.25">
      <c r="B170">
        <v>165</v>
      </c>
      <c r="C170" t="s">
        <v>506</v>
      </c>
      <c r="D170" s="10">
        <v>0.16823660019999831</v>
      </c>
      <c r="E170" s="10">
        <v>1.2639366326334729</v>
      </c>
      <c r="F170" s="10">
        <v>0.59867164271122775</v>
      </c>
      <c r="G170" s="10">
        <v>0.45557587094366542</v>
      </c>
      <c r="H170" s="6">
        <v>0.12911329096349711</v>
      </c>
      <c r="I170" s="10">
        <v>8.7739574945499346</v>
      </c>
      <c r="J170" s="7">
        <v>1.4179633731034589E-2</v>
      </c>
      <c r="K170" s="5">
        <v>0.1198445239953132</v>
      </c>
      <c r="L170">
        <v>350.91988191748351</v>
      </c>
      <c r="M170" s="10">
        <v>-0.40559981149872198</v>
      </c>
      <c r="N170" s="24" t="s">
        <v>343</v>
      </c>
      <c r="O170" s="24">
        <v>26.664011310076681</v>
      </c>
      <c r="P170">
        <v>52.426771169260711</v>
      </c>
      <c r="Q170" t="s">
        <v>47</v>
      </c>
      <c r="R170" t="s">
        <v>350</v>
      </c>
      <c r="S170" t="s">
        <v>343</v>
      </c>
      <c r="T170" t="s">
        <v>343</v>
      </c>
    </row>
    <row r="171" spans="2:20" x14ac:dyDescent="0.25">
      <c r="B171">
        <v>166</v>
      </c>
      <c r="C171" t="s">
        <v>507</v>
      </c>
      <c r="D171" s="10">
        <v>0.2045834342778578</v>
      </c>
      <c r="E171" s="10">
        <v>0.59944068092375313</v>
      </c>
      <c r="F171" s="10">
        <v>0.48838536762355511</v>
      </c>
      <c r="G171" s="10">
        <v>0.28753578118814199</v>
      </c>
      <c r="H171" s="6">
        <v>0.13123049420591709</v>
      </c>
      <c r="I171" s="10">
        <v>9.5135428252007816</v>
      </c>
      <c r="J171" s="7">
        <v>2.678580558762652E-2</v>
      </c>
      <c r="K171" s="5">
        <v>0.1721892467699713</v>
      </c>
      <c r="L171">
        <v>157.57239725113581</v>
      </c>
      <c r="M171" s="10">
        <v>-0.7330984436763911</v>
      </c>
      <c r="N171" s="24" t="s">
        <v>343</v>
      </c>
      <c r="O171" s="24">
        <v>7.0140933794165363</v>
      </c>
      <c r="P171">
        <v>64.118801249462109</v>
      </c>
      <c r="Q171" t="s">
        <v>47</v>
      </c>
      <c r="R171" t="s">
        <v>350</v>
      </c>
      <c r="S171" t="s">
        <v>343</v>
      </c>
      <c r="T171" t="s">
        <v>343</v>
      </c>
    </row>
    <row r="172" spans="2:20" x14ac:dyDescent="0.25">
      <c r="B172">
        <v>167</v>
      </c>
      <c r="C172" t="s">
        <v>508</v>
      </c>
      <c r="D172" s="10">
        <v>0.30532254175466461</v>
      </c>
      <c r="E172" s="10">
        <v>0.67628447556817783</v>
      </c>
      <c r="F172" s="10">
        <v>0.61046116891569702</v>
      </c>
      <c r="G172" s="10">
        <v>0.33167384204955652</v>
      </c>
      <c r="H172" s="6">
        <v>0.20174604461860349</v>
      </c>
      <c r="I172" s="10">
        <v>12.031561252323209</v>
      </c>
      <c r="J172" s="7">
        <v>1.9615189801487881E-2</v>
      </c>
      <c r="K172" s="5">
        <v>0.146731619838634</v>
      </c>
      <c r="L172">
        <v>193.074895594917</v>
      </c>
      <c r="M172" s="10">
        <v>-0.67296308858479226</v>
      </c>
      <c r="N172" s="24" t="s">
        <v>343</v>
      </c>
      <c r="O172" s="24">
        <v>10.622214684912461</v>
      </c>
      <c r="P172">
        <v>55.527481761602992</v>
      </c>
      <c r="Q172" t="s">
        <v>47</v>
      </c>
      <c r="R172" t="s">
        <v>350</v>
      </c>
      <c r="S172" t="s">
        <v>343</v>
      </c>
      <c r="T172" t="s">
        <v>343</v>
      </c>
    </row>
    <row r="173" spans="2:20" x14ac:dyDescent="0.25">
      <c r="B173">
        <v>168</v>
      </c>
      <c r="C173" t="s">
        <v>509</v>
      </c>
      <c r="D173" s="10">
        <v>0.19832990250671559</v>
      </c>
      <c r="E173" s="10">
        <v>1.3238133359986539</v>
      </c>
      <c r="F173" s="10">
        <v>0.55871624029351208</v>
      </c>
      <c r="G173" s="10">
        <v>0.32327506956191571</v>
      </c>
      <c r="H173" s="6">
        <v>0.16275966543051509</v>
      </c>
      <c r="I173" s="10">
        <v>7.3378756020161697</v>
      </c>
      <c r="J173" s="7">
        <v>2.3251730573898479E-2</v>
      </c>
      <c r="K173" s="5">
        <v>0.15197987255505249</v>
      </c>
      <c r="L173">
        <v>354.25805199258622</v>
      </c>
      <c r="M173" s="10">
        <v>-0.39994550399397671</v>
      </c>
      <c r="N173" s="24" t="s">
        <v>343</v>
      </c>
      <c r="O173" s="24">
        <v>27.003269760361398</v>
      </c>
      <c r="P173">
        <v>59.735718055992329</v>
      </c>
      <c r="Q173" t="s">
        <v>47</v>
      </c>
      <c r="R173" t="s">
        <v>350</v>
      </c>
      <c r="S173" t="s">
        <v>343</v>
      </c>
      <c r="T173" t="s">
        <v>343</v>
      </c>
    </row>
    <row r="174" spans="2:20" x14ac:dyDescent="0.25">
      <c r="B174">
        <v>169</v>
      </c>
      <c r="C174" t="s">
        <v>510</v>
      </c>
      <c r="D174" s="10">
        <v>0.1831831795345957</v>
      </c>
      <c r="E174" s="10">
        <v>0.93636297165038984</v>
      </c>
      <c r="F174" s="10">
        <v>0.60125325630462334</v>
      </c>
      <c r="G174" s="10">
        <v>0.44466510695981443</v>
      </c>
      <c r="H174" s="6">
        <v>0.21341841712547599</v>
      </c>
      <c r="I174" s="10">
        <v>10.44153424549075</v>
      </c>
      <c r="J174" s="7">
        <v>3.8754431261786751E-2</v>
      </c>
      <c r="K174" s="5">
        <v>0.1035233674348162</v>
      </c>
      <c r="L174">
        <v>236.6920707030369</v>
      </c>
      <c r="M174" s="10">
        <v>-0.5990828143623812</v>
      </c>
      <c r="N174" s="24" t="s">
        <v>343</v>
      </c>
      <c r="O174" s="24">
        <v>15.05503113825713</v>
      </c>
      <c r="P174">
        <v>49.808760093138083</v>
      </c>
      <c r="Q174" t="s">
        <v>346</v>
      </c>
      <c r="R174" t="s">
        <v>347</v>
      </c>
      <c r="S174" t="s">
        <v>343</v>
      </c>
      <c r="T174" t="s">
        <v>343</v>
      </c>
    </row>
    <row r="175" spans="2:20" x14ac:dyDescent="0.25">
      <c r="B175">
        <v>170</v>
      </c>
      <c r="C175" t="s">
        <v>511</v>
      </c>
      <c r="D175" s="10">
        <v>0.23831244164441009</v>
      </c>
      <c r="E175" s="10">
        <v>0.49685799884850113</v>
      </c>
      <c r="F175" s="10">
        <v>0.50229725395908187</v>
      </c>
      <c r="G175" s="10">
        <v>0.30278327386595871</v>
      </c>
      <c r="H175" s="6">
        <v>0.20972887227716591</v>
      </c>
      <c r="I175" s="10">
        <v>12.182436711405551</v>
      </c>
      <c r="J175" s="7">
        <v>4.2540549289654998E-2</v>
      </c>
      <c r="K175" s="5">
        <v>0.15912784726786799</v>
      </c>
      <c r="L175">
        <v>139.76184758765811</v>
      </c>
      <c r="M175" s="10">
        <v>-0.76326656643830371</v>
      </c>
      <c r="N175" s="24" t="s">
        <v>343</v>
      </c>
      <c r="O175" s="24">
        <v>5.204006013701779</v>
      </c>
      <c r="P175">
        <v>62.744386713462902</v>
      </c>
      <c r="Q175" t="s">
        <v>47</v>
      </c>
      <c r="R175" t="s">
        <v>350</v>
      </c>
      <c r="S175" t="s">
        <v>343</v>
      </c>
      <c r="T175" t="s">
        <v>343</v>
      </c>
    </row>
    <row r="176" spans="2:20" x14ac:dyDescent="0.25">
      <c r="B176">
        <v>171</v>
      </c>
      <c r="C176" t="s">
        <v>512</v>
      </c>
      <c r="D176" s="10">
        <v>0.31770407265769612</v>
      </c>
      <c r="E176" s="10">
        <v>1.030064652803621</v>
      </c>
      <c r="F176" s="10">
        <v>0.55294267240811223</v>
      </c>
      <c r="G176" s="10">
        <v>0.34357397116928751</v>
      </c>
      <c r="H176" s="6">
        <v>0.24579770974189469</v>
      </c>
      <c r="I176" s="10">
        <v>12.28150801553832</v>
      </c>
      <c r="J176" s="7">
        <v>1.8504226679233592E-2</v>
      </c>
      <c r="K176" s="5">
        <v>0.11925230214073999</v>
      </c>
      <c r="L176">
        <v>560.87535348531958</v>
      </c>
      <c r="M176" s="10">
        <v>-4.9969998805060492E-2</v>
      </c>
      <c r="N176" s="24" t="s">
        <v>345</v>
      </c>
      <c r="O176" s="24">
        <v>80.01140045407702</v>
      </c>
      <c r="P176">
        <v>14.3391066433106</v>
      </c>
      <c r="Q176" t="s">
        <v>348</v>
      </c>
      <c r="R176" t="s">
        <v>375</v>
      </c>
      <c r="S176" t="s">
        <v>343</v>
      </c>
      <c r="T176" t="s">
        <v>343</v>
      </c>
    </row>
    <row r="177" spans="2:20" x14ac:dyDescent="0.25">
      <c r="B177">
        <v>172</v>
      </c>
      <c r="C177" t="s">
        <v>513</v>
      </c>
      <c r="D177" s="10">
        <v>0.19872884344184011</v>
      </c>
      <c r="E177" s="10">
        <v>1.389838371093318</v>
      </c>
      <c r="F177" s="10">
        <v>0.49465231575765528</v>
      </c>
      <c r="G177" s="10">
        <v>0.2811914447153725</v>
      </c>
      <c r="H177" s="6">
        <v>0.16220655910689641</v>
      </c>
      <c r="I177" s="10">
        <v>5.7966972554006659</v>
      </c>
      <c r="J177" s="7">
        <v>3.2048983489032151E-2</v>
      </c>
      <c r="K177" s="5">
        <v>0.13642249121466279</v>
      </c>
      <c r="L177">
        <v>257.38411132565568</v>
      </c>
      <c r="M177" s="10">
        <v>-0.56403392291925469</v>
      </c>
      <c r="N177" s="24" t="s">
        <v>343</v>
      </c>
      <c r="O177" s="24">
        <v>17.15796462484472</v>
      </c>
      <c r="P177">
        <v>21.918900106011961</v>
      </c>
      <c r="Q177" t="s">
        <v>348</v>
      </c>
      <c r="R177" t="s">
        <v>375</v>
      </c>
      <c r="S177" t="s">
        <v>343</v>
      </c>
      <c r="T177" t="s">
        <v>343</v>
      </c>
    </row>
    <row r="178" spans="2:20" x14ac:dyDescent="0.25">
      <c r="B178">
        <v>173</v>
      </c>
      <c r="C178" t="s">
        <v>514</v>
      </c>
      <c r="D178" s="10">
        <v>0.26754168758494062</v>
      </c>
      <c r="E178" s="10">
        <v>1.20579892091744</v>
      </c>
      <c r="F178" s="10">
        <v>0.66757934075676839</v>
      </c>
      <c r="G178" s="10">
        <v>0.35467857248373758</v>
      </c>
      <c r="H178" s="6">
        <v>0.20667952867364889</v>
      </c>
      <c r="I178" s="10">
        <v>6.851903486751354</v>
      </c>
      <c r="J178" s="7">
        <v>3.3683704795351037E-2</v>
      </c>
      <c r="K178" s="5">
        <v>0.13920799150910501</v>
      </c>
      <c r="L178">
        <v>131.83092393754771</v>
      </c>
      <c r="M178" s="10">
        <v>-0.7767002382122028</v>
      </c>
      <c r="N178" s="24" t="s">
        <v>343</v>
      </c>
      <c r="O178" s="24">
        <v>4.3979857072678286</v>
      </c>
      <c r="P178">
        <v>48.587974172408693</v>
      </c>
      <c r="Q178" t="s">
        <v>346</v>
      </c>
      <c r="R178" t="s">
        <v>347</v>
      </c>
      <c r="S178" t="s">
        <v>343</v>
      </c>
      <c r="T178" t="s">
        <v>343</v>
      </c>
    </row>
    <row r="179" spans="2:20" x14ac:dyDescent="0.25">
      <c r="B179">
        <v>174</v>
      </c>
      <c r="C179" t="s">
        <v>515</v>
      </c>
      <c r="D179" s="10">
        <v>0.2818591384525948</v>
      </c>
      <c r="E179" s="10">
        <v>1.120315250206543</v>
      </c>
      <c r="F179" s="10">
        <v>0.56686987171079972</v>
      </c>
      <c r="G179" s="10">
        <v>0.42862891728198999</v>
      </c>
      <c r="H179" s="6">
        <v>0.23660449782581419</v>
      </c>
      <c r="I179" s="10">
        <v>9.5439663768843577</v>
      </c>
      <c r="J179" s="7">
        <v>3.9487009964385138E-2</v>
      </c>
      <c r="K179" s="5">
        <v>0.1426295967613686</v>
      </c>
      <c r="L179">
        <v>360.15350702063051</v>
      </c>
      <c r="M179" s="10">
        <v>-0.38995957911328172</v>
      </c>
      <c r="N179" s="24" t="s">
        <v>343</v>
      </c>
      <c r="O179" s="24">
        <v>27.602425253203101</v>
      </c>
      <c r="P179">
        <v>16.079450039439219</v>
      </c>
      <c r="Q179" t="s">
        <v>348</v>
      </c>
      <c r="R179" t="s">
        <v>353</v>
      </c>
      <c r="S179" t="s">
        <v>343</v>
      </c>
      <c r="T179" t="s">
        <v>343</v>
      </c>
    </row>
    <row r="180" spans="2:20" x14ac:dyDescent="0.25">
      <c r="B180">
        <v>175</v>
      </c>
      <c r="C180" t="s">
        <v>516</v>
      </c>
      <c r="D180" s="10">
        <v>0.19802200703878389</v>
      </c>
      <c r="E180" s="10">
        <v>0.52885131969289612</v>
      </c>
      <c r="F180" s="10">
        <v>0.49849516804919108</v>
      </c>
      <c r="G180" s="10">
        <v>0.30688868161592409</v>
      </c>
      <c r="H180" s="6">
        <v>0.19361594794834891</v>
      </c>
      <c r="I180" s="10">
        <v>12.743496303716411</v>
      </c>
      <c r="J180" s="7">
        <v>4.1466486397541892E-2</v>
      </c>
      <c r="K180" s="5">
        <v>0.1216064569659025</v>
      </c>
      <c r="L180">
        <v>204.36361047600789</v>
      </c>
      <c r="M180" s="10">
        <v>-0.65384187431618757</v>
      </c>
      <c r="N180" s="24" t="s">
        <v>343</v>
      </c>
      <c r="O180" s="24">
        <v>11.76948754102875</v>
      </c>
      <c r="P180">
        <v>22.88980217536168</v>
      </c>
      <c r="Q180" t="s">
        <v>348</v>
      </c>
      <c r="R180" t="s">
        <v>371</v>
      </c>
      <c r="S180" t="s">
        <v>343</v>
      </c>
      <c r="T180" t="s">
        <v>343</v>
      </c>
    </row>
    <row r="181" spans="2:20" x14ac:dyDescent="0.25">
      <c r="B181">
        <v>176</v>
      </c>
      <c r="C181" t="s">
        <v>517</v>
      </c>
      <c r="D181" s="10">
        <v>0.27651461577789749</v>
      </c>
      <c r="E181" s="10">
        <v>1.2637537631524081</v>
      </c>
      <c r="F181" s="10">
        <v>0.45071426089280198</v>
      </c>
      <c r="G181" s="10">
        <v>0.41837425587582222</v>
      </c>
      <c r="H181" s="6">
        <v>0.24459654974084169</v>
      </c>
      <c r="I181" s="10">
        <v>11.69490695361085</v>
      </c>
      <c r="J181" s="7">
        <v>2.6379712913690911E-2</v>
      </c>
      <c r="K181" s="5">
        <v>0.18076047134798581</v>
      </c>
      <c r="L181">
        <v>197.63894393322681</v>
      </c>
      <c r="M181" s="10">
        <v>-0.66523234623472449</v>
      </c>
      <c r="N181" s="24" t="s">
        <v>343</v>
      </c>
      <c r="O181" s="24">
        <v>11.08605922591653</v>
      </c>
      <c r="P181">
        <v>10.921577168169479</v>
      </c>
      <c r="Q181" t="s">
        <v>348</v>
      </c>
      <c r="R181" t="s">
        <v>371</v>
      </c>
      <c r="S181" t="s">
        <v>343</v>
      </c>
      <c r="T181" t="s">
        <v>343</v>
      </c>
    </row>
    <row r="182" spans="2:20" x14ac:dyDescent="0.25">
      <c r="B182">
        <v>177</v>
      </c>
      <c r="C182" t="s">
        <v>518</v>
      </c>
      <c r="D182" s="10">
        <v>0.2188453012350805</v>
      </c>
      <c r="E182" s="10">
        <v>0.87836772788910111</v>
      </c>
      <c r="F182" s="10">
        <v>0.61569205280992079</v>
      </c>
      <c r="G182" s="10">
        <v>0.44048854807863769</v>
      </c>
      <c r="H182" s="6">
        <v>0.13969143023606589</v>
      </c>
      <c r="I182" s="10">
        <v>9.423591915578438</v>
      </c>
      <c r="J182" s="7">
        <v>4.4390147583697498E-2</v>
      </c>
      <c r="K182" s="5">
        <v>0.14064576431693909</v>
      </c>
      <c r="L182">
        <v>320.22002544762358</v>
      </c>
      <c r="M182" s="10">
        <v>-0.45760028628783012</v>
      </c>
      <c r="N182" s="24" t="s">
        <v>343</v>
      </c>
      <c r="O182" s="24">
        <v>23.5439828227302</v>
      </c>
      <c r="P182">
        <v>52.237207287689202</v>
      </c>
      <c r="Q182" t="s">
        <v>47</v>
      </c>
      <c r="R182" t="s">
        <v>350</v>
      </c>
      <c r="S182" t="s">
        <v>343</v>
      </c>
      <c r="T182" t="s">
        <v>343</v>
      </c>
    </row>
    <row r="183" spans="2:20" x14ac:dyDescent="0.25">
      <c r="B183">
        <v>178</v>
      </c>
      <c r="C183" t="s">
        <v>519</v>
      </c>
      <c r="D183" s="10">
        <v>0.26116893289497273</v>
      </c>
      <c r="E183" s="10">
        <v>1.2782190242791509</v>
      </c>
      <c r="F183" s="10">
        <v>0.49580762563733649</v>
      </c>
      <c r="G183" s="10">
        <v>0.25605073573720399</v>
      </c>
      <c r="H183" s="6">
        <v>0.23008466477207151</v>
      </c>
      <c r="I183" s="10">
        <v>13.82106993686228</v>
      </c>
      <c r="J183" s="7">
        <v>4.3979014075897202E-2</v>
      </c>
      <c r="K183" s="5">
        <v>0.15815277350128479</v>
      </c>
      <c r="L183">
        <v>222.90608196923901</v>
      </c>
      <c r="M183" s="10">
        <v>-0.62243399713740799</v>
      </c>
      <c r="N183" s="24" t="s">
        <v>343</v>
      </c>
      <c r="O183" s="24">
        <v>13.65396017175552</v>
      </c>
      <c r="P183">
        <v>12.658276487116771</v>
      </c>
      <c r="Q183" t="s">
        <v>348</v>
      </c>
      <c r="R183" t="s">
        <v>371</v>
      </c>
      <c r="S183" t="s">
        <v>343</v>
      </c>
      <c r="T183" t="s">
        <v>343</v>
      </c>
    </row>
    <row r="184" spans="2:20" x14ac:dyDescent="0.25">
      <c r="B184">
        <v>179</v>
      </c>
      <c r="C184" t="s">
        <v>520</v>
      </c>
      <c r="D184" s="10">
        <v>0.26136475372174323</v>
      </c>
      <c r="E184" s="10">
        <v>0.66281061236736716</v>
      </c>
      <c r="F184" s="10">
        <v>0.69729137000288233</v>
      </c>
      <c r="G184" s="10">
        <v>0.40641339799023518</v>
      </c>
      <c r="H184" s="6">
        <v>0.26144731372814678</v>
      </c>
      <c r="I184" s="10">
        <v>7.828859523657858</v>
      </c>
      <c r="J184" s="7">
        <v>2.7726378979346409E-2</v>
      </c>
      <c r="K184" s="5">
        <v>0.15832406684090841</v>
      </c>
      <c r="L184">
        <v>150.87965790258309</v>
      </c>
      <c r="M184" s="10">
        <v>-0.7444348362131501</v>
      </c>
      <c r="N184" s="24" t="s">
        <v>343</v>
      </c>
      <c r="O184" s="24">
        <v>6.3339098272109879</v>
      </c>
      <c r="P184">
        <v>62.055416899544497</v>
      </c>
      <c r="Q184" t="s">
        <v>47</v>
      </c>
      <c r="R184" t="s">
        <v>350</v>
      </c>
      <c r="S184" t="s">
        <v>343</v>
      </c>
      <c r="T184" t="s">
        <v>343</v>
      </c>
    </row>
    <row r="185" spans="2:20" x14ac:dyDescent="0.25">
      <c r="B185">
        <v>180</v>
      </c>
      <c r="C185" t="s">
        <v>521</v>
      </c>
      <c r="D185" s="10">
        <v>0.24572394945196141</v>
      </c>
      <c r="E185" s="10">
        <v>0.36825615789897598</v>
      </c>
      <c r="F185" s="10">
        <v>0.57876209708794457</v>
      </c>
      <c r="G185" s="10">
        <v>0.29617555595310802</v>
      </c>
      <c r="H185" s="6">
        <v>0.1697824981490349</v>
      </c>
      <c r="I185" s="10">
        <v>12.266956283048721</v>
      </c>
      <c r="J185" s="7">
        <v>2.8971124222640952E-2</v>
      </c>
      <c r="K185" s="5">
        <v>0.15766354407002969</v>
      </c>
      <c r="L185">
        <v>119.93178265818599</v>
      </c>
      <c r="M185" s="10">
        <v>-0.79685541374916213</v>
      </c>
      <c r="N185" s="24" t="s">
        <v>343</v>
      </c>
      <c r="O185" s="24">
        <v>3.1886751750502711</v>
      </c>
      <c r="P185">
        <v>63.00314708436747</v>
      </c>
      <c r="Q185" t="s">
        <v>47</v>
      </c>
      <c r="R185" t="s">
        <v>350</v>
      </c>
      <c r="S185" t="s">
        <v>343</v>
      </c>
      <c r="T185" t="s">
        <v>343</v>
      </c>
    </row>
    <row r="186" spans="2:20" x14ac:dyDescent="0.25">
      <c r="B186">
        <v>181</v>
      </c>
      <c r="C186" t="s">
        <v>522</v>
      </c>
      <c r="D186" s="10">
        <v>0.1744463632087053</v>
      </c>
      <c r="E186" s="10">
        <v>0.82357356552572059</v>
      </c>
      <c r="F186" s="10">
        <v>0.5151340190244883</v>
      </c>
      <c r="G186" s="10">
        <v>0.27857208575805842</v>
      </c>
      <c r="H186" s="6">
        <v>0.1749504663617947</v>
      </c>
      <c r="I186" s="10">
        <v>12.00262417970241</v>
      </c>
      <c r="J186" s="7">
        <v>3.3371244384281462E-2</v>
      </c>
      <c r="K186" s="5">
        <v>0.1531352108502117</v>
      </c>
      <c r="L186">
        <v>165.12860336580741</v>
      </c>
      <c r="M186" s="10">
        <v>-0.72029948137658228</v>
      </c>
      <c r="N186" s="24" t="s">
        <v>343</v>
      </c>
      <c r="O186" s="24">
        <v>7.7820311174050687</v>
      </c>
      <c r="P186">
        <v>62.382638345505427</v>
      </c>
      <c r="Q186" t="s">
        <v>47</v>
      </c>
      <c r="R186" t="s">
        <v>350</v>
      </c>
      <c r="S186" t="s">
        <v>343</v>
      </c>
      <c r="T186" t="s">
        <v>343</v>
      </c>
    </row>
    <row r="187" spans="2:20" x14ac:dyDescent="0.25">
      <c r="B187">
        <v>182</v>
      </c>
      <c r="C187" t="s">
        <v>523</v>
      </c>
      <c r="D187" s="10">
        <v>0.29364839929427811</v>
      </c>
      <c r="E187" s="10">
        <v>0.59682136529966545</v>
      </c>
      <c r="F187" s="10">
        <v>0.61099613278608389</v>
      </c>
      <c r="G187" s="10">
        <v>0.37224692624550793</v>
      </c>
      <c r="H187" s="6">
        <v>0.1325324515786282</v>
      </c>
      <c r="I187" s="10">
        <v>12.988421428373099</v>
      </c>
      <c r="J187" s="7">
        <v>2.308356504769277E-2</v>
      </c>
      <c r="K187" s="5">
        <v>0.1781494460851549</v>
      </c>
      <c r="L187">
        <v>292.34056194576578</v>
      </c>
      <c r="M187" s="10">
        <v>-0.50482348227851925</v>
      </c>
      <c r="N187" s="24" t="s">
        <v>343</v>
      </c>
      <c r="O187" s="24">
        <v>20.710591063288849</v>
      </c>
      <c r="P187">
        <v>51.541639073614753</v>
      </c>
      <c r="Q187" t="s">
        <v>47</v>
      </c>
      <c r="R187" t="s">
        <v>350</v>
      </c>
      <c r="S187" t="s">
        <v>343</v>
      </c>
      <c r="T187" t="s">
        <v>343</v>
      </c>
    </row>
    <row r="188" spans="2:20" x14ac:dyDescent="0.25">
      <c r="B188">
        <v>183</v>
      </c>
      <c r="C188" t="s">
        <v>524</v>
      </c>
      <c r="D188" s="10">
        <v>0.21132481039547771</v>
      </c>
      <c r="E188" s="10">
        <v>1.086752218753928</v>
      </c>
      <c r="F188" s="10">
        <v>0.51155718009390228</v>
      </c>
      <c r="G188" s="10">
        <v>0.39523257557031388</v>
      </c>
      <c r="H188" s="6">
        <v>0.21622391693620679</v>
      </c>
      <c r="I188" s="10">
        <v>13.864461905277331</v>
      </c>
      <c r="J188" s="7">
        <v>3.3171536986860893E-2</v>
      </c>
      <c r="K188" s="5">
        <v>0.17719869230598301</v>
      </c>
      <c r="L188">
        <v>411.99132439476062</v>
      </c>
      <c r="M188" s="10">
        <v>-0.30215489774181392</v>
      </c>
      <c r="N188" s="24" t="s">
        <v>343</v>
      </c>
      <c r="O188" s="24">
        <v>32.870706135491169</v>
      </c>
      <c r="P188">
        <v>25.480477288139049</v>
      </c>
      <c r="Q188" t="s">
        <v>348</v>
      </c>
      <c r="R188" t="s">
        <v>375</v>
      </c>
      <c r="S188" t="s">
        <v>343</v>
      </c>
      <c r="T188" t="s">
        <v>343</v>
      </c>
    </row>
    <row r="189" spans="2:20" x14ac:dyDescent="0.25">
      <c r="B189">
        <v>184</v>
      </c>
      <c r="C189" t="s">
        <v>525</v>
      </c>
      <c r="D189" s="10">
        <v>0.18984296166397671</v>
      </c>
      <c r="E189" s="10">
        <v>1.3528172081416361</v>
      </c>
      <c r="F189" s="10">
        <v>0.65327131641653402</v>
      </c>
      <c r="G189" s="10">
        <v>0.32684741686174701</v>
      </c>
      <c r="H189" s="6">
        <v>0.2028676088452305</v>
      </c>
      <c r="I189" s="10">
        <v>8.4526636733781189</v>
      </c>
      <c r="J189" s="7">
        <v>2.7999988777914799E-2</v>
      </c>
      <c r="K189" s="5">
        <v>0.1396287343974616</v>
      </c>
      <c r="L189">
        <v>184.70645696822621</v>
      </c>
      <c r="M189" s="10">
        <v>-0.68713783830255259</v>
      </c>
      <c r="N189" s="24" t="s">
        <v>343</v>
      </c>
      <c r="O189" s="24">
        <v>9.7717297018468443</v>
      </c>
      <c r="P189">
        <v>59.430276174033658</v>
      </c>
      <c r="Q189" t="s">
        <v>47</v>
      </c>
      <c r="R189" t="s">
        <v>350</v>
      </c>
      <c r="S189" t="s">
        <v>343</v>
      </c>
      <c r="T189" t="s">
        <v>343</v>
      </c>
    </row>
    <row r="190" spans="2:20" x14ac:dyDescent="0.25">
      <c r="B190">
        <v>185</v>
      </c>
      <c r="C190" t="s">
        <v>526</v>
      </c>
      <c r="D190" s="10">
        <v>0.1665240226487622</v>
      </c>
      <c r="E190" s="10">
        <v>1.0600715662667199</v>
      </c>
      <c r="F190" s="10">
        <v>0.52014137324178489</v>
      </c>
      <c r="G190" s="10">
        <v>0.24861821555808189</v>
      </c>
      <c r="H190" s="6">
        <v>0.1260518638098552</v>
      </c>
      <c r="I190" s="10">
        <v>5.1519261357373196</v>
      </c>
      <c r="J190" s="7">
        <v>1.124028680220337E-2</v>
      </c>
      <c r="K190" s="5">
        <v>0.16040537457240911</v>
      </c>
      <c r="L190">
        <v>126.0811584185363</v>
      </c>
      <c r="M190" s="10">
        <v>-0.78643938918211609</v>
      </c>
      <c r="N190" s="24" t="s">
        <v>343</v>
      </c>
      <c r="O190" s="24">
        <v>3.81363664907304</v>
      </c>
      <c r="P190">
        <v>60.938714266815893</v>
      </c>
      <c r="Q190" t="s">
        <v>47</v>
      </c>
      <c r="R190" t="s">
        <v>350</v>
      </c>
      <c r="S190" t="s">
        <v>343</v>
      </c>
      <c r="T190" t="s">
        <v>343</v>
      </c>
    </row>
    <row r="191" spans="2:20" x14ac:dyDescent="0.25">
      <c r="B191">
        <v>186</v>
      </c>
      <c r="C191" t="s">
        <v>527</v>
      </c>
      <c r="D191" s="10">
        <v>0.25454287091011868</v>
      </c>
      <c r="E191" s="10">
        <v>1.275627322680124</v>
      </c>
      <c r="F191" s="10">
        <v>0.69694441042293631</v>
      </c>
      <c r="G191" s="10">
        <v>0.43991499532329448</v>
      </c>
      <c r="H191" s="6">
        <v>0.23283180404569681</v>
      </c>
      <c r="I191" s="10">
        <v>8.0698489251096639</v>
      </c>
      <c r="J191" s="7">
        <v>3.9845512783686282E-2</v>
      </c>
      <c r="K191" s="5">
        <v>0.10976877823003529</v>
      </c>
      <c r="L191">
        <v>468.84842139712703</v>
      </c>
      <c r="M191" s="10">
        <v>-0.20584838757437651</v>
      </c>
      <c r="N191" s="24" t="s">
        <v>343</v>
      </c>
      <c r="O191" s="24">
        <v>38.649096745537413</v>
      </c>
      <c r="P191">
        <v>15.03192173128285</v>
      </c>
      <c r="Q191" t="s">
        <v>348</v>
      </c>
      <c r="R191" t="s">
        <v>351</v>
      </c>
      <c r="S191" t="s">
        <v>343</v>
      </c>
      <c r="T191" t="s">
        <v>343</v>
      </c>
    </row>
    <row r="192" spans="2:20" x14ac:dyDescent="0.25">
      <c r="B192">
        <v>187</v>
      </c>
      <c r="C192" t="s">
        <v>528</v>
      </c>
      <c r="D192" s="10">
        <v>0.26841029789476523</v>
      </c>
      <c r="E192" s="10">
        <v>0.79832641496132695</v>
      </c>
      <c r="F192" s="10">
        <v>0.59733764421577629</v>
      </c>
      <c r="G192" s="10">
        <v>0.40076432170644888</v>
      </c>
      <c r="H192" s="6">
        <v>0.2443926743617538</v>
      </c>
      <c r="I192" s="10">
        <v>12.39273364683975</v>
      </c>
      <c r="J192" s="7">
        <v>4.2915603040495298E-2</v>
      </c>
      <c r="K192" s="5">
        <v>0.1086234044354933</v>
      </c>
      <c r="L192">
        <v>222.8412856405466</v>
      </c>
      <c r="M192" s="10">
        <v>-0.62254375139179374</v>
      </c>
      <c r="N192" s="24" t="s">
        <v>343</v>
      </c>
      <c r="O192" s="24">
        <v>13.647374916492369</v>
      </c>
      <c r="P192">
        <v>50.574237386186446</v>
      </c>
      <c r="Q192" t="s">
        <v>47</v>
      </c>
      <c r="R192" t="s">
        <v>350</v>
      </c>
      <c r="S192" t="s">
        <v>343</v>
      </c>
      <c r="T192" t="s">
        <v>343</v>
      </c>
    </row>
    <row r="193" spans="2:20" x14ac:dyDescent="0.25">
      <c r="B193">
        <v>188</v>
      </c>
      <c r="C193" t="s">
        <v>529</v>
      </c>
      <c r="D193" s="10">
        <v>0.162654052628457</v>
      </c>
      <c r="E193" s="10">
        <v>1.1488048109148321</v>
      </c>
      <c r="F193" s="10">
        <v>0.65954689872509242</v>
      </c>
      <c r="G193" s="10">
        <v>0.29976669747026319</v>
      </c>
      <c r="H193" s="6">
        <v>0.25606794062111321</v>
      </c>
      <c r="I193" s="10">
        <v>12.19717297680975</v>
      </c>
      <c r="J193" s="7">
        <v>1.0918017749144859E-2</v>
      </c>
      <c r="K193" s="5">
        <v>0.1455920585245199</v>
      </c>
      <c r="L193">
        <v>156.76195404601961</v>
      </c>
      <c r="M193" s="10">
        <v>-0.73447120030465185</v>
      </c>
      <c r="N193" s="24" t="s">
        <v>343</v>
      </c>
      <c r="O193" s="24">
        <v>6.9317279817208828</v>
      </c>
      <c r="P193">
        <v>47.918595733647088</v>
      </c>
      <c r="Q193" t="s">
        <v>346</v>
      </c>
      <c r="R193" t="s">
        <v>347</v>
      </c>
      <c r="S193" t="s">
        <v>343</v>
      </c>
      <c r="T193" t="s">
        <v>343</v>
      </c>
    </row>
    <row r="194" spans="2:20" x14ac:dyDescent="0.25">
      <c r="B194">
        <v>189</v>
      </c>
      <c r="C194" t="s">
        <v>530</v>
      </c>
      <c r="D194" s="10">
        <v>0.24193488932788501</v>
      </c>
      <c r="E194" s="10">
        <v>1.2273477803388739</v>
      </c>
      <c r="F194" s="10">
        <v>0.4589320220903898</v>
      </c>
      <c r="G194" s="10">
        <v>0.34931004826384282</v>
      </c>
      <c r="H194" s="6">
        <v>0.2018601129255963</v>
      </c>
      <c r="I194" s="10">
        <v>6.6956689834549064</v>
      </c>
      <c r="J194" s="7">
        <v>3.7624163658254967E-2</v>
      </c>
      <c r="K194" s="5">
        <v>0.185519382242572</v>
      </c>
      <c r="L194">
        <v>103.3323750860998</v>
      </c>
      <c r="M194" s="10">
        <v>-0.8249720623013741</v>
      </c>
      <c r="N194" s="24" t="s">
        <v>343</v>
      </c>
      <c r="O194" s="24">
        <v>1.5016762619175521</v>
      </c>
      <c r="P194">
        <v>54.492564490399893</v>
      </c>
      <c r="Q194" t="s">
        <v>47</v>
      </c>
      <c r="R194" t="s">
        <v>350</v>
      </c>
      <c r="S194" t="s">
        <v>343</v>
      </c>
      <c r="T194" t="s">
        <v>343</v>
      </c>
    </row>
    <row r="195" spans="2:20" x14ac:dyDescent="0.25">
      <c r="B195">
        <v>190</v>
      </c>
      <c r="C195" t="s">
        <v>531</v>
      </c>
      <c r="D195" s="10">
        <v>0.1962393240316701</v>
      </c>
      <c r="E195" s="10">
        <v>1.081963190341896</v>
      </c>
      <c r="F195" s="10">
        <v>0.53055784852040888</v>
      </c>
      <c r="G195" s="10">
        <v>0.24611441379275709</v>
      </c>
      <c r="H195" s="6">
        <v>0.18788700523526361</v>
      </c>
      <c r="I195" s="10">
        <v>3.5203748765454108</v>
      </c>
      <c r="J195" s="7">
        <v>2.3503464132935959E-2</v>
      </c>
      <c r="K195" s="5">
        <v>0.16174997173975111</v>
      </c>
      <c r="L195">
        <v>128.9318731510547</v>
      </c>
      <c r="M195" s="10">
        <v>-0.78161075033408767</v>
      </c>
      <c r="N195" s="24" t="s">
        <v>343</v>
      </c>
      <c r="O195" s="24">
        <v>4.1033549799547373</v>
      </c>
      <c r="P195">
        <v>64.189067145995935</v>
      </c>
      <c r="Q195" t="s">
        <v>47</v>
      </c>
      <c r="R195" t="s">
        <v>350</v>
      </c>
      <c r="S195" t="s">
        <v>343</v>
      </c>
      <c r="T195" t="s">
        <v>343</v>
      </c>
    </row>
    <row r="196" spans="2:20" x14ac:dyDescent="0.25">
      <c r="B196">
        <v>191</v>
      </c>
      <c r="C196" t="s">
        <v>532</v>
      </c>
      <c r="D196" s="10">
        <v>0.263227646465512</v>
      </c>
      <c r="E196" s="10">
        <v>0.85855501467652107</v>
      </c>
      <c r="F196" s="10">
        <v>0.63174664240319889</v>
      </c>
      <c r="G196" s="10">
        <v>0.31464221199730719</v>
      </c>
      <c r="H196" s="6">
        <v>0.25142057317981159</v>
      </c>
      <c r="I196" s="10">
        <v>8.6082630760886794</v>
      </c>
      <c r="J196" s="7">
        <v>3.0497113001012349E-2</v>
      </c>
      <c r="K196" s="5">
        <v>0.1635755601515215</v>
      </c>
      <c r="L196">
        <v>166.14031074542859</v>
      </c>
      <c r="M196" s="10">
        <v>-0.71858581655409037</v>
      </c>
      <c r="N196" s="24" t="s">
        <v>343</v>
      </c>
      <c r="O196" s="24">
        <v>7.8848510067545732</v>
      </c>
      <c r="P196">
        <v>56.778036899409962</v>
      </c>
      <c r="Q196" t="s">
        <v>47</v>
      </c>
      <c r="R196" t="s">
        <v>350</v>
      </c>
      <c r="S196" t="s">
        <v>343</v>
      </c>
      <c r="T196" t="s">
        <v>343</v>
      </c>
    </row>
    <row r="197" spans="2:20" x14ac:dyDescent="0.25">
      <c r="B197">
        <v>192</v>
      </c>
      <c r="C197" t="s">
        <v>533</v>
      </c>
      <c r="D197" s="10">
        <v>0.18789862864079859</v>
      </c>
      <c r="E197" s="10">
        <v>0.9884527205769047</v>
      </c>
      <c r="F197" s="10">
        <v>0.61031534450855141</v>
      </c>
      <c r="G197" s="10">
        <v>0.35495775182872602</v>
      </c>
      <c r="H197" s="6">
        <v>0.17980452286022089</v>
      </c>
      <c r="I197" s="10">
        <v>8.2151102198669328</v>
      </c>
      <c r="J197" s="7">
        <v>2.7499823143625049E-2</v>
      </c>
      <c r="K197" s="5">
        <v>0.1149789646475526</v>
      </c>
      <c r="L197">
        <v>284.90514700937803</v>
      </c>
      <c r="M197" s="10">
        <v>-0.5174178443181523</v>
      </c>
      <c r="N197" s="24" t="s">
        <v>343</v>
      </c>
      <c r="O197" s="24">
        <v>19.954929340910859</v>
      </c>
      <c r="P197">
        <v>29.471813466247941</v>
      </c>
      <c r="Q197" t="s">
        <v>348</v>
      </c>
      <c r="R197" t="s">
        <v>375</v>
      </c>
      <c r="S197" t="s">
        <v>343</v>
      </c>
      <c r="T197" t="s">
        <v>343</v>
      </c>
    </row>
    <row r="198" spans="2:20" x14ac:dyDescent="0.25">
      <c r="B198">
        <v>193</v>
      </c>
      <c r="C198" t="s">
        <v>534</v>
      </c>
      <c r="D198" s="10">
        <v>0.27055003809639461</v>
      </c>
      <c r="E198" s="10">
        <v>1.0705576952467679</v>
      </c>
      <c r="F198" s="10">
        <v>0.49050321157277699</v>
      </c>
      <c r="G198" s="10">
        <v>0.35378919532557512</v>
      </c>
      <c r="H198" s="6">
        <v>0.21831646878518429</v>
      </c>
      <c r="I198" s="10">
        <v>3.9434037555484478</v>
      </c>
      <c r="J198" s="7">
        <v>2.929587277915665E-2</v>
      </c>
      <c r="K198" s="5">
        <v>0.14306392220553971</v>
      </c>
      <c r="L198">
        <v>228.95560591301449</v>
      </c>
      <c r="M198" s="10">
        <v>-0.61218710501811613</v>
      </c>
      <c r="N198" s="24" t="s">
        <v>343</v>
      </c>
      <c r="O198" s="24">
        <v>14.26877369891303</v>
      </c>
      <c r="P198">
        <v>62.998460760305228</v>
      </c>
      <c r="Q198" t="s">
        <v>47</v>
      </c>
      <c r="R198" t="s">
        <v>350</v>
      </c>
      <c r="S198" t="s">
        <v>343</v>
      </c>
      <c r="T198" t="s">
        <v>343</v>
      </c>
    </row>
    <row r="199" spans="2:20" x14ac:dyDescent="0.25">
      <c r="B199">
        <v>194</v>
      </c>
      <c r="C199" t="s">
        <v>535</v>
      </c>
      <c r="D199" s="10">
        <v>0.22187765540808599</v>
      </c>
      <c r="E199" s="10">
        <v>0.57839284354356946</v>
      </c>
      <c r="F199" s="10">
        <v>0.53261276193252449</v>
      </c>
      <c r="G199" s="10">
        <v>0.28580067316187913</v>
      </c>
      <c r="H199" s="6">
        <v>0.21230433846013899</v>
      </c>
      <c r="I199" s="10">
        <v>11.743789512959539</v>
      </c>
      <c r="J199" s="7">
        <v>2.7331520666532948E-2</v>
      </c>
      <c r="K199" s="5">
        <v>0.13807513977352689</v>
      </c>
      <c r="L199">
        <v>186.0940238098523</v>
      </c>
      <c r="M199" s="10">
        <v>-0.68478752977140311</v>
      </c>
      <c r="N199" s="24" t="s">
        <v>343</v>
      </c>
      <c r="O199" s="24">
        <v>9.9127482137158154</v>
      </c>
      <c r="P199">
        <v>61.945282826190592</v>
      </c>
      <c r="Q199" t="s">
        <v>47</v>
      </c>
      <c r="R199" t="s">
        <v>350</v>
      </c>
      <c r="S199" t="s">
        <v>343</v>
      </c>
      <c r="T199" t="s">
        <v>343</v>
      </c>
    </row>
    <row r="200" spans="2:20" x14ac:dyDescent="0.25">
      <c r="B200">
        <v>195</v>
      </c>
      <c r="C200" t="s">
        <v>536</v>
      </c>
      <c r="D200" s="10">
        <v>0.3098767981978775</v>
      </c>
      <c r="E200" s="10">
        <v>1.1905371870064829</v>
      </c>
      <c r="F200" s="10">
        <v>0.50849528594676063</v>
      </c>
      <c r="G200" s="10">
        <v>0.41088442056045599</v>
      </c>
      <c r="H200" s="6">
        <v>0.17582416497277681</v>
      </c>
      <c r="I200" s="10">
        <v>6.1194930133240621</v>
      </c>
      <c r="J200" s="7">
        <v>3.9868138002075643E-2</v>
      </c>
      <c r="K200" s="5">
        <v>0.17438294294164841</v>
      </c>
      <c r="L200">
        <v>237.33210252655519</v>
      </c>
      <c r="M200" s="10">
        <v>-0.59799870640455544</v>
      </c>
      <c r="N200" s="24" t="s">
        <v>343</v>
      </c>
      <c r="O200" s="24">
        <v>15.120077615726681</v>
      </c>
      <c r="P200">
        <v>56.862756096256263</v>
      </c>
      <c r="Q200" t="s">
        <v>47</v>
      </c>
      <c r="R200" t="s">
        <v>350</v>
      </c>
      <c r="S200" t="s">
        <v>343</v>
      </c>
      <c r="T200" t="s">
        <v>343</v>
      </c>
    </row>
    <row r="201" spans="2:20" x14ac:dyDescent="0.25">
      <c r="B201">
        <v>196</v>
      </c>
      <c r="C201" t="s">
        <v>537</v>
      </c>
      <c r="D201" s="10">
        <v>0.18200335106335891</v>
      </c>
      <c r="E201" s="10">
        <v>1.345356992864001</v>
      </c>
      <c r="F201" s="10">
        <v>0.59947624413807921</v>
      </c>
      <c r="G201" s="10">
        <v>0.30574967487586158</v>
      </c>
      <c r="H201" s="6">
        <v>0.13303349063490719</v>
      </c>
      <c r="I201" s="10">
        <v>10.103273013915249</v>
      </c>
      <c r="J201" s="7">
        <v>3.3922733964335892E-2</v>
      </c>
      <c r="K201" s="5">
        <v>0.1130932891933655</v>
      </c>
      <c r="L201">
        <v>333.68867440347509</v>
      </c>
      <c r="M201" s="10">
        <v>-0.4347866245640461</v>
      </c>
      <c r="N201" s="24" t="s">
        <v>343</v>
      </c>
      <c r="O201" s="24">
        <v>24.91280252615724</v>
      </c>
      <c r="P201">
        <v>57.901261519838002</v>
      </c>
      <c r="Q201" t="s">
        <v>47</v>
      </c>
      <c r="R201" t="s">
        <v>350</v>
      </c>
      <c r="S201" t="s">
        <v>343</v>
      </c>
      <c r="T201" t="s">
        <v>343</v>
      </c>
    </row>
    <row r="202" spans="2:20" x14ac:dyDescent="0.25">
      <c r="B202">
        <v>197</v>
      </c>
      <c r="C202" t="s">
        <v>538</v>
      </c>
      <c r="D202" s="10">
        <v>0.21457061616804141</v>
      </c>
      <c r="E202" s="10">
        <v>0.81176324669792943</v>
      </c>
      <c r="F202" s="10">
        <v>0.52958773965928152</v>
      </c>
      <c r="G202" s="10">
        <v>0.36769020509915401</v>
      </c>
      <c r="H202" s="6">
        <v>0.1232123308006028</v>
      </c>
      <c r="I202" s="10">
        <v>4.1163664892049958</v>
      </c>
      <c r="J202" s="7">
        <v>2.444230394410396E-2</v>
      </c>
      <c r="K202" s="5">
        <v>0.15122314569642639</v>
      </c>
      <c r="L202">
        <v>137.75337979760829</v>
      </c>
      <c r="M202" s="10">
        <v>-0.76666857839180447</v>
      </c>
      <c r="N202" s="24" t="s">
        <v>343</v>
      </c>
      <c r="O202" s="24">
        <v>4.9998852964917333</v>
      </c>
      <c r="P202">
        <v>64.329049670388045</v>
      </c>
      <c r="Q202" t="s">
        <v>47</v>
      </c>
      <c r="R202" t="s">
        <v>350</v>
      </c>
      <c r="S202" t="s">
        <v>343</v>
      </c>
      <c r="T202" t="s">
        <v>343</v>
      </c>
    </row>
    <row r="203" spans="2:20" x14ac:dyDescent="0.25">
      <c r="B203">
        <v>198</v>
      </c>
      <c r="C203" t="s">
        <v>539</v>
      </c>
      <c r="D203" s="10">
        <v>0.17815576339849429</v>
      </c>
      <c r="E203" s="10">
        <v>1.071173901420865</v>
      </c>
      <c r="F203" s="10">
        <v>0.52035410292009088</v>
      </c>
      <c r="G203" s="10">
        <v>0.29973488961835443</v>
      </c>
      <c r="H203" s="6">
        <v>0.18423566108030809</v>
      </c>
      <c r="I203" s="10">
        <v>12.467734902005629</v>
      </c>
      <c r="J203" s="7">
        <v>3.4099900340269211E-2</v>
      </c>
      <c r="K203" s="5">
        <v>0.18657839274214091</v>
      </c>
      <c r="L203">
        <v>173.46820599412891</v>
      </c>
      <c r="M203" s="10">
        <v>-0.70617357506653244</v>
      </c>
      <c r="N203" s="24" t="s">
        <v>343</v>
      </c>
      <c r="O203" s="24">
        <v>8.6295854960080582</v>
      </c>
      <c r="P203">
        <v>56.942544938200498</v>
      </c>
      <c r="Q203" t="s">
        <v>47</v>
      </c>
      <c r="R203" t="s">
        <v>350</v>
      </c>
      <c r="S203" t="s">
        <v>343</v>
      </c>
      <c r="T203" t="s">
        <v>343</v>
      </c>
    </row>
    <row r="204" spans="2:20" x14ac:dyDescent="0.25">
      <c r="B204">
        <v>199</v>
      </c>
      <c r="C204" t="s">
        <v>540</v>
      </c>
      <c r="D204" s="10">
        <v>0.30795097892457002</v>
      </c>
      <c r="E204" s="10">
        <v>1.1107284963693891</v>
      </c>
      <c r="F204" s="10">
        <v>0.49391827491344892</v>
      </c>
      <c r="G204" s="10">
        <v>0.33353693205708951</v>
      </c>
      <c r="H204" s="6">
        <v>0.1921802362235035</v>
      </c>
      <c r="I204" s="10">
        <v>11.132019534706799</v>
      </c>
      <c r="J204" s="7">
        <v>4.3776673667935848E-2</v>
      </c>
      <c r="K204" s="5">
        <v>0.18478368951697779</v>
      </c>
      <c r="L204">
        <v>220.67470768390751</v>
      </c>
      <c r="M204" s="10">
        <v>-0.62621357579385428</v>
      </c>
      <c r="N204" s="24" t="s">
        <v>343</v>
      </c>
      <c r="O204" s="24">
        <v>13.42718545236874</v>
      </c>
      <c r="P204">
        <v>17.238449858470769</v>
      </c>
      <c r="Q204" t="s">
        <v>348</v>
      </c>
      <c r="R204" t="s">
        <v>371</v>
      </c>
      <c r="S204" t="s">
        <v>343</v>
      </c>
      <c r="T204" t="s">
        <v>343</v>
      </c>
    </row>
    <row r="205" spans="2:20" x14ac:dyDescent="0.25">
      <c r="B205">
        <v>200</v>
      </c>
      <c r="C205" t="s">
        <v>541</v>
      </c>
      <c r="D205" s="10">
        <v>0.30037429654095688</v>
      </c>
      <c r="E205" s="10">
        <v>1.028472302273628</v>
      </c>
      <c r="F205" s="10">
        <v>0.5463470514378086</v>
      </c>
      <c r="G205" s="10">
        <v>0.28565321755505058</v>
      </c>
      <c r="H205" s="6">
        <v>0.24340174022848379</v>
      </c>
      <c r="I205" s="10">
        <v>7.2726497987653227</v>
      </c>
      <c r="J205" s="7">
        <v>1.2810789171870139E-2</v>
      </c>
      <c r="K205" s="5">
        <v>0.18097202542603341</v>
      </c>
      <c r="L205">
        <v>178.07460622587109</v>
      </c>
      <c r="M205" s="10">
        <v>-0.69837109561994559</v>
      </c>
      <c r="N205" s="24" t="s">
        <v>343</v>
      </c>
      <c r="O205" s="24">
        <v>9.0977342628032645</v>
      </c>
      <c r="P205">
        <v>57.985813896220257</v>
      </c>
      <c r="Q205" t="s">
        <v>47</v>
      </c>
      <c r="R205" t="s">
        <v>350</v>
      </c>
      <c r="S205" t="s">
        <v>343</v>
      </c>
      <c r="T205" t="s">
        <v>343</v>
      </c>
    </row>
    <row r="206" spans="2:20" x14ac:dyDescent="0.25">
      <c r="B206">
        <v>201</v>
      </c>
      <c r="C206" t="s">
        <v>542</v>
      </c>
      <c r="D206" s="10">
        <v>0.2012706604344249</v>
      </c>
      <c r="E206" s="10">
        <v>0.90182661916149898</v>
      </c>
      <c r="F206" s="10">
        <v>0.49083067345110393</v>
      </c>
      <c r="G206" s="10">
        <v>0.37926171435704847</v>
      </c>
      <c r="H206" s="6">
        <v>0.1821617474867207</v>
      </c>
      <c r="I206" s="10">
        <v>9.9243784425555805</v>
      </c>
      <c r="J206" s="7">
        <v>2.3583149004532001E-2</v>
      </c>
      <c r="K206" s="5">
        <v>0.1356236047289564</v>
      </c>
      <c r="L206">
        <v>195.56711878899739</v>
      </c>
      <c r="M206" s="10">
        <v>-0.66874167505799476</v>
      </c>
      <c r="N206" s="24" t="s">
        <v>343</v>
      </c>
      <c r="O206" s="24">
        <v>10.87549949652032</v>
      </c>
      <c r="P206">
        <v>67.874813329792659</v>
      </c>
      <c r="Q206" t="s">
        <v>47</v>
      </c>
      <c r="R206" t="s">
        <v>350</v>
      </c>
      <c r="S206" t="s">
        <v>343</v>
      </c>
      <c r="T206" t="s">
        <v>343</v>
      </c>
    </row>
    <row r="207" spans="2:20" x14ac:dyDescent="0.25">
      <c r="B207">
        <v>202</v>
      </c>
      <c r="C207" t="s">
        <v>543</v>
      </c>
      <c r="D207" s="10">
        <v>0.26559744736546859</v>
      </c>
      <c r="E207" s="10">
        <v>1.269812750032292</v>
      </c>
      <c r="F207" s="10">
        <v>0.69026809271818435</v>
      </c>
      <c r="G207" s="10">
        <v>0.33362855923109708</v>
      </c>
      <c r="H207" s="6">
        <v>0.16217398121002041</v>
      </c>
      <c r="I207" s="10">
        <v>5.061992819541322</v>
      </c>
      <c r="J207" s="7">
        <v>4.0465891131332851E-2</v>
      </c>
      <c r="K207" s="5">
        <v>0.18940456561223051</v>
      </c>
      <c r="L207">
        <v>269.72851437126133</v>
      </c>
      <c r="M207" s="10">
        <v>-0.54312454765915164</v>
      </c>
      <c r="N207" s="24" t="s">
        <v>343</v>
      </c>
      <c r="O207" s="24">
        <v>18.412527140450901</v>
      </c>
      <c r="P207">
        <v>18.758522962593439</v>
      </c>
      <c r="Q207" t="s">
        <v>348</v>
      </c>
      <c r="R207" t="s">
        <v>351</v>
      </c>
      <c r="S207" t="s">
        <v>343</v>
      </c>
      <c r="T207" t="s">
        <v>343</v>
      </c>
    </row>
    <row r="208" spans="2:20" x14ac:dyDescent="0.25">
      <c r="B208">
        <v>203</v>
      </c>
      <c r="C208" t="s">
        <v>544</v>
      </c>
      <c r="D208" s="10">
        <v>0.2907555520321945</v>
      </c>
      <c r="E208" s="10">
        <v>0.7938193801957838</v>
      </c>
      <c r="F208" s="10">
        <v>0.48017047098877891</v>
      </c>
      <c r="G208" s="10">
        <v>0.2435458069873081</v>
      </c>
      <c r="H208" s="6">
        <v>0.18931447021127301</v>
      </c>
      <c r="I208" s="10">
        <v>13.839647400548399</v>
      </c>
      <c r="J208" s="7">
        <v>3.5866928878401573E-2</v>
      </c>
      <c r="K208" s="5">
        <v>0.17650354832264031</v>
      </c>
      <c r="L208">
        <v>144.8971529346932</v>
      </c>
      <c r="M208" s="10">
        <v>-0.75456820928164936</v>
      </c>
      <c r="N208" s="24" t="s">
        <v>343</v>
      </c>
      <c r="O208" s="24">
        <v>5.7259074431010433</v>
      </c>
      <c r="P208">
        <v>17.523246879888958</v>
      </c>
      <c r="Q208" t="s">
        <v>348</v>
      </c>
      <c r="R208" t="s">
        <v>371</v>
      </c>
      <c r="S208" t="s">
        <v>343</v>
      </c>
      <c r="T208" t="s">
        <v>343</v>
      </c>
    </row>
    <row r="209" spans="2:20" x14ac:dyDescent="0.25">
      <c r="B209">
        <v>204</v>
      </c>
      <c r="C209" t="s">
        <v>545</v>
      </c>
      <c r="D209" s="10">
        <v>0.24883212985591399</v>
      </c>
      <c r="E209" s="10">
        <v>0.3672132521352639</v>
      </c>
      <c r="F209" s="10">
        <v>0.67745922588928176</v>
      </c>
      <c r="G209" s="10">
        <v>0.2461962986836885</v>
      </c>
      <c r="H209" s="6">
        <v>0.15569857206360321</v>
      </c>
      <c r="I209" s="10">
        <v>11.757188463030911</v>
      </c>
      <c r="J209" s="7">
        <v>4.2722511130692302E-2</v>
      </c>
      <c r="K209" s="5">
        <v>0.18085842532788579</v>
      </c>
      <c r="L209">
        <v>71.814135113602347</v>
      </c>
      <c r="M209" s="10">
        <v>-0.87835874326830277</v>
      </c>
      <c r="N209" s="24" t="s">
        <v>343</v>
      </c>
      <c r="O209" s="24">
        <v>0</v>
      </c>
      <c r="P209">
        <v>51.615515921487557</v>
      </c>
      <c r="Q209" t="s">
        <v>47</v>
      </c>
      <c r="R209" t="s">
        <v>350</v>
      </c>
      <c r="S209" t="s">
        <v>343</v>
      </c>
      <c r="T209" t="s">
        <v>343</v>
      </c>
    </row>
    <row r="210" spans="2:20" x14ac:dyDescent="0.25">
      <c r="B210">
        <v>205</v>
      </c>
      <c r="C210" t="s">
        <v>546</v>
      </c>
      <c r="D210" s="10">
        <v>0.24474409253696111</v>
      </c>
      <c r="E210" s="10">
        <v>1.2290120132833759</v>
      </c>
      <c r="F210" s="10">
        <v>0.55140300552071131</v>
      </c>
      <c r="G210" s="10">
        <v>0.34364955006371289</v>
      </c>
      <c r="H210" s="6">
        <v>0.13370409166724351</v>
      </c>
      <c r="I210" s="10">
        <v>11.6783400337593</v>
      </c>
      <c r="J210" s="7">
        <v>1.1393346066813369E-2</v>
      </c>
      <c r="K210" s="5">
        <v>0.18857361046087379</v>
      </c>
      <c r="L210">
        <v>207.67002728079871</v>
      </c>
      <c r="M210" s="10">
        <v>-0.64824135159489726</v>
      </c>
      <c r="N210" s="24" t="s">
        <v>343</v>
      </c>
      <c r="O210" s="24">
        <v>12.10551890430617</v>
      </c>
      <c r="P210">
        <v>59.370728609042743</v>
      </c>
      <c r="Q210" t="s">
        <v>47</v>
      </c>
      <c r="R210" t="s">
        <v>350</v>
      </c>
      <c r="S210" t="s">
        <v>343</v>
      </c>
      <c r="T210" t="s">
        <v>343</v>
      </c>
    </row>
    <row r="211" spans="2:20" x14ac:dyDescent="0.25">
      <c r="B211">
        <v>206</v>
      </c>
      <c r="C211" t="s">
        <v>547</v>
      </c>
      <c r="D211" s="10">
        <v>0.1986963665440723</v>
      </c>
      <c r="E211" s="10">
        <v>1.0413793995482059</v>
      </c>
      <c r="F211" s="10">
        <v>0.53824515780604776</v>
      </c>
      <c r="G211" s="10">
        <v>0.28030969071917788</v>
      </c>
      <c r="H211" s="6">
        <v>0.13695645505291609</v>
      </c>
      <c r="I211" s="10">
        <v>4.6871823933566379</v>
      </c>
      <c r="J211" s="7">
        <v>4.0197146322447537E-2</v>
      </c>
      <c r="K211" s="5">
        <v>0.18901512023333769</v>
      </c>
      <c r="L211">
        <v>66.880556883482271</v>
      </c>
      <c r="M211" s="10">
        <v>-0.88671540808291915</v>
      </c>
      <c r="N211" s="24" t="s">
        <v>343</v>
      </c>
      <c r="O211" s="24">
        <v>0</v>
      </c>
      <c r="P211">
        <v>52.134692473065357</v>
      </c>
      <c r="Q211" t="s">
        <v>47</v>
      </c>
      <c r="R211" t="s">
        <v>350</v>
      </c>
      <c r="S211" t="s">
        <v>343</v>
      </c>
      <c r="T211" t="s">
        <v>343</v>
      </c>
    </row>
    <row r="212" spans="2:20" x14ac:dyDescent="0.25">
      <c r="B212">
        <v>207</v>
      </c>
      <c r="C212" t="s">
        <v>548</v>
      </c>
      <c r="D212" s="10">
        <v>0.1748964428489439</v>
      </c>
      <c r="E212" s="10">
        <v>1.234184489149611</v>
      </c>
      <c r="F212" s="10">
        <v>0.50014314823526074</v>
      </c>
      <c r="G212" s="10">
        <v>0.36870925059184328</v>
      </c>
      <c r="H212" s="6">
        <v>0.16787316898453911</v>
      </c>
      <c r="I212" s="10">
        <v>3.195068773832483</v>
      </c>
      <c r="J212" s="7">
        <v>3.7712956948420508E-2</v>
      </c>
      <c r="K212" s="5">
        <v>0.12280617150969909</v>
      </c>
      <c r="L212">
        <v>187.37239562915681</v>
      </c>
      <c r="M212" s="10">
        <v>-0.68262217953186322</v>
      </c>
      <c r="N212" s="24" t="s">
        <v>343</v>
      </c>
      <c r="O212" s="24">
        <v>10.04266922808821</v>
      </c>
      <c r="P212">
        <v>56.122111398662739</v>
      </c>
      <c r="Q212" t="s">
        <v>47</v>
      </c>
      <c r="R212" t="s">
        <v>350</v>
      </c>
      <c r="S212" t="s">
        <v>343</v>
      </c>
      <c r="T212" t="s">
        <v>343</v>
      </c>
    </row>
    <row r="213" spans="2:20" x14ac:dyDescent="0.25">
      <c r="B213">
        <v>208</v>
      </c>
      <c r="C213" t="s">
        <v>549</v>
      </c>
      <c r="D213" s="10">
        <v>0.3035545212725323</v>
      </c>
      <c r="E213" s="10">
        <v>0.45240218668916371</v>
      </c>
      <c r="F213" s="10">
        <v>0.60529664693555496</v>
      </c>
      <c r="G213" s="10">
        <v>0.32980219198984467</v>
      </c>
      <c r="H213" s="6">
        <v>0.12190146263377361</v>
      </c>
      <c r="I213" s="10">
        <v>9.4390850454659656</v>
      </c>
      <c r="J213" s="7">
        <v>3.8526365562883053E-2</v>
      </c>
      <c r="K213" s="5">
        <v>0.1121303326188309</v>
      </c>
      <c r="L213">
        <v>154.92802901564929</v>
      </c>
      <c r="M213" s="10">
        <v>-0.73757756571715827</v>
      </c>
      <c r="N213" s="24" t="s">
        <v>343</v>
      </c>
      <c r="O213" s="24">
        <v>6.7453460569705044</v>
      </c>
      <c r="P213">
        <v>51.435700293912348</v>
      </c>
      <c r="Q213" t="s">
        <v>47</v>
      </c>
      <c r="R213" t="s">
        <v>350</v>
      </c>
      <c r="S213" t="s">
        <v>343</v>
      </c>
      <c r="T213" t="s">
        <v>343</v>
      </c>
    </row>
    <row r="214" spans="2:20" x14ac:dyDescent="0.25">
      <c r="B214">
        <v>209</v>
      </c>
      <c r="C214" t="s">
        <v>550</v>
      </c>
      <c r="D214" s="10">
        <v>0.30406688914613289</v>
      </c>
      <c r="E214" s="10">
        <v>0.33382823456068789</v>
      </c>
      <c r="F214" s="10">
        <v>0.6182372839028174</v>
      </c>
      <c r="G214" s="10">
        <v>0.383972363818739</v>
      </c>
      <c r="H214" s="6">
        <v>0.15303049300218571</v>
      </c>
      <c r="I214" s="10">
        <v>4.5853267302379201</v>
      </c>
      <c r="J214" s="7">
        <v>3.0904195483925281E-2</v>
      </c>
      <c r="K214" s="5">
        <v>0.16563311963927499</v>
      </c>
      <c r="L214">
        <v>122.2869812388376</v>
      </c>
      <c r="M214" s="10">
        <v>-0.7928660972343845</v>
      </c>
      <c r="N214" s="24" t="s">
        <v>343</v>
      </c>
      <c r="O214" s="24">
        <v>3.428034165936936</v>
      </c>
      <c r="P214">
        <v>57.709107162885218</v>
      </c>
      <c r="Q214" t="s">
        <v>47</v>
      </c>
      <c r="R214" t="s">
        <v>350</v>
      </c>
      <c r="S214" t="s">
        <v>343</v>
      </c>
      <c r="T214" t="s">
        <v>343</v>
      </c>
    </row>
    <row r="215" spans="2:20" x14ac:dyDescent="0.25">
      <c r="B215">
        <v>210</v>
      </c>
      <c r="C215" t="s">
        <v>551</v>
      </c>
      <c r="D215" s="10">
        <v>0.26129623316372291</v>
      </c>
      <c r="E215" s="10">
        <v>1.3278119944207509</v>
      </c>
      <c r="F215" s="10">
        <v>0.56156845018562851</v>
      </c>
      <c r="G215" s="10">
        <v>0.44952693829406942</v>
      </c>
      <c r="H215" s="6">
        <v>0.23812847113985311</v>
      </c>
      <c r="I215" s="10">
        <v>11.58476802137729</v>
      </c>
      <c r="J215" s="7">
        <v>1.18170962292212E-2</v>
      </c>
      <c r="K215" s="5">
        <v>0.15350532588052851</v>
      </c>
      <c r="L215">
        <v>323.40362905368522</v>
      </c>
      <c r="M215" s="10">
        <v>-0.45220778879462359</v>
      </c>
      <c r="N215" s="24" t="s">
        <v>343</v>
      </c>
      <c r="O215" s="24">
        <v>23.867532672322589</v>
      </c>
      <c r="P215">
        <v>53.84568925380831</v>
      </c>
      <c r="Q215" t="s">
        <v>47</v>
      </c>
      <c r="R215" t="s">
        <v>350</v>
      </c>
      <c r="S215" t="s">
        <v>343</v>
      </c>
      <c r="T215" t="s">
        <v>343</v>
      </c>
    </row>
    <row r="216" spans="2:20" x14ac:dyDescent="0.25">
      <c r="B216">
        <v>211</v>
      </c>
      <c r="C216" t="s">
        <v>552</v>
      </c>
      <c r="D216" s="10">
        <v>0.21424476656779209</v>
      </c>
      <c r="E216" s="10">
        <v>0.46250113643563168</v>
      </c>
      <c r="F216" s="10">
        <v>0.45448379288029028</v>
      </c>
      <c r="G216" s="10">
        <v>0.35632194965495578</v>
      </c>
      <c r="H216" s="6">
        <v>0.1551925788645466</v>
      </c>
      <c r="I216" s="10">
        <v>7.5768375419607086</v>
      </c>
      <c r="J216" s="7">
        <v>2.8869547513279279E-2</v>
      </c>
      <c r="K216" s="5">
        <v>0.13110551803503359</v>
      </c>
      <c r="L216">
        <v>93.975891533243569</v>
      </c>
      <c r="M216" s="10">
        <v>-0.84082039656256757</v>
      </c>
      <c r="N216" s="24" t="s">
        <v>343</v>
      </c>
      <c r="O216" s="24">
        <v>0.55077620624594203</v>
      </c>
      <c r="P216">
        <v>60.097779299585049</v>
      </c>
      <c r="Q216" t="s">
        <v>47</v>
      </c>
      <c r="R216" t="s">
        <v>350</v>
      </c>
      <c r="S216" t="s">
        <v>343</v>
      </c>
      <c r="T216" t="s">
        <v>343</v>
      </c>
    </row>
    <row r="217" spans="2:20" x14ac:dyDescent="0.25">
      <c r="B217">
        <v>212</v>
      </c>
      <c r="C217" t="s">
        <v>553</v>
      </c>
      <c r="D217" s="10">
        <v>0.21587353193802569</v>
      </c>
      <c r="E217" s="10">
        <v>1.1906175652774971</v>
      </c>
      <c r="F217" s="10">
        <v>0.6788126391790229</v>
      </c>
      <c r="G217" s="10">
        <v>0.41322329278982189</v>
      </c>
      <c r="H217" s="6">
        <v>0.1366094266559274</v>
      </c>
      <c r="I217" s="10">
        <v>6.7245367388617492</v>
      </c>
      <c r="J217" s="7">
        <v>2.4271289794645341E-2</v>
      </c>
      <c r="K217" s="5">
        <v>0.16502270314381651</v>
      </c>
      <c r="L217">
        <v>202.39761132381179</v>
      </c>
      <c r="M217" s="10">
        <v>-0.65717195142744556</v>
      </c>
      <c r="N217" s="24" t="s">
        <v>343</v>
      </c>
      <c r="O217" s="24">
        <v>11.569682914353271</v>
      </c>
      <c r="P217">
        <v>58.488350805208199</v>
      </c>
      <c r="Q217" t="s">
        <v>47</v>
      </c>
      <c r="R217" t="s">
        <v>350</v>
      </c>
      <c r="S217" t="s">
        <v>343</v>
      </c>
      <c r="T217" t="s">
        <v>343</v>
      </c>
    </row>
    <row r="218" spans="2:20" x14ac:dyDescent="0.25">
      <c r="B218">
        <v>213</v>
      </c>
      <c r="C218" t="s">
        <v>554</v>
      </c>
      <c r="D218" s="10">
        <v>0.2761529086192383</v>
      </c>
      <c r="E218" s="10">
        <v>1.205530936398699</v>
      </c>
      <c r="F218" s="10">
        <v>0.69488557454785904</v>
      </c>
      <c r="G218" s="10">
        <v>0.40566901918950621</v>
      </c>
      <c r="H218" s="6">
        <v>0.26236208399918087</v>
      </c>
      <c r="I218" s="10">
        <v>3.810141887078816</v>
      </c>
      <c r="J218" s="7">
        <v>2.8446461342814571E-2</v>
      </c>
      <c r="K218" s="5">
        <v>0.1058897033450126</v>
      </c>
      <c r="L218">
        <v>397.54617554122899</v>
      </c>
      <c r="M218" s="10">
        <v>-0.32662258864194699</v>
      </c>
      <c r="N218" s="24" t="s">
        <v>343</v>
      </c>
      <c r="O218" s="24">
        <v>31.402644681483181</v>
      </c>
      <c r="P218">
        <v>13.772506626242279</v>
      </c>
      <c r="Q218" t="s">
        <v>348</v>
      </c>
      <c r="R218" t="s">
        <v>351</v>
      </c>
      <c r="S218" t="s">
        <v>343</v>
      </c>
      <c r="T218" t="s">
        <v>343</v>
      </c>
    </row>
    <row r="219" spans="2:20" x14ac:dyDescent="0.25">
      <c r="B219">
        <v>214</v>
      </c>
      <c r="C219" t="s">
        <v>555</v>
      </c>
      <c r="D219" s="10">
        <v>0.30353764159241242</v>
      </c>
      <c r="E219" s="10">
        <v>1.0795757206039029</v>
      </c>
      <c r="F219" s="10">
        <v>0.55207128795507709</v>
      </c>
      <c r="G219" s="10">
        <v>0.44279404295125041</v>
      </c>
      <c r="H219" s="6">
        <v>0.21337051745274291</v>
      </c>
      <c r="I219" s="10">
        <v>13.95671587939084</v>
      </c>
      <c r="J219" s="7">
        <v>3.5910359076746973E-2</v>
      </c>
      <c r="K219" s="5">
        <v>0.1044847900671089</v>
      </c>
      <c r="L219">
        <v>315.86497866343132</v>
      </c>
      <c r="M219" s="10">
        <v>-0.46497701460345309</v>
      </c>
      <c r="N219" s="24" t="s">
        <v>343</v>
      </c>
      <c r="O219" s="24">
        <v>23.10137912379281</v>
      </c>
      <c r="P219">
        <v>43.180786355799867</v>
      </c>
      <c r="Q219" t="s">
        <v>346</v>
      </c>
      <c r="R219" t="s">
        <v>347</v>
      </c>
      <c r="S219" t="s">
        <v>343</v>
      </c>
      <c r="T219" t="s">
        <v>343</v>
      </c>
    </row>
    <row r="220" spans="2:20" x14ac:dyDescent="0.25">
      <c r="B220">
        <v>215</v>
      </c>
      <c r="C220" t="s">
        <v>556</v>
      </c>
      <c r="D220" s="10">
        <v>0.30193382788241868</v>
      </c>
      <c r="E220" s="10">
        <v>0.44438843220215801</v>
      </c>
      <c r="F220" s="10">
        <v>0.59955180992642498</v>
      </c>
      <c r="G220" s="10">
        <v>0.28708393079236139</v>
      </c>
      <c r="H220" s="6">
        <v>0.1290038924153499</v>
      </c>
      <c r="I220" s="10">
        <v>13.516118584255681</v>
      </c>
      <c r="J220" s="7">
        <v>3.0858622207911631E-2</v>
      </c>
      <c r="K220" s="5">
        <v>0.13365950549916719</v>
      </c>
      <c r="L220">
        <v>186.7818544002472</v>
      </c>
      <c r="M220" s="10">
        <v>-0.68362245861512183</v>
      </c>
      <c r="N220" s="24" t="s">
        <v>343</v>
      </c>
      <c r="O220" s="24">
        <v>9.9826524830926893</v>
      </c>
      <c r="P220">
        <v>52.76511613075661</v>
      </c>
      <c r="Q220" t="s">
        <v>47</v>
      </c>
      <c r="R220" t="s">
        <v>350</v>
      </c>
      <c r="S220" t="s">
        <v>343</v>
      </c>
      <c r="T220" t="s">
        <v>343</v>
      </c>
    </row>
    <row r="221" spans="2:20" x14ac:dyDescent="0.25">
      <c r="B221">
        <v>216</v>
      </c>
      <c r="C221" t="s">
        <v>557</v>
      </c>
      <c r="D221" s="10">
        <v>0.28478008733721982</v>
      </c>
      <c r="E221" s="10">
        <v>1.0341384870168879</v>
      </c>
      <c r="F221" s="10">
        <v>0.55707764282337413</v>
      </c>
      <c r="G221" s="10">
        <v>0.42201193357268701</v>
      </c>
      <c r="H221" s="6">
        <v>0.12933659497423541</v>
      </c>
      <c r="I221" s="10">
        <v>4.4475659858753618</v>
      </c>
      <c r="J221" s="7">
        <v>2.0239701145075159E-2</v>
      </c>
      <c r="K221" s="5">
        <v>0.1184154292260553</v>
      </c>
      <c r="L221">
        <v>167.84929972830739</v>
      </c>
      <c r="M221" s="10">
        <v>-0.71569107212405358</v>
      </c>
      <c r="N221" s="24" t="s">
        <v>343</v>
      </c>
      <c r="O221" s="24">
        <v>8.0585356725567898</v>
      </c>
      <c r="P221">
        <v>52.836100272579607</v>
      </c>
      <c r="Q221" t="s">
        <v>47</v>
      </c>
      <c r="R221" t="s">
        <v>350</v>
      </c>
      <c r="S221" t="s">
        <v>343</v>
      </c>
      <c r="T221" t="s">
        <v>343</v>
      </c>
    </row>
    <row r="222" spans="2:20" x14ac:dyDescent="0.25">
      <c r="B222">
        <v>217</v>
      </c>
      <c r="C222" t="s">
        <v>558</v>
      </c>
      <c r="D222" s="10">
        <v>0.26272506338468599</v>
      </c>
      <c r="E222" s="10">
        <v>1.2779952416595519</v>
      </c>
      <c r="F222" s="10">
        <v>0.52368870923039135</v>
      </c>
      <c r="G222" s="10">
        <v>0.43921448327103108</v>
      </c>
      <c r="H222" s="6">
        <v>0.21181831885487551</v>
      </c>
      <c r="I222" s="10">
        <v>6.6609276459964093</v>
      </c>
      <c r="J222" s="7">
        <v>3.0982757007464751E-2</v>
      </c>
      <c r="K222" s="5">
        <v>0.16826282482006991</v>
      </c>
      <c r="L222">
        <v>230.14439702493789</v>
      </c>
      <c r="M222" s="10">
        <v>-0.61017348966764118</v>
      </c>
      <c r="N222" s="24" t="s">
        <v>343</v>
      </c>
      <c r="O222" s="24">
        <v>14.389590619941529</v>
      </c>
      <c r="P222">
        <v>54.840273409101073</v>
      </c>
      <c r="Q222" t="s">
        <v>47</v>
      </c>
      <c r="R222" t="s">
        <v>350</v>
      </c>
      <c r="S222" t="s">
        <v>343</v>
      </c>
      <c r="T222" t="s">
        <v>343</v>
      </c>
    </row>
    <row r="223" spans="2:20" x14ac:dyDescent="0.25">
      <c r="B223">
        <v>218</v>
      </c>
      <c r="C223" t="s">
        <v>559</v>
      </c>
      <c r="D223" s="10">
        <v>0.1734623943992078</v>
      </c>
      <c r="E223" s="10">
        <v>0.76808480928097156</v>
      </c>
      <c r="F223" s="10">
        <v>0.46010288614303002</v>
      </c>
      <c r="G223" s="10">
        <v>0.3264078558084671</v>
      </c>
      <c r="H223" s="6">
        <v>0.20101932030973671</v>
      </c>
      <c r="I223" s="10">
        <v>7.298662918270673</v>
      </c>
      <c r="J223" s="7">
        <v>1.2909845507835849E-2</v>
      </c>
      <c r="K223" s="5">
        <v>0.19006207460127819</v>
      </c>
      <c r="L223">
        <v>144.17325189305481</v>
      </c>
      <c r="M223" s="10">
        <v>-0.75579437781121517</v>
      </c>
      <c r="N223" s="24" t="s">
        <v>343</v>
      </c>
      <c r="O223" s="24">
        <v>5.6523373313270966</v>
      </c>
      <c r="P223">
        <v>59.600798855581743</v>
      </c>
      <c r="Q223" t="s">
        <v>47</v>
      </c>
      <c r="R223" t="s">
        <v>350</v>
      </c>
      <c r="S223" t="s">
        <v>343</v>
      </c>
      <c r="T223" t="s">
        <v>343</v>
      </c>
    </row>
    <row r="224" spans="2:20" x14ac:dyDescent="0.25">
      <c r="B224">
        <v>219</v>
      </c>
      <c r="C224" t="s">
        <v>560</v>
      </c>
      <c r="D224" s="10">
        <v>0.18586059425513821</v>
      </c>
      <c r="E224" s="10">
        <v>0.75486853981645874</v>
      </c>
      <c r="F224" s="10">
        <v>0.55857760990329774</v>
      </c>
      <c r="G224" s="10">
        <v>0.30903956281177303</v>
      </c>
      <c r="H224" s="6">
        <v>0.1302562158589477</v>
      </c>
      <c r="I224" s="10">
        <v>6.2648118592715498</v>
      </c>
      <c r="J224" s="7">
        <v>1.0187809692606201E-2</v>
      </c>
      <c r="K224" s="5">
        <v>0.1628546043000394</v>
      </c>
      <c r="L224">
        <v>134.920570659297</v>
      </c>
      <c r="M224" s="10">
        <v>-0.77146688812734787</v>
      </c>
      <c r="N224" s="24" t="s">
        <v>343</v>
      </c>
      <c r="O224" s="24">
        <v>4.7119867123591277</v>
      </c>
      <c r="P224">
        <v>59.75884243613941</v>
      </c>
      <c r="Q224" t="s">
        <v>47</v>
      </c>
      <c r="R224" t="s">
        <v>350</v>
      </c>
      <c r="S224" t="s">
        <v>343</v>
      </c>
      <c r="T224" t="s">
        <v>343</v>
      </c>
    </row>
    <row r="225" spans="2:20" x14ac:dyDescent="0.25">
      <c r="B225">
        <v>220</v>
      </c>
      <c r="C225" t="s">
        <v>561</v>
      </c>
      <c r="D225" s="10">
        <v>0.30376867016433268</v>
      </c>
      <c r="E225" s="10">
        <v>0.78714414053736093</v>
      </c>
      <c r="F225" s="10">
        <v>0.65277998465345732</v>
      </c>
      <c r="G225" s="10">
        <v>0.44944790012922331</v>
      </c>
      <c r="H225" s="6">
        <v>0.15364732124600031</v>
      </c>
      <c r="I225" s="10">
        <v>13.27915415620329</v>
      </c>
      <c r="J225" s="7">
        <v>2.4053480955239182E-2</v>
      </c>
      <c r="K225" s="5">
        <v>0.16220451487711859</v>
      </c>
      <c r="L225">
        <v>259.86665046589548</v>
      </c>
      <c r="M225" s="10">
        <v>-0.55982891257655965</v>
      </c>
      <c r="N225" s="24" t="s">
        <v>343</v>
      </c>
      <c r="O225" s="24">
        <v>17.410265245406421</v>
      </c>
      <c r="P225">
        <v>50.323327229149903</v>
      </c>
      <c r="Q225" t="s">
        <v>47</v>
      </c>
      <c r="R225" t="s">
        <v>350</v>
      </c>
      <c r="S225" t="s">
        <v>343</v>
      </c>
      <c r="T225" t="s">
        <v>343</v>
      </c>
    </row>
    <row r="226" spans="2:20" x14ac:dyDescent="0.25">
      <c r="B226">
        <v>221</v>
      </c>
      <c r="C226" t="s">
        <v>562</v>
      </c>
      <c r="D226" s="10">
        <v>0.25702864954553439</v>
      </c>
      <c r="E226" s="10">
        <v>0.39049907974382703</v>
      </c>
      <c r="F226" s="10">
        <v>0.44442817988288091</v>
      </c>
      <c r="G226" s="10">
        <v>0.37807922087055101</v>
      </c>
      <c r="H226" s="6">
        <v>0.25935643717283829</v>
      </c>
      <c r="I226" s="10">
        <v>10.934760119242929</v>
      </c>
      <c r="J226" s="7">
        <v>3.6501522638175743E-2</v>
      </c>
      <c r="K226" s="5">
        <v>0.10062657947486039</v>
      </c>
      <c r="L226">
        <v>149.06268696280239</v>
      </c>
      <c r="M226" s="10">
        <v>-0.74751248420278693</v>
      </c>
      <c r="N226" s="24" t="s">
        <v>343</v>
      </c>
      <c r="O226" s="24">
        <v>6.1492509478327833</v>
      </c>
      <c r="P226">
        <v>16.582743665575979</v>
      </c>
      <c r="Q226" t="s">
        <v>348</v>
      </c>
      <c r="R226" t="s">
        <v>371</v>
      </c>
      <c r="S226" t="s">
        <v>343</v>
      </c>
      <c r="T226" t="s">
        <v>343</v>
      </c>
    </row>
    <row r="227" spans="2:20" x14ac:dyDescent="0.25">
      <c r="B227">
        <v>222</v>
      </c>
      <c r="C227" t="s">
        <v>563</v>
      </c>
      <c r="D227" s="10">
        <v>0.16147152825866071</v>
      </c>
      <c r="E227" s="10">
        <v>1.281228125932971</v>
      </c>
      <c r="F227" s="10">
        <v>0.59134799762685775</v>
      </c>
      <c r="G227" s="10">
        <v>0.32374882675312311</v>
      </c>
      <c r="H227" s="6">
        <v>0.20580162157215259</v>
      </c>
      <c r="I227" s="10">
        <v>13.515080461534721</v>
      </c>
      <c r="J227" s="7">
        <v>3.8792198084609347E-2</v>
      </c>
      <c r="K227" s="5">
        <v>0.14866631231383989</v>
      </c>
      <c r="L227">
        <v>404.34655720607742</v>
      </c>
      <c r="M227" s="10">
        <v>-0.31510386784055039</v>
      </c>
      <c r="N227" s="24" t="s">
        <v>343</v>
      </c>
      <c r="O227" s="24">
        <v>32.093767929566972</v>
      </c>
      <c r="P227">
        <v>17.540570168898491</v>
      </c>
      <c r="Q227" t="s">
        <v>348</v>
      </c>
      <c r="R227" t="s">
        <v>375</v>
      </c>
      <c r="S227" t="s">
        <v>343</v>
      </c>
      <c r="T227" t="s">
        <v>343</v>
      </c>
    </row>
    <row r="228" spans="2:20" x14ac:dyDescent="0.25">
      <c r="B228">
        <v>223</v>
      </c>
      <c r="C228" t="s">
        <v>564</v>
      </c>
      <c r="D228" s="10">
        <v>0.1762354468585651</v>
      </c>
      <c r="E228" s="10">
        <v>1.2561011503785611</v>
      </c>
      <c r="F228" s="10">
        <v>0.66900074826893907</v>
      </c>
      <c r="G228" s="10">
        <v>0.41420209860495871</v>
      </c>
      <c r="H228" s="6">
        <v>0.1860488097221745</v>
      </c>
      <c r="I228" s="10">
        <v>12.619559427765081</v>
      </c>
      <c r="J228" s="7">
        <v>2.9244375965762331E-2</v>
      </c>
      <c r="K228" s="5">
        <v>0.17762462541664009</v>
      </c>
      <c r="L228">
        <v>261.26426359216339</v>
      </c>
      <c r="M228" s="10">
        <v>-0.55746158730229411</v>
      </c>
      <c r="N228" s="24" t="s">
        <v>343</v>
      </c>
      <c r="O228" s="24">
        <v>17.552304761862349</v>
      </c>
      <c r="P228">
        <v>53.342338118397741</v>
      </c>
      <c r="Q228" t="s">
        <v>47</v>
      </c>
      <c r="R228" t="s">
        <v>350</v>
      </c>
      <c r="S228" t="s">
        <v>343</v>
      </c>
      <c r="T228" t="s">
        <v>343</v>
      </c>
    </row>
    <row r="229" spans="2:20" x14ac:dyDescent="0.25">
      <c r="B229">
        <v>224</v>
      </c>
      <c r="C229" t="s">
        <v>565</v>
      </c>
      <c r="D229" s="10">
        <v>0.26616028305728889</v>
      </c>
      <c r="E229" s="10">
        <v>1.3977002539693151</v>
      </c>
      <c r="F229" s="10">
        <v>0.49656285180373311</v>
      </c>
      <c r="G229" s="10">
        <v>0.30698425835545728</v>
      </c>
      <c r="H229" s="6">
        <v>0.1575233117880549</v>
      </c>
      <c r="I229" s="10">
        <v>11.299956714160899</v>
      </c>
      <c r="J229" s="7">
        <v>4.0380241019628678E-2</v>
      </c>
      <c r="K229" s="5">
        <v>0.1621414347071117</v>
      </c>
      <c r="L229">
        <v>271.63534829114792</v>
      </c>
      <c r="M229" s="10">
        <v>-0.53989468665718143</v>
      </c>
      <c r="N229" s="24" t="s">
        <v>343</v>
      </c>
      <c r="O229" s="24">
        <v>18.60631880056911</v>
      </c>
      <c r="P229">
        <v>12.674184037221989</v>
      </c>
      <c r="Q229" t="s">
        <v>348</v>
      </c>
      <c r="R229" t="s">
        <v>371</v>
      </c>
      <c r="S229" t="s">
        <v>343</v>
      </c>
      <c r="T229" t="s">
        <v>343</v>
      </c>
    </row>
    <row r="230" spans="2:20" x14ac:dyDescent="0.25">
      <c r="B230">
        <v>225</v>
      </c>
      <c r="C230" t="s">
        <v>566</v>
      </c>
      <c r="D230" s="10">
        <v>0.160809853415395</v>
      </c>
      <c r="E230" s="10">
        <v>0.94370145564825458</v>
      </c>
      <c r="F230" s="10">
        <v>0.48764652481915621</v>
      </c>
      <c r="G230" s="10">
        <v>0.27880966893536963</v>
      </c>
      <c r="H230" s="6">
        <v>0.14005470634528061</v>
      </c>
      <c r="I230" s="10">
        <v>10.66663817787866</v>
      </c>
      <c r="J230" s="7">
        <v>1.4407019769697219E-2</v>
      </c>
      <c r="K230" s="5">
        <v>0.12163932654163929</v>
      </c>
      <c r="L230">
        <v>200.54515181929969</v>
      </c>
      <c r="M230" s="10">
        <v>-0.66030971117094117</v>
      </c>
      <c r="N230" s="24" t="s">
        <v>343</v>
      </c>
      <c r="O230" s="24">
        <v>11.381417329743529</v>
      </c>
      <c r="P230">
        <v>23.5425161628031</v>
      </c>
      <c r="Q230" t="s">
        <v>348</v>
      </c>
      <c r="R230" t="s">
        <v>371</v>
      </c>
      <c r="S230" t="s">
        <v>343</v>
      </c>
      <c r="T230" t="s">
        <v>343</v>
      </c>
    </row>
    <row r="231" spans="2:20" x14ac:dyDescent="0.25">
      <c r="B231">
        <v>226</v>
      </c>
      <c r="C231" t="s">
        <v>567</v>
      </c>
      <c r="D231" s="10">
        <v>0.18572928822679979</v>
      </c>
      <c r="E231" s="10">
        <v>1.1263108000965241</v>
      </c>
      <c r="F231" s="10">
        <v>0.64079192268250518</v>
      </c>
      <c r="G231" s="10">
        <v>0.35967331987549522</v>
      </c>
      <c r="H231" s="6">
        <v>0.18039475261660209</v>
      </c>
      <c r="I231" s="10">
        <v>12.52778740077429</v>
      </c>
      <c r="J231" s="7">
        <v>4.3743704935560922E-2</v>
      </c>
      <c r="K231" s="5">
        <v>0.1806051486005841</v>
      </c>
      <c r="L231">
        <v>347.07535658462189</v>
      </c>
      <c r="M231" s="10">
        <v>-0.41211180098778782</v>
      </c>
      <c r="N231" s="24" t="s">
        <v>343</v>
      </c>
      <c r="O231" s="24">
        <v>26.273291940732729</v>
      </c>
      <c r="P231">
        <v>14.672279878228</v>
      </c>
      <c r="Q231" t="s">
        <v>348</v>
      </c>
      <c r="R231" t="s">
        <v>375</v>
      </c>
      <c r="S231" t="s">
        <v>343</v>
      </c>
      <c r="T231" t="s">
        <v>343</v>
      </c>
    </row>
    <row r="232" spans="2:20" x14ac:dyDescent="0.25">
      <c r="B232">
        <v>227</v>
      </c>
      <c r="C232" t="s">
        <v>568</v>
      </c>
      <c r="D232" s="10">
        <v>0.24779740629865379</v>
      </c>
      <c r="E232" s="10">
        <v>0.52293909693803509</v>
      </c>
      <c r="F232" s="10">
        <v>0.50632247209101622</v>
      </c>
      <c r="G232" s="10">
        <v>0.36456664988033283</v>
      </c>
      <c r="H232" s="6">
        <v>0.25835498389969508</v>
      </c>
      <c r="I232" s="10">
        <v>10.52564886470601</v>
      </c>
      <c r="J232" s="7">
        <v>4.2261611777773662E-2</v>
      </c>
      <c r="K232" s="5">
        <v>0.1916157888004423</v>
      </c>
      <c r="L232">
        <v>82.115483491850441</v>
      </c>
      <c r="M232" s="10">
        <v>-0.86090996440632928</v>
      </c>
      <c r="N232" s="24" t="s">
        <v>343</v>
      </c>
      <c r="O232" s="24">
        <v>0</v>
      </c>
      <c r="P232">
        <v>50.13591232037038</v>
      </c>
      <c r="Q232" t="s">
        <v>47</v>
      </c>
      <c r="R232" t="s">
        <v>350</v>
      </c>
      <c r="S232" t="s">
        <v>343</v>
      </c>
      <c r="T232" t="s">
        <v>343</v>
      </c>
    </row>
    <row r="233" spans="2:20" x14ac:dyDescent="0.25">
      <c r="B233">
        <v>228</v>
      </c>
      <c r="C233" t="s">
        <v>569</v>
      </c>
      <c r="D233" s="10">
        <v>0.27070323163083088</v>
      </c>
      <c r="E233" s="10">
        <v>1.034281700046586</v>
      </c>
      <c r="F233" s="10">
        <v>0.48991590956576858</v>
      </c>
      <c r="G233" s="10">
        <v>0.42166422609881438</v>
      </c>
      <c r="H233" s="6">
        <v>0.12730670935163119</v>
      </c>
      <c r="I233" s="10">
        <v>5.075917788792661</v>
      </c>
      <c r="J233" s="7">
        <v>3.0973303767422161E-2</v>
      </c>
      <c r="K233" s="5">
        <v>0.12650432051252569</v>
      </c>
      <c r="L233">
        <v>359.06062049915852</v>
      </c>
      <c r="M233" s="10">
        <v>-0.39181074796362969</v>
      </c>
      <c r="N233" s="24" t="s">
        <v>343</v>
      </c>
      <c r="O233" s="24">
        <v>27.49135512218222</v>
      </c>
      <c r="P233">
        <v>56.791122864332571</v>
      </c>
      <c r="Q233" t="s">
        <v>47</v>
      </c>
      <c r="R233" t="s">
        <v>350</v>
      </c>
      <c r="S233" t="s">
        <v>343</v>
      </c>
      <c r="T233" t="s">
        <v>343</v>
      </c>
    </row>
    <row r="234" spans="2:20" x14ac:dyDescent="0.25">
      <c r="B234">
        <v>229</v>
      </c>
      <c r="C234" t="s">
        <v>570</v>
      </c>
      <c r="D234" s="10">
        <v>0.26431380152041611</v>
      </c>
      <c r="E234" s="10">
        <v>1.01470613363313</v>
      </c>
      <c r="F234" s="10">
        <v>0.53827720514800115</v>
      </c>
      <c r="G234" s="10">
        <v>0.34054601810449459</v>
      </c>
      <c r="H234" s="6">
        <v>0.26864682239143001</v>
      </c>
      <c r="I234" s="10">
        <v>10.12939168070908</v>
      </c>
      <c r="J234" s="7">
        <v>1.20552743412006E-2</v>
      </c>
      <c r="K234" s="5">
        <v>0.1196739625057516</v>
      </c>
      <c r="L234">
        <v>264.5816827408334</v>
      </c>
      <c r="M234" s="10">
        <v>-0.55184242843180631</v>
      </c>
      <c r="N234" s="24" t="s">
        <v>343</v>
      </c>
      <c r="O234" s="24">
        <v>17.889454294091621</v>
      </c>
      <c r="P234">
        <v>62.130491286738383</v>
      </c>
      <c r="Q234" t="s">
        <v>47</v>
      </c>
      <c r="R234" t="s">
        <v>350</v>
      </c>
      <c r="S234" t="s">
        <v>343</v>
      </c>
      <c r="T234" t="s">
        <v>343</v>
      </c>
    </row>
    <row r="235" spans="2:20" x14ac:dyDescent="0.25">
      <c r="B235">
        <v>230</v>
      </c>
      <c r="C235" t="s">
        <v>571</v>
      </c>
      <c r="D235" s="10">
        <v>0.1958830895136896</v>
      </c>
      <c r="E235" s="10">
        <v>1.291329609425774</v>
      </c>
      <c r="F235" s="10">
        <v>0.54205052319025659</v>
      </c>
      <c r="G235" s="10">
        <v>0.41920903869117521</v>
      </c>
      <c r="H235" s="6">
        <v>0.1511719080303012</v>
      </c>
      <c r="I235" s="10">
        <v>8.6650180394343064</v>
      </c>
      <c r="J235" s="7">
        <v>2.589710019830823E-2</v>
      </c>
      <c r="K235" s="5">
        <v>0.1321600559420042</v>
      </c>
      <c r="L235">
        <v>343.9442760289345</v>
      </c>
      <c r="M235" s="10">
        <v>-0.41741533312835472</v>
      </c>
      <c r="N235" s="24" t="s">
        <v>343</v>
      </c>
      <c r="O235" s="24">
        <v>25.955080012298719</v>
      </c>
      <c r="P235">
        <v>60.048788413343622</v>
      </c>
      <c r="Q235" t="s">
        <v>47</v>
      </c>
      <c r="R235" t="s">
        <v>350</v>
      </c>
      <c r="S235" t="s">
        <v>343</v>
      </c>
      <c r="T235" t="s">
        <v>343</v>
      </c>
    </row>
    <row r="236" spans="2:20" x14ac:dyDescent="0.25">
      <c r="B236">
        <v>231</v>
      </c>
      <c r="C236" t="s">
        <v>572</v>
      </c>
      <c r="D236" s="10">
        <v>0.27394867541560569</v>
      </c>
      <c r="E236" s="10">
        <v>1.2138719951229811</v>
      </c>
      <c r="F236" s="10">
        <v>0.66726627638430713</v>
      </c>
      <c r="G236" s="10">
        <v>0.30849098945663439</v>
      </c>
      <c r="H236" s="6">
        <v>0.18131510405985141</v>
      </c>
      <c r="I236" s="10">
        <v>13.80084144804859</v>
      </c>
      <c r="J236" s="7">
        <v>1.627455363928702E-2</v>
      </c>
      <c r="K236" s="5">
        <v>0.1060000369683788</v>
      </c>
      <c r="L236">
        <v>360.84872796177581</v>
      </c>
      <c r="M236" s="10">
        <v>-0.38878198992623197</v>
      </c>
      <c r="N236" s="24" t="s">
        <v>343</v>
      </c>
      <c r="O236" s="24">
        <v>27.67308060442608</v>
      </c>
      <c r="P236">
        <v>49.567081266106783</v>
      </c>
      <c r="Q236" t="s">
        <v>346</v>
      </c>
      <c r="R236" t="s">
        <v>347</v>
      </c>
      <c r="S236" t="s">
        <v>343</v>
      </c>
      <c r="T236" t="s">
        <v>343</v>
      </c>
    </row>
    <row r="237" spans="2:20" x14ac:dyDescent="0.25">
      <c r="B237">
        <v>232</v>
      </c>
      <c r="C237" t="s">
        <v>573</v>
      </c>
      <c r="D237" s="10">
        <v>0.19795985399948801</v>
      </c>
      <c r="E237" s="10">
        <v>1.332313108879539</v>
      </c>
      <c r="F237" s="10">
        <v>0.60079530270275594</v>
      </c>
      <c r="G237" s="10">
        <v>0.36658100447911418</v>
      </c>
      <c r="H237" s="6">
        <v>0.12675769622485761</v>
      </c>
      <c r="I237" s="10">
        <v>8.6096210177245656</v>
      </c>
      <c r="J237" s="7">
        <v>3.1994884394373632E-2</v>
      </c>
      <c r="K237" s="5">
        <v>0.1829761039432532</v>
      </c>
      <c r="L237">
        <v>366.01189796110998</v>
      </c>
      <c r="M237" s="10">
        <v>-0.38003643466131248</v>
      </c>
      <c r="N237" s="24" t="s">
        <v>343</v>
      </c>
      <c r="O237" s="24">
        <v>28.197813920321249</v>
      </c>
      <c r="P237">
        <v>20.4272713718759</v>
      </c>
      <c r="Q237" t="s">
        <v>348</v>
      </c>
      <c r="R237" t="s">
        <v>375</v>
      </c>
      <c r="S237" t="s">
        <v>343</v>
      </c>
      <c r="T237" t="s">
        <v>343</v>
      </c>
    </row>
    <row r="238" spans="2:20" x14ac:dyDescent="0.25">
      <c r="B238">
        <v>233</v>
      </c>
      <c r="C238" t="s">
        <v>574</v>
      </c>
      <c r="D238" s="10">
        <v>0.21206395170548281</v>
      </c>
      <c r="E238" s="10">
        <v>1.2557168199717681</v>
      </c>
      <c r="F238" s="10">
        <v>0.54554997864829324</v>
      </c>
      <c r="G238" s="10">
        <v>0.28586401135815748</v>
      </c>
      <c r="H238" s="6">
        <v>0.20771733046620469</v>
      </c>
      <c r="I238" s="10">
        <v>3.4230048146614802</v>
      </c>
      <c r="J238" s="7">
        <v>1.6648781814159751E-2</v>
      </c>
      <c r="K238" s="5">
        <v>0.18828345065058569</v>
      </c>
      <c r="L238">
        <v>67.210489098225366</v>
      </c>
      <c r="M238" s="10">
        <v>-0.88615655752830158</v>
      </c>
      <c r="N238" s="24" t="s">
        <v>343</v>
      </c>
      <c r="O238" s="24">
        <v>0</v>
      </c>
      <c r="P238">
        <v>56.11495087079161</v>
      </c>
      <c r="Q238" t="s">
        <v>47</v>
      </c>
      <c r="R238" t="s">
        <v>350</v>
      </c>
      <c r="S238" t="s">
        <v>343</v>
      </c>
      <c r="T238" t="s">
        <v>343</v>
      </c>
    </row>
    <row r="239" spans="2:20" x14ac:dyDescent="0.25">
      <c r="B239">
        <v>234</v>
      </c>
      <c r="C239" t="s">
        <v>575</v>
      </c>
      <c r="D239" s="10">
        <v>0.27943862481888387</v>
      </c>
      <c r="E239" s="10">
        <v>1.255563284388737</v>
      </c>
      <c r="F239" s="10">
        <v>0.57894087071429934</v>
      </c>
      <c r="G239" s="10">
        <v>0.3247981092016512</v>
      </c>
      <c r="H239" s="6">
        <v>0.19253328981014869</v>
      </c>
      <c r="I239" s="10">
        <v>5.9060846184220779</v>
      </c>
      <c r="J239" s="7">
        <v>2.6862918114844609E-2</v>
      </c>
      <c r="K239" s="5">
        <v>0.16016378876514739</v>
      </c>
      <c r="L239">
        <v>124.4402149807173</v>
      </c>
      <c r="M239" s="10">
        <v>-0.78921887572311777</v>
      </c>
      <c r="N239" s="24" t="s">
        <v>343</v>
      </c>
      <c r="O239" s="24">
        <v>3.6468674566129309</v>
      </c>
      <c r="P239">
        <v>55.640911830682661</v>
      </c>
      <c r="Q239" t="s">
        <v>47</v>
      </c>
      <c r="R239" t="s">
        <v>350</v>
      </c>
      <c r="S239" t="s">
        <v>343</v>
      </c>
      <c r="T239" t="s">
        <v>343</v>
      </c>
    </row>
    <row r="240" spans="2:20" x14ac:dyDescent="0.25">
      <c r="B240">
        <v>235</v>
      </c>
      <c r="C240" t="s">
        <v>576</v>
      </c>
      <c r="D240" s="10">
        <v>0.26394126384755429</v>
      </c>
      <c r="E240" s="10">
        <v>0.37009565935759009</v>
      </c>
      <c r="F240" s="10">
        <v>0.68803096066457126</v>
      </c>
      <c r="G240" s="10">
        <v>0.42865873352322731</v>
      </c>
      <c r="H240" s="6">
        <v>0.22000605521021699</v>
      </c>
      <c r="I240" s="10">
        <v>13.091199365002421</v>
      </c>
      <c r="J240" s="7">
        <v>1.7196942440106649E-2</v>
      </c>
      <c r="K240" s="5">
        <v>0.17261180722107741</v>
      </c>
      <c r="L240">
        <v>191.9471866896028</v>
      </c>
      <c r="M240" s="10">
        <v>-0.67487324078885269</v>
      </c>
      <c r="N240" s="24" t="s">
        <v>343</v>
      </c>
      <c r="O240" s="24">
        <v>10.50760555266884</v>
      </c>
      <c r="P240">
        <v>57.439785066212167</v>
      </c>
      <c r="Q240" t="s">
        <v>47</v>
      </c>
      <c r="R240" t="s">
        <v>350</v>
      </c>
      <c r="S240" t="s">
        <v>343</v>
      </c>
      <c r="T240" t="s">
        <v>343</v>
      </c>
    </row>
    <row r="241" spans="2:20" x14ac:dyDescent="0.25">
      <c r="B241">
        <v>236</v>
      </c>
      <c r="C241" t="s">
        <v>577</v>
      </c>
      <c r="D241" s="10">
        <v>0.29587574567906849</v>
      </c>
      <c r="E241" s="10">
        <v>1.230558147965551</v>
      </c>
      <c r="F241" s="10">
        <v>0.46943581591857281</v>
      </c>
      <c r="G241" s="10">
        <v>0.28751740255586611</v>
      </c>
      <c r="H241" s="6">
        <v>0.2014017190937209</v>
      </c>
      <c r="I241" s="10">
        <v>13.585919634912999</v>
      </c>
      <c r="J241" s="7">
        <v>1.6364579561515651E-2</v>
      </c>
      <c r="K241" s="5">
        <v>0.16352181435633981</v>
      </c>
      <c r="L241">
        <v>249.62712669247929</v>
      </c>
      <c r="M241" s="10">
        <v>-0.57717297079242624</v>
      </c>
      <c r="N241" s="24" t="s">
        <v>343</v>
      </c>
      <c r="O241" s="24">
        <v>16.369621752454421</v>
      </c>
      <c r="P241">
        <v>14.819329787722181</v>
      </c>
      <c r="Q241" t="s">
        <v>348</v>
      </c>
      <c r="R241" t="s">
        <v>371</v>
      </c>
      <c r="S241" t="s">
        <v>343</v>
      </c>
      <c r="T241" t="s">
        <v>343</v>
      </c>
    </row>
    <row r="242" spans="2:20" x14ac:dyDescent="0.25">
      <c r="B242">
        <v>237</v>
      </c>
      <c r="C242" t="s">
        <v>578</v>
      </c>
      <c r="D242" s="10">
        <v>0.26521806276805487</v>
      </c>
      <c r="E242" s="10">
        <v>0.96822623395342977</v>
      </c>
      <c r="F242" s="10">
        <v>0.49400603564841977</v>
      </c>
      <c r="G242" s="10">
        <v>0.41825268183783892</v>
      </c>
      <c r="H242" s="6">
        <v>0.17972666769706039</v>
      </c>
      <c r="I242" s="10">
        <v>11.01348434304848</v>
      </c>
      <c r="J242" s="7">
        <v>1.8677325157971481E-2</v>
      </c>
      <c r="K242" s="5">
        <v>0.1358486517825376</v>
      </c>
      <c r="L242">
        <v>298.35925936837828</v>
      </c>
      <c r="M242" s="10">
        <v>-0.49462880518303831</v>
      </c>
      <c r="N242" s="24" t="s">
        <v>343</v>
      </c>
      <c r="O242" s="24">
        <v>21.3222716890177</v>
      </c>
      <c r="P242">
        <v>21.132212677727061</v>
      </c>
      <c r="Q242" t="s">
        <v>348</v>
      </c>
      <c r="R242" t="s">
        <v>371</v>
      </c>
      <c r="S242" t="s">
        <v>343</v>
      </c>
      <c r="T242" t="s">
        <v>343</v>
      </c>
    </row>
    <row r="243" spans="2:20" x14ac:dyDescent="0.25">
      <c r="B243">
        <v>238</v>
      </c>
      <c r="C243" t="s">
        <v>579</v>
      </c>
      <c r="D243" s="10">
        <v>0.25092937653367547</v>
      </c>
      <c r="E243" s="10">
        <v>0.71848889694255724</v>
      </c>
      <c r="F243" s="10">
        <v>0.69025746371250429</v>
      </c>
      <c r="G243" s="10">
        <v>0.30223176472642937</v>
      </c>
      <c r="H243" s="6">
        <v>0.23066350467175059</v>
      </c>
      <c r="I243" s="10">
        <v>3.6255028866566739</v>
      </c>
      <c r="J243" s="7">
        <v>1.1021875943059759E-2</v>
      </c>
      <c r="K243" s="5">
        <v>0.16004402439515519</v>
      </c>
      <c r="L243">
        <v>87.530666670956577</v>
      </c>
      <c r="M243" s="10">
        <v>-0.85173754053327411</v>
      </c>
      <c r="N243" s="24" t="s">
        <v>343</v>
      </c>
      <c r="O243" s="24">
        <v>0</v>
      </c>
      <c r="P243">
        <v>56.231381401484128</v>
      </c>
      <c r="Q243" t="s">
        <v>47</v>
      </c>
      <c r="R243" t="s">
        <v>350</v>
      </c>
      <c r="S243" t="s">
        <v>343</v>
      </c>
      <c r="T243" t="s">
        <v>343</v>
      </c>
    </row>
    <row r="244" spans="2:20" x14ac:dyDescent="0.25">
      <c r="B244">
        <v>239</v>
      </c>
      <c r="C244" t="s">
        <v>580</v>
      </c>
      <c r="D244" s="10">
        <v>0.17498796285249479</v>
      </c>
      <c r="E244" s="10">
        <v>0.36216608682686852</v>
      </c>
      <c r="F244" s="10">
        <v>0.688904460617073</v>
      </c>
      <c r="G244" s="10">
        <v>0.24758773832947981</v>
      </c>
      <c r="H244" s="6">
        <v>0.1237531691680437</v>
      </c>
      <c r="I244" s="10">
        <v>3.258955265208924</v>
      </c>
      <c r="J244" s="7">
        <v>3.5064022458295291E-2</v>
      </c>
      <c r="K244" s="5">
        <v>0.17945041623313571</v>
      </c>
      <c r="L244">
        <v>61.364404346910952</v>
      </c>
      <c r="M244" s="10">
        <v>-0.89605885733299828</v>
      </c>
      <c r="N244" s="24" t="s">
        <v>343</v>
      </c>
      <c r="O244" s="24">
        <v>0</v>
      </c>
      <c r="P244">
        <v>56.908928635986122</v>
      </c>
      <c r="Q244" t="s">
        <v>47</v>
      </c>
      <c r="R244" t="s">
        <v>350</v>
      </c>
      <c r="S244" t="s">
        <v>343</v>
      </c>
      <c r="T244" t="s">
        <v>343</v>
      </c>
    </row>
    <row r="245" spans="2:20" x14ac:dyDescent="0.25">
      <c r="B245">
        <v>240</v>
      </c>
      <c r="C245" t="s">
        <v>581</v>
      </c>
      <c r="D245" s="10">
        <v>0.21883452848950941</v>
      </c>
      <c r="E245" s="10">
        <v>1.045441152244851</v>
      </c>
      <c r="F245" s="10">
        <v>0.48606300952884091</v>
      </c>
      <c r="G245" s="10">
        <v>0.26418560541250619</v>
      </c>
      <c r="H245" s="6">
        <v>0.20115435313118929</v>
      </c>
      <c r="I245" s="10">
        <v>8.2755450307901022</v>
      </c>
      <c r="J245" s="7">
        <v>2.0735423172252441E-2</v>
      </c>
      <c r="K245" s="5">
        <v>0.1769412039723979</v>
      </c>
      <c r="L245">
        <v>146.80853173217031</v>
      </c>
      <c r="M245" s="10">
        <v>-0.75133065000940247</v>
      </c>
      <c r="N245" s="24" t="s">
        <v>343</v>
      </c>
      <c r="O245" s="24">
        <v>5.9201609994358577</v>
      </c>
      <c r="P245">
        <v>57.092415688071881</v>
      </c>
      <c r="Q245" t="s">
        <v>47</v>
      </c>
      <c r="R245" t="s">
        <v>350</v>
      </c>
      <c r="S245" t="s">
        <v>343</v>
      </c>
      <c r="T245" t="s">
        <v>343</v>
      </c>
    </row>
    <row r="246" spans="2:20" x14ac:dyDescent="0.25">
      <c r="B246">
        <v>241</v>
      </c>
      <c r="C246" t="s">
        <v>582</v>
      </c>
      <c r="D246" s="10">
        <v>0.20243237882907611</v>
      </c>
      <c r="E246" s="10">
        <v>0.66102192559137918</v>
      </c>
      <c r="F246" s="10">
        <v>0.47772829245257747</v>
      </c>
      <c r="G246" s="10">
        <v>0.40409349997057342</v>
      </c>
      <c r="H246" s="6">
        <v>0.1370814305743514</v>
      </c>
      <c r="I246" s="10">
        <v>13.996395372169729</v>
      </c>
      <c r="J246" s="7">
        <v>3.4433781887843309E-2</v>
      </c>
      <c r="K246" s="5">
        <v>0.10770046500958411</v>
      </c>
      <c r="L246">
        <v>433.39440950348171</v>
      </c>
      <c r="M246" s="10">
        <v>-0.26590161464591849</v>
      </c>
      <c r="N246" s="24" t="s">
        <v>343</v>
      </c>
      <c r="O246" s="24">
        <v>35.045903121244891</v>
      </c>
      <c r="P246">
        <v>20.468937858398242</v>
      </c>
      <c r="Q246" t="s">
        <v>348</v>
      </c>
      <c r="R246" t="s">
        <v>371</v>
      </c>
      <c r="S246" t="s">
        <v>343</v>
      </c>
      <c r="T246" t="s">
        <v>343</v>
      </c>
    </row>
    <row r="247" spans="2:20" x14ac:dyDescent="0.25">
      <c r="B247">
        <v>242</v>
      </c>
      <c r="C247" t="s">
        <v>583</v>
      </c>
      <c r="D247" s="10">
        <v>0.1990383429406534</v>
      </c>
      <c r="E247" s="10">
        <v>0.81455389148463819</v>
      </c>
      <c r="F247" s="10">
        <v>0.5494821349280411</v>
      </c>
      <c r="G247" s="10">
        <v>0.29765560383047263</v>
      </c>
      <c r="H247" s="6">
        <v>0.18540124996287499</v>
      </c>
      <c r="I247" s="10">
        <v>12.562264112493461</v>
      </c>
      <c r="J247" s="7">
        <v>3.287173764520214E-2</v>
      </c>
      <c r="K247" s="5">
        <v>0.1439470912515961</v>
      </c>
      <c r="L247">
        <v>168.83295659859621</v>
      </c>
      <c r="M247" s="10">
        <v>-0.71402492022087449</v>
      </c>
      <c r="N247" s="24" t="s">
        <v>343</v>
      </c>
      <c r="O247" s="24">
        <v>8.1585047867475353</v>
      </c>
      <c r="P247">
        <v>60.04413958437037</v>
      </c>
      <c r="Q247" t="s">
        <v>47</v>
      </c>
      <c r="R247" t="s">
        <v>350</v>
      </c>
      <c r="S247" t="s">
        <v>343</v>
      </c>
      <c r="T247" t="s">
        <v>343</v>
      </c>
    </row>
    <row r="248" spans="2:20" x14ac:dyDescent="0.25">
      <c r="B248">
        <v>243</v>
      </c>
      <c r="C248" t="s">
        <v>584</v>
      </c>
      <c r="D248" s="10">
        <v>0.31568168876039132</v>
      </c>
      <c r="E248" s="10">
        <v>1.049901280760648</v>
      </c>
      <c r="F248" s="10">
        <v>0.45292675604687199</v>
      </c>
      <c r="G248" s="10">
        <v>0.38391203029307991</v>
      </c>
      <c r="H248" s="6">
        <v>0.23866879752870249</v>
      </c>
      <c r="I248" s="10">
        <v>13.264183829701979</v>
      </c>
      <c r="J248" s="7">
        <v>1.231394305181153E-2</v>
      </c>
      <c r="K248" s="5">
        <v>0.13774553907593881</v>
      </c>
      <c r="L248">
        <v>328.62393552616618</v>
      </c>
      <c r="M248" s="10">
        <v>-0.44336545380259612</v>
      </c>
      <c r="N248" s="24" t="s">
        <v>343</v>
      </c>
      <c r="O248" s="24">
        <v>24.398072771844241</v>
      </c>
      <c r="P248">
        <v>17.210940869594928</v>
      </c>
      <c r="Q248" t="s">
        <v>348</v>
      </c>
      <c r="R248" t="s">
        <v>371</v>
      </c>
      <c r="S248" t="s">
        <v>343</v>
      </c>
      <c r="T248" t="s">
        <v>343</v>
      </c>
    </row>
    <row r="249" spans="2:20" x14ac:dyDescent="0.25">
      <c r="B249">
        <v>244</v>
      </c>
      <c r="C249" t="s">
        <v>585</v>
      </c>
      <c r="D249" s="10">
        <v>0.22289563594668171</v>
      </c>
      <c r="E249" s="10">
        <v>1.302952001726557</v>
      </c>
      <c r="F249" s="10">
        <v>0.61027491839413639</v>
      </c>
      <c r="G249" s="10">
        <v>0.39382375860659119</v>
      </c>
      <c r="H249" s="6">
        <v>0.14136911193905999</v>
      </c>
      <c r="I249" s="10">
        <v>9.8589565549221145</v>
      </c>
      <c r="J249" s="7">
        <v>2.0921216534316691E-2</v>
      </c>
      <c r="K249" s="5">
        <v>0.17144083084908721</v>
      </c>
      <c r="L249">
        <v>299.21247784628758</v>
      </c>
      <c r="M249" s="10">
        <v>-0.4931835943237079</v>
      </c>
      <c r="N249" s="24" t="s">
        <v>343</v>
      </c>
      <c r="O249" s="24">
        <v>21.408984340577529</v>
      </c>
      <c r="P249">
        <v>59.873770835087292</v>
      </c>
      <c r="Q249" t="s">
        <v>47</v>
      </c>
      <c r="R249" t="s">
        <v>350</v>
      </c>
      <c r="S249" t="s">
        <v>343</v>
      </c>
      <c r="T249" t="s">
        <v>343</v>
      </c>
    </row>
    <row r="250" spans="2:20" x14ac:dyDescent="0.25">
      <c r="B250">
        <v>245</v>
      </c>
      <c r="C250" t="s">
        <v>586</v>
      </c>
      <c r="D250" s="10">
        <v>0.30272744882833807</v>
      </c>
      <c r="E250" s="10">
        <v>1.2079806071654979</v>
      </c>
      <c r="F250" s="10">
        <v>0.46014896563205299</v>
      </c>
      <c r="G250" s="10">
        <v>0.31592606217563068</v>
      </c>
      <c r="H250" s="6">
        <v>0.26037155231587278</v>
      </c>
      <c r="I250" s="10">
        <v>12.450372010766509</v>
      </c>
      <c r="J250" s="7">
        <v>2.9840118665784472E-2</v>
      </c>
      <c r="K250" s="5">
        <v>0.1476307142568494</v>
      </c>
      <c r="L250">
        <v>257.9327334867919</v>
      </c>
      <c r="M250" s="10">
        <v>-0.56310464779749902</v>
      </c>
      <c r="N250" s="24" t="s">
        <v>343</v>
      </c>
      <c r="O250" s="24">
        <v>17.213721132150059</v>
      </c>
      <c r="P250">
        <v>15.973701942810591</v>
      </c>
      <c r="Q250" t="s">
        <v>348</v>
      </c>
      <c r="R250" t="s">
        <v>371</v>
      </c>
      <c r="S250" t="s">
        <v>343</v>
      </c>
      <c r="T250" t="s">
        <v>343</v>
      </c>
    </row>
    <row r="251" spans="2:20" x14ac:dyDescent="0.25">
      <c r="B251">
        <v>246</v>
      </c>
      <c r="C251" t="s">
        <v>587</v>
      </c>
      <c r="D251" s="10">
        <v>0.26098218015956209</v>
      </c>
      <c r="E251" s="10">
        <v>0.79565684201395981</v>
      </c>
      <c r="F251" s="10">
        <v>0.45508770304451301</v>
      </c>
      <c r="G251" s="10">
        <v>0.34448217718645091</v>
      </c>
      <c r="H251" s="6">
        <v>0.25327570385871068</v>
      </c>
      <c r="I251" s="10">
        <v>6.5166821183691166</v>
      </c>
      <c r="J251" s="7">
        <v>4.2144041789636287E-2</v>
      </c>
      <c r="K251" s="5">
        <v>0.13322160531409491</v>
      </c>
      <c r="L251">
        <v>198.6620773388579</v>
      </c>
      <c r="M251" s="10">
        <v>-0.66349932761564234</v>
      </c>
      <c r="N251" s="24" t="s">
        <v>343</v>
      </c>
      <c r="O251" s="24">
        <v>11.19004034306146</v>
      </c>
      <c r="P251">
        <v>55.527481711833282</v>
      </c>
      <c r="Q251" t="s">
        <v>47</v>
      </c>
      <c r="R251" t="s">
        <v>350</v>
      </c>
      <c r="S251" t="s">
        <v>343</v>
      </c>
      <c r="T251" t="s">
        <v>343</v>
      </c>
    </row>
    <row r="252" spans="2:20" x14ac:dyDescent="0.25">
      <c r="B252">
        <v>247</v>
      </c>
      <c r="C252" t="s">
        <v>588</v>
      </c>
      <c r="D252" s="10">
        <v>0.28716980856666369</v>
      </c>
      <c r="E252" s="10">
        <v>0.72656147319101683</v>
      </c>
      <c r="F252" s="10">
        <v>0.56614860341430084</v>
      </c>
      <c r="G252" s="10">
        <v>0.32882875990027832</v>
      </c>
      <c r="H252" s="6">
        <v>0.18223576063000479</v>
      </c>
      <c r="I252" s="10">
        <v>3.301004037961345</v>
      </c>
      <c r="J252" s="7">
        <v>2.4046189865697579E-2</v>
      </c>
      <c r="K252" s="5">
        <v>0.16710322725635421</v>
      </c>
      <c r="L252">
        <v>66.44294353251307</v>
      </c>
      <c r="M252" s="10">
        <v>-0.88745665265671037</v>
      </c>
      <c r="N252" s="24" t="s">
        <v>343</v>
      </c>
      <c r="O252" s="24">
        <v>0</v>
      </c>
      <c r="P252">
        <v>57.599143714745573</v>
      </c>
      <c r="Q252" t="s">
        <v>47</v>
      </c>
      <c r="R252" t="s">
        <v>350</v>
      </c>
      <c r="S252" t="s">
        <v>343</v>
      </c>
      <c r="T252" t="s">
        <v>343</v>
      </c>
    </row>
    <row r="253" spans="2:20" x14ac:dyDescent="0.25">
      <c r="B253">
        <v>248</v>
      </c>
      <c r="C253" t="s">
        <v>589</v>
      </c>
      <c r="D253" s="10">
        <v>0.2404219348968307</v>
      </c>
      <c r="E253" s="10">
        <v>0.5637577127284521</v>
      </c>
      <c r="F253" s="10">
        <v>0.68902452538862635</v>
      </c>
      <c r="G253" s="10">
        <v>0.44841677919799749</v>
      </c>
      <c r="H253" s="6">
        <v>0.1208962261088905</v>
      </c>
      <c r="I253" s="10">
        <v>13.100756910448901</v>
      </c>
      <c r="J253" s="7">
        <v>2.7667704082539501E-2</v>
      </c>
      <c r="K253" s="5">
        <v>0.1449899594319104</v>
      </c>
      <c r="L253">
        <v>138.33314039531589</v>
      </c>
      <c r="M253" s="10">
        <v>-0.76568655991317058</v>
      </c>
      <c r="N253" s="24" t="s">
        <v>343</v>
      </c>
      <c r="O253" s="24">
        <v>5.058806405209765</v>
      </c>
      <c r="P253">
        <v>44.555396044275078</v>
      </c>
      <c r="Q253" t="s">
        <v>346</v>
      </c>
      <c r="R253" t="s">
        <v>347</v>
      </c>
      <c r="S253" t="s">
        <v>343</v>
      </c>
      <c r="T253" t="s">
        <v>343</v>
      </c>
    </row>
    <row r="254" spans="2:20" x14ac:dyDescent="0.25">
      <c r="B254">
        <v>249</v>
      </c>
      <c r="C254" t="s">
        <v>590</v>
      </c>
      <c r="D254" s="10">
        <v>0.25230462154021749</v>
      </c>
      <c r="E254" s="10">
        <v>0.709669426293565</v>
      </c>
      <c r="F254" s="10">
        <v>0.55096694337642149</v>
      </c>
      <c r="G254" s="10">
        <v>0.3103887497173492</v>
      </c>
      <c r="H254" s="6">
        <v>0.23846172400117291</v>
      </c>
      <c r="I254" s="10">
        <v>5.4027368711382584</v>
      </c>
      <c r="J254" s="7">
        <v>3.6255558122512258E-2</v>
      </c>
      <c r="K254" s="5">
        <v>0.1243792826365326</v>
      </c>
      <c r="L254">
        <v>116.6095525309634</v>
      </c>
      <c r="M254" s="10">
        <v>-0.80248272162090628</v>
      </c>
      <c r="N254" s="24" t="s">
        <v>343</v>
      </c>
      <c r="O254" s="24">
        <v>2.8510367027456169</v>
      </c>
      <c r="P254">
        <v>61.117644698758603</v>
      </c>
      <c r="Q254" t="s">
        <v>47</v>
      </c>
      <c r="R254" t="s">
        <v>350</v>
      </c>
      <c r="S254" t="s">
        <v>343</v>
      </c>
      <c r="T254" t="s">
        <v>343</v>
      </c>
    </row>
    <row r="255" spans="2:20" x14ac:dyDescent="0.25">
      <c r="B255">
        <v>250</v>
      </c>
      <c r="C255" t="s">
        <v>591</v>
      </c>
      <c r="D255" s="10">
        <v>0.23880283101101821</v>
      </c>
      <c r="E255" s="10">
        <v>0.42215102602108812</v>
      </c>
      <c r="F255" s="10">
        <v>0.53268510125174329</v>
      </c>
      <c r="G255" s="10">
        <v>0.28033106928949142</v>
      </c>
      <c r="H255" s="6">
        <v>0.25213437051184251</v>
      </c>
      <c r="I255" s="10">
        <v>11.013349904353531</v>
      </c>
      <c r="J255" s="7">
        <v>3.8115341583537701E-2</v>
      </c>
      <c r="K255" s="5">
        <v>0.18458960764797139</v>
      </c>
      <c r="L255">
        <v>100.3000045338938</v>
      </c>
      <c r="M255" s="10">
        <v>-0.83010839603655062</v>
      </c>
      <c r="N255" s="24" t="s">
        <v>343</v>
      </c>
      <c r="O255" s="24">
        <v>1.193496237806968</v>
      </c>
      <c r="P255">
        <v>56.251511394709723</v>
      </c>
      <c r="Q255" t="s">
        <v>47</v>
      </c>
      <c r="R255" t="s">
        <v>350</v>
      </c>
      <c r="S255" t="s">
        <v>343</v>
      </c>
      <c r="T255" t="s">
        <v>343</v>
      </c>
    </row>
    <row r="256" spans="2:20" x14ac:dyDescent="0.25">
      <c r="B256">
        <v>251</v>
      </c>
      <c r="C256" t="s">
        <v>592</v>
      </c>
      <c r="D256" s="10">
        <v>0.19123887804768711</v>
      </c>
      <c r="E256" s="10">
        <v>1.36821605920123</v>
      </c>
      <c r="F256" s="10">
        <v>0.69946874603059428</v>
      </c>
      <c r="G256" s="10">
        <v>0.32043042543262718</v>
      </c>
      <c r="H256" s="6">
        <v>0.14621071385331491</v>
      </c>
      <c r="I256" s="10">
        <v>10.248640463648689</v>
      </c>
      <c r="J256" s="7">
        <v>4.2316917629036638E-2</v>
      </c>
      <c r="K256" s="5">
        <v>0.1107395455745399</v>
      </c>
      <c r="L256">
        <v>493.40363971424023</v>
      </c>
      <c r="M256" s="10">
        <v>-0.1642559126293</v>
      </c>
      <c r="N256" s="24" t="s">
        <v>343</v>
      </c>
      <c r="O256" s="24">
        <v>46.791376600432997</v>
      </c>
      <c r="P256">
        <v>12.9315304166769</v>
      </c>
      <c r="Q256" t="s">
        <v>348</v>
      </c>
      <c r="R256" t="s">
        <v>353</v>
      </c>
      <c r="S256" t="s">
        <v>343</v>
      </c>
      <c r="T256" t="s">
        <v>343</v>
      </c>
    </row>
    <row r="257" spans="2:20" x14ac:dyDescent="0.25">
      <c r="B257">
        <v>252</v>
      </c>
      <c r="C257" t="s">
        <v>593</v>
      </c>
      <c r="D257" s="10">
        <v>0.27559233844184078</v>
      </c>
      <c r="E257" s="10">
        <v>0.93130918835553667</v>
      </c>
      <c r="F257" s="10">
        <v>0.57831192980258761</v>
      </c>
      <c r="G257" s="10">
        <v>0.38729345567244272</v>
      </c>
      <c r="H257" s="6">
        <v>0.25742883132248362</v>
      </c>
      <c r="I257" s="10">
        <v>4.7397990326162294</v>
      </c>
      <c r="J257" s="7">
        <v>2.7401630307060051E-2</v>
      </c>
      <c r="K257" s="5">
        <v>0.1017183321541212</v>
      </c>
      <c r="L257">
        <v>240.10816143286871</v>
      </c>
      <c r="M257" s="10">
        <v>-0.59329652216755235</v>
      </c>
      <c r="N257" s="24" t="s">
        <v>343</v>
      </c>
      <c r="O257" s="24">
        <v>15.402208669946861</v>
      </c>
      <c r="P257">
        <v>54.783737926736137</v>
      </c>
      <c r="Q257" t="s">
        <v>47</v>
      </c>
      <c r="R257" t="s">
        <v>350</v>
      </c>
      <c r="S257" t="s">
        <v>343</v>
      </c>
      <c r="T257" t="s">
        <v>343</v>
      </c>
    </row>
    <row r="258" spans="2:20" x14ac:dyDescent="0.25">
      <c r="B258">
        <v>253</v>
      </c>
      <c r="C258" t="s">
        <v>594</v>
      </c>
      <c r="D258" s="10">
        <v>0.2049235779905369</v>
      </c>
      <c r="E258" s="10">
        <v>0.44058642707473422</v>
      </c>
      <c r="F258" s="10">
        <v>0.53756276579146456</v>
      </c>
      <c r="G258" s="10">
        <v>0.39341979187952242</v>
      </c>
      <c r="H258" s="6">
        <v>0.25711459159420441</v>
      </c>
      <c r="I258" s="10">
        <v>5.1535689618426117</v>
      </c>
      <c r="J258" s="7">
        <v>1.6784327532565289E-2</v>
      </c>
      <c r="K258" s="5">
        <v>0.1136715481015637</v>
      </c>
      <c r="L258">
        <v>59.162374517744183</v>
      </c>
      <c r="M258" s="10">
        <v>-0.89978873133839865</v>
      </c>
      <c r="N258" s="24" t="s">
        <v>343</v>
      </c>
      <c r="O258" s="24">
        <v>0</v>
      </c>
      <c r="P258">
        <v>61.046589341459693</v>
      </c>
      <c r="Q258" t="s">
        <v>47</v>
      </c>
      <c r="R258" t="s">
        <v>350</v>
      </c>
      <c r="S258" t="s">
        <v>343</v>
      </c>
      <c r="T258" t="s">
        <v>343</v>
      </c>
    </row>
    <row r="259" spans="2:20" x14ac:dyDescent="0.25">
      <c r="B259">
        <v>254</v>
      </c>
      <c r="C259" t="s">
        <v>595</v>
      </c>
      <c r="D259" s="10">
        <v>0.1638905546290326</v>
      </c>
      <c r="E259" s="10">
        <v>0.68808661019249628</v>
      </c>
      <c r="F259" s="10">
        <v>0.54032381146881647</v>
      </c>
      <c r="G259" s="10">
        <v>0.44329260937920162</v>
      </c>
      <c r="H259" s="6">
        <v>0.19069362765512859</v>
      </c>
      <c r="I259" s="10">
        <v>6.6197972957277544</v>
      </c>
      <c r="J259" s="7">
        <v>3.6754743043037108E-2</v>
      </c>
      <c r="K259" s="5">
        <v>0.1155461090822477</v>
      </c>
      <c r="L259">
        <v>184.99073622183289</v>
      </c>
      <c r="M259" s="10">
        <v>-0.68665631630668411</v>
      </c>
      <c r="N259" s="24" t="s">
        <v>343</v>
      </c>
      <c r="O259" s="24">
        <v>9.8006210215989533</v>
      </c>
      <c r="P259">
        <v>65.008628730147507</v>
      </c>
      <c r="Q259" t="s">
        <v>47</v>
      </c>
      <c r="R259" t="s">
        <v>350</v>
      </c>
      <c r="S259" t="s">
        <v>343</v>
      </c>
      <c r="T259" t="s">
        <v>343</v>
      </c>
    </row>
    <row r="260" spans="2:20" x14ac:dyDescent="0.25">
      <c r="B260">
        <v>255</v>
      </c>
      <c r="C260" t="s">
        <v>596</v>
      </c>
      <c r="D260" s="10">
        <v>0.26327556734514679</v>
      </c>
      <c r="E260" s="10">
        <v>0.90174305798272147</v>
      </c>
      <c r="F260" s="10">
        <v>0.49068946896871268</v>
      </c>
      <c r="G260" s="10">
        <v>0.43398598667267813</v>
      </c>
      <c r="H260" s="6">
        <v>0.23970522161967631</v>
      </c>
      <c r="I260" s="10">
        <v>11.326237182434429</v>
      </c>
      <c r="J260" s="7">
        <v>1.439513426118795E-2</v>
      </c>
      <c r="K260" s="5">
        <v>0.15111400900451871</v>
      </c>
      <c r="L260">
        <v>229.94898581769209</v>
      </c>
      <c r="M260" s="10">
        <v>-0.61050448390423862</v>
      </c>
      <c r="N260" s="24" t="s">
        <v>343</v>
      </c>
      <c r="O260" s="24">
        <v>14.36973096574568</v>
      </c>
      <c r="P260">
        <v>21.492561420468871</v>
      </c>
      <c r="Q260" t="s">
        <v>348</v>
      </c>
      <c r="R260" t="s">
        <v>371</v>
      </c>
      <c r="S260" t="s">
        <v>343</v>
      </c>
      <c r="T260" t="s">
        <v>343</v>
      </c>
    </row>
    <row r="261" spans="2:20" x14ac:dyDescent="0.25">
      <c r="B261">
        <v>256</v>
      </c>
      <c r="C261" t="s">
        <v>597</v>
      </c>
      <c r="D261" s="10">
        <v>0.18833770870512781</v>
      </c>
      <c r="E261" s="10">
        <v>0.88617420030495642</v>
      </c>
      <c r="F261" s="10">
        <v>0.57317799493636012</v>
      </c>
      <c r="G261" s="10">
        <v>0.30343051449180058</v>
      </c>
      <c r="H261" s="6">
        <v>0.18674219674079831</v>
      </c>
      <c r="I261" s="10">
        <v>3.4316866916622342</v>
      </c>
      <c r="J261" s="7">
        <v>2.4641980926041359E-2</v>
      </c>
      <c r="K261" s="5">
        <v>0.1593622225605186</v>
      </c>
      <c r="L261">
        <v>91.86253315272684</v>
      </c>
      <c r="M261" s="10">
        <v>-0.84440007581267429</v>
      </c>
      <c r="N261" s="24" t="s">
        <v>343</v>
      </c>
      <c r="O261" s="24">
        <v>0.33599545123954749</v>
      </c>
      <c r="P261">
        <v>66.336705826254075</v>
      </c>
      <c r="Q261" t="s">
        <v>47</v>
      </c>
      <c r="R261" t="s">
        <v>350</v>
      </c>
      <c r="S261" t="s">
        <v>343</v>
      </c>
      <c r="T261" t="s">
        <v>343</v>
      </c>
    </row>
    <row r="262" spans="2:20" x14ac:dyDescent="0.25">
      <c r="B262">
        <v>257</v>
      </c>
      <c r="C262" t="s">
        <v>598</v>
      </c>
      <c r="D262" s="10">
        <v>0.31047337349646631</v>
      </c>
      <c r="E262" s="10">
        <v>0.33905370559049558</v>
      </c>
      <c r="F262" s="10">
        <v>0.55410230732368149</v>
      </c>
      <c r="G262" s="10">
        <v>0.3401359147728712</v>
      </c>
      <c r="H262" s="6">
        <v>0.20460693988779269</v>
      </c>
      <c r="I262" s="10">
        <v>7.4777561431742452</v>
      </c>
      <c r="J262" s="7">
        <v>3.1987456744820592E-2</v>
      </c>
      <c r="K262" s="5">
        <v>0.14261805773558589</v>
      </c>
      <c r="L262">
        <v>115.1674093033167</v>
      </c>
      <c r="M262" s="10">
        <v>-0.80492547351537014</v>
      </c>
      <c r="N262" s="24" t="s">
        <v>343</v>
      </c>
      <c r="O262" s="24">
        <v>2.7044715890777908</v>
      </c>
      <c r="P262">
        <v>62.834637066651503</v>
      </c>
      <c r="Q262" t="s">
        <v>47</v>
      </c>
      <c r="R262" t="s">
        <v>350</v>
      </c>
      <c r="S262" t="s">
        <v>343</v>
      </c>
      <c r="T262" t="s">
        <v>343</v>
      </c>
    </row>
    <row r="263" spans="2:20" x14ac:dyDescent="0.25">
      <c r="B263">
        <v>258</v>
      </c>
      <c r="C263" t="s">
        <v>599</v>
      </c>
      <c r="D263" s="10">
        <v>0.31262857232041402</v>
      </c>
      <c r="E263" s="10">
        <v>1.345925137652022</v>
      </c>
      <c r="F263" s="10">
        <v>0.51040677705032744</v>
      </c>
      <c r="G263" s="10">
        <v>0.40439917740035553</v>
      </c>
      <c r="H263" s="6">
        <v>0.16797585147146449</v>
      </c>
      <c r="I263" s="10">
        <v>10.31624526917423</v>
      </c>
      <c r="J263" s="7">
        <v>3.4214966525297583E-2</v>
      </c>
      <c r="K263" s="5">
        <v>0.1193962683015027</v>
      </c>
      <c r="L263">
        <v>418.03083340778448</v>
      </c>
      <c r="M263" s="10">
        <v>-0.29192496925733802</v>
      </c>
      <c r="N263" s="24" t="s">
        <v>343</v>
      </c>
      <c r="O263" s="24">
        <v>33.484501844559723</v>
      </c>
      <c r="P263">
        <v>46.164197658980846</v>
      </c>
      <c r="Q263" t="s">
        <v>346</v>
      </c>
      <c r="R263" t="s">
        <v>347</v>
      </c>
      <c r="S263" t="s">
        <v>343</v>
      </c>
      <c r="T263" t="s">
        <v>343</v>
      </c>
    </row>
    <row r="264" spans="2:20" x14ac:dyDescent="0.25">
      <c r="B264">
        <v>259</v>
      </c>
      <c r="C264" t="s">
        <v>600</v>
      </c>
      <c r="D264" s="10">
        <v>0.30637830243527181</v>
      </c>
      <c r="E264" s="10">
        <v>0.60291324962243897</v>
      </c>
      <c r="F264" s="10">
        <v>0.48174042251645749</v>
      </c>
      <c r="G264" s="10">
        <v>0.4416382017324455</v>
      </c>
      <c r="H264" s="6">
        <v>0.14392040179812371</v>
      </c>
      <c r="I264" s="10">
        <v>4.8861804053249642</v>
      </c>
      <c r="J264" s="7">
        <v>3.5655970102557437E-2</v>
      </c>
      <c r="K264" s="5">
        <v>0.11255813538542291</v>
      </c>
      <c r="L264">
        <v>186.2146162989512</v>
      </c>
      <c r="M264" s="10">
        <v>-0.68458326605781528</v>
      </c>
      <c r="N264" s="24" t="s">
        <v>343</v>
      </c>
      <c r="O264" s="24">
        <v>9.9250040365310852</v>
      </c>
      <c r="P264">
        <v>51.223404244769817</v>
      </c>
      <c r="Q264" t="s">
        <v>47</v>
      </c>
      <c r="R264" t="s">
        <v>350</v>
      </c>
      <c r="S264" t="s">
        <v>343</v>
      </c>
      <c r="T264" t="s">
        <v>343</v>
      </c>
    </row>
    <row r="265" spans="2:20" x14ac:dyDescent="0.25">
      <c r="B265">
        <v>260</v>
      </c>
      <c r="C265" t="s">
        <v>601</v>
      </c>
      <c r="D265" s="10">
        <v>0.2192253920408711</v>
      </c>
      <c r="E265" s="10">
        <v>0.3178031358250803</v>
      </c>
      <c r="F265" s="10">
        <v>0.52092210585356391</v>
      </c>
      <c r="G265" s="10">
        <v>0.31417630282851622</v>
      </c>
      <c r="H265" s="6">
        <v>0.23198048757210479</v>
      </c>
      <c r="I265" s="10">
        <v>4.3135899983540238</v>
      </c>
      <c r="J265" s="7">
        <v>1.6773633703914659E-2</v>
      </c>
      <c r="K265" s="5">
        <v>0.14675443706675401</v>
      </c>
      <c r="L265">
        <v>97.292037742104938</v>
      </c>
      <c r="M265" s="10">
        <v>-0.83520339384139242</v>
      </c>
      <c r="N265" s="24" t="s">
        <v>343</v>
      </c>
      <c r="O265" s="24">
        <v>0.88779636951645813</v>
      </c>
      <c r="P265">
        <v>64.700926995352091</v>
      </c>
      <c r="Q265" t="s">
        <v>47</v>
      </c>
      <c r="R265" t="s">
        <v>350</v>
      </c>
      <c r="S265" t="s">
        <v>343</v>
      </c>
      <c r="T265" t="s">
        <v>343</v>
      </c>
    </row>
    <row r="266" spans="2:20" x14ac:dyDescent="0.25">
      <c r="B266">
        <v>261</v>
      </c>
      <c r="C266" t="s">
        <v>602</v>
      </c>
      <c r="D266" s="10">
        <v>0.16247305864461881</v>
      </c>
      <c r="E266" s="10">
        <v>0.38408840984531067</v>
      </c>
      <c r="F266" s="10">
        <v>0.57225766519880961</v>
      </c>
      <c r="G266" s="10">
        <v>0.33777711551893908</v>
      </c>
      <c r="H266" s="6">
        <v>0.12020892667787041</v>
      </c>
      <c r="I266" s="10">
        <v>7.2923346516843459</v>
      </c>
      <c r="J266" s="7">
        <v>4.4357722048021769E-2</v>
      </c>
      <c r="K266" s="5">
        <v>0.15372089332388211</v>
      </c>
      <c r="L266">
        <v>82.873315412562846</v>
      </c>
      <c r="M266" s="10">
        <v>-0.8596263225845483</v>
      </c>
      <c r="N266" s="24" t="s">
        <v>343</v>
      </c>
      <c r="O266" s="24">
        <v>0</v>
      </c>
      <c r="P266">
        <v>53.836491789145278</v>
      </c>
      <c r="Q266" t="s">
        <v>47</v>
      </c>
      <c r="R266" t="s">
        <v>350</v>
      </c>
      <c r="S266" t="s">
        <v>343</v>
      </c>
      <c r="T266" t="s">
        <v>343</v>
      </c>
    </row>
    <row r="267" spans="2:20" x14ac:dyDescent="0.25">
      <c r="B267">
        <v>262</v>
      </c>
      <c r="C267" t="s">
        <v>603</v>
      </c>
      <c r="D267" s="10">
        <v>0.30853097001403612</v>
      </c>
      <c r="E267" s="10">
        <v>0.93821439357277447</v>
      </c>
      <c r="F267" s="10">
        <v>0.45516665079404839</v>
      </c>
      <c r="G267" s="10">
        <v>0.43788521949979398</v>
      </c>
      <c r="H267" s="6">
        <v>0.20693290344731721</v>
      </c>
      <c r="I267" s="10">
        <v>6.1521513964787218</v>
      </c>
      <c r="J267" s="7">
        <v>1.62446501816636E-2</v>
      </c>
      <c r="K267" s="5">
        <v>0.12887633031182999</v>
      </c>
      <c r="L267">
        <v>171.47396426518031</v>
      </c>
      <c r="M267" s="10">
        <v>-0.70955149042751775</v>
      </c>
      <c r="N267" s="24" t="s">
        <v>343</v>
      </c>
      <c r="O267" s="24">
        <v>8.4269105743489305</v>
      </c>
      <c r="P267">
        <v>51.729388698497971</v>
      </c>
      <c r="Q267" t="s">
        <v>47</v>
      </c>
      <c r="R267" t="s">
        <v>350</v>
      </c>
      <c r="S267" t="s">
        <v>343</v>
      </c>
      <c r="T267" t="s">
        <v>343</v>
      </c>
    </row>
    <row r="268" spans="2:20" x14ac:dyDescent="0.25">
      <c r="B268">
        <v>263</v>
      </c>
      <c r="C268" t="s">
        <v>604</v>
      </c>
      <c r="D268" s="10">
        <v>0.2285094637307703</v>
      </c>
      <c r="E268" s="10">
        <v>0.45156407274260651</v>
      </c>
      <c r="F268" s="10">
        <v>0.47997344743182863</v>
      </c>
      <c r="G268" s="10">
        <v>0.31886645209485298</v>
      </c>
      <c r="H268" s="6">
        <v>0.24970290395676961</v>
      </c>
      <c r="I268" s="10">
        <v>10.140052306586091</v>
      </c>
      <c r="J268" s="7">
        <v>1.336256918396758E-2</v>
      </c>
      <c r="K268" s="5">
        <v>0.12094179499739249</v>
      </c>
      <c r="L268">
        <v>88.659343575016166</v>
      </c>
      <c r="M268" s="10">
        <v>-0.84982574869958194</v>
      </c>
      <c r="N268" s="24" t="s">
        <v>343</v>
      </c>
      <c r="O268" s="24">
        <v>1.045507802508183E-2</v>
      </c>
      <c r="P268">
        <v>25.757004214092689</v>
      </c>
      <c r="Q268" t="s">
        <v>348</v>
      </c>
      <c r="R268" t="s">
        <v>371</v>
      </c>
      <c r="S268" t="s">
        <v>343</v>
      </c>
      <c r="T268" t="s">
        <v>343</v>
      </c>
    </row>
    <row r="269" spans="2:20" x14ac:dyDescent="0.25">
      <c r="B269">
        <v>264</v>
      </c>
      <c r="C269" t="s">
        <v>605</v>
      </c>
      <c r="D269" s="10">
        <v>0.31466477104698709</v>
      </c>
      <c r="E269" s="10">
        <v>0.34589727213885357</v>
      </c>
      <c r="F269" s="10">
        <v>0.6863908894119648</v>
      </c>
      <c r="G269" s="10">
        <v>0.3457128569621819</v>
      </c>
      <c r="H269" s="6">
        <v>0.15319159301646759</v>
      </c>
      <c r="I269" s="10">
        <v>13.665253901734079</v>
      </c>
      <c r="J269" s="7">
        <v>3.3241764067510282E-2</v>
      </c>
      <c r="K269" s="5">
        <v>0.10765630905050561</v>
      </c>
      <c r="L269">
        <v>169.0541757782054</v>
      </c>
      <c r="M269" s="10">
        <v>-0.7136502115513591</v>
      </c>
      <c r="N269" s="24" t="s">
        <v>343</v>
      </c>
      <c r="O269" s="24">
        <v>8.1809873069184569</v>
      </c>
      <c r="P269">
        <v>45.19765777926488</v>
      </c>
      <c r="Q269" t="s">
        <v>346</v>
      </c>
      <c r="R269" t="s">
        <v>347</v>
      </c>
      <c r="S269" t="s">
        <v>343</v>
      </c>
      <c r="T269" t="s">
        <v>343</v>
      </c>
    </row>
    <row r="270" spans="2:20" x14ac:dyDescent="0.25">
      <c r="B270">
        <v>265</v>
      </c>
      <c r="C270" t="s">
        <v>606</v>
      </c>
      <c r="D270" s="10">
        <v>0.31417919633428049</v>
      </c>
      <c r="E270" s="10">
        <v>0.71758911305398243</v>
      </c>
      <c r="F270" s="10">
        <v>0.58114239126814815</v>
      </c>
      <c r="G270" s="10">
        <v>0.43899091106797739</v>
      </c>
      <c r="H270" s="6">
        <v>0.16993491851970041</v>
      </c>
      <c r="I270" s="10">
        <v>3.0491582952206508</v>
      </c>
      <c r="J270" s="7">
        <v>4.1849999994980507E-2</v>
      </c>
      <c r="K270" s="5">
        <v>0.10249322626426211</v>
      </c>
      <c r="L270">
        <v>223.58557469630719</v>
      </c>
      <c r="M270" s="10">
        <v>-0.621283048941348</v>
      </c>
      <c r="N270" s="24" t="s">
        <v>343</v>
      </c>
      <c r="O270" s="24">
        <v>13.723017063519119</v>
      </c>
      <c r="P270">
        <v>50.61269673542111</v>
      </c>
      <c r="Q270" t="s">
        <v>47</v>
      </c>
      <c r="R270" t="s">
        <v>350</v>
      </c>
      <c r="S270" t="s">
        <v>343</v>
      </c>
      <c r="T270" t="s">
        <v>343</v>
      </c>
    </row>
    <row r="271" spans="2:20" x14ac:dyDescent="0.25">
      <c r="B271">
        <v>266</v>
      </c>
      <c r="C271" t="s">
        <v>607</v>
      </c>
      <c r="D271" s="10">
        <v>0.29648151287477759</v>
      </c>
      <c r="E271" s="10">
        <v>0.98503731157420726</v>
      </c>
      <c r="F271" s="10">
        <v>0.45649681895160987</v>
      </c>
      <c r="G271" s="10">
        <v>0.41649350795776657</v>
      </c>
      <c r="H271" s="6">
        <v>0.20812287792966941</v>
      </c>
      <c r="I271" s="10">
        <v>12.92617903706615</v>
      </c>
      <c r="J271" s="7">
        <v>2.957843007747769E-2</v>
      </c>
      <c r="K271" s="5">
        <v>0.11004496092943709</v>
      </c>
      <c r="L271">
        <v>336.23783461936591</v>
      </c>
      <c r="M271" s="10">
        <v>-0.43046876914768722</v>
      </c>
      <c r="N271" s="24" t="s">
        <v>343</v>
      </c>
      <c r="O271" s="24">
        <v>25.17187385113877</v>
      </c>
      <c r="P271">
        <v>12.62148007562898</v>
      </c>
      <c r="Q271" t="s">
        <v>348</v>
      </c>
      <c r="R271" t="s">
        <v>371</v>
      </c>
      <c r="S271" t="s">
        <v>343</v>
      </c>
      <c r="T271" t="s">
        <v>343</v>
      </c>
    </row>
    <row r="272" spans="2:20" x14ac:dyDescent="0.25">
      <c r="B272">
        <v>267</v>
      </c>
      <c r="C272" t="s">
        <v>608</v>
      </c>
      <c r="D272" s="10">
        <v>0.20711182273113371</v>
      </c>
      <c r="E272" s="10">
        <v>0.42302378532577362</v>
      </c>
      <c r="F272" s="10">
        <v>0.62020281728008897</v>
      </c>
      <c r="G272" s="10">
        <v>0.29355480350215662</v>
      </c>
      <c r="H272" s="6">
        <v>0.15703053697967101</v>
      </c>
      <c r="I272" s="10">
        <v>7.7654534002954181</v>
      </c>
      <c r="J272" s="7">
        <v>3.0841885208015871E-2</v>
      </c>
      <c r="K272" s="5">
        <v>0.17049754416697441</v>
      </c>
      <c r="L272">
        <v>100.5329450065031</v>
      </c>
      <c r="M272" s="10">
        <v>-0.82971383343704241</v>
      </c>
      <c r="N272" s="24" t="s">
        <v>343</v>
      </c>
      <c r="O272" s="24">
        <v>1.2171699937774529</v>
      </c>
      <c r="P272">
        <v>64.799805088889642</v>
      </c>
      <c r="Q272" t="s">
        <v>47</v>
      </c>
      <c r="R272" t="s">
        <v>350</v>
      </c>
      <c r="S272" t="s">
        <v>343</v>
      </c>
      <c r="T272" t="s">
        <v>343</v>
      </c>
    </row>
    <row r="273" spans="2:20" x14ac:dyDescent="0.25">
      <c r="B273">
        <v>268</v>
      </c>
      <c r="C273" t="s">
        <v>609</v>
      </c>
      <c r="D273" s="10">
        <v>0.22161563657630809</v>
      </c>
      <c r="E273" s="10">
        <v>0.64466061536644703</v>
      </c>
      <c r="F273" s="10">
        <v>0.45606874622054899</v>
      </c>
      <c r="G273" s="10">
        <v>0.31145491439062528</v>
      </c>
      <c r="H273" s="6">
        <v>0.24712302859961749</v>
      </c>
      <c r="I273" s="10">
        <v>10.3040850219442</v>
      </c>
      <c r="J273" s="7">
        <v>2.8846966177701161E-2</v>
      </c>
      <c r="K273" s="5">
        <v>0.13268177176461951</v>
      </c>
      <c r="L273">
        <v>141.31621541343819</v>
      </c>
      <c r="M273" s="10">
        <v>-0.76063372465232248</v>
      </c>
      <c r="N273" s="24" t="s">
        <v>343</v>
      </c>
      <c r="O273" s="24">
        <v>5.3619765208606509</v>
      </c>
      <c r="P273">
        <v>27.551465908689519</v>
      </c>
      <c r="Q273" t="s">
        <v>348</v>
      </c>
      <c r="R273" t="s">
        <v>371</v>
      </c>
      <c r="S273" t="s">
        <v>343</v>
      </c>
      <c r="T273" t="s">
        <v>343</v>
      </c>
    </row>
    <row r="274" spans="2:20" x14ac:dyDescent="0.25">
      <c r="B274">
        <v>269</v>
      </c>
      <c r="C274" t="s">
        <v>610</v>
      </c>
      <c r="D274" s="10">
        <v>0.29618186744269709</v>
      </c>
      <c r="E274" s="10">
        <v>0.75953673878699646</v>
      </c>
      <c r="F274" s="10">
        <v>0.63210729903205687</v>
      </c>
      <c r="G274" s="10">
        <v>0.31765092004105461</v>
      </c>
      <c r="H274" s="6">
        <v>0.17499047506688331</v>
      </c>
      <c r="I274" s="10">
        <v>12.36129736129288</v>
      </c>
      <c r="J274" s="7">
        <v>1.149618679325112E-2</v>
      </c>
      <c r="K274" s="5">
        <v>0.1026047969631807</v>
      </c>
      <c r="L274">
        <v>275.04801906135771</v>
      </c>
      <c r="M274" s="10">
        <v>-0.53411418730781013</v>
      </c>
      <c r="N274" s="24" t="s">
        <v>343</v>
      </c>
      <c r="O274" s="24">
        <v>18.953148761531391</v>
      </c>
      <c r="P274">
        <v>52.76846671079214</v>
      </c>
      <c r="Q274" t="s">
        <v>47</v>
      </c>
      <c r="R274" t="s">
        <v>350</v>
      </c>
      <c r="S274" t="s">
        <v>343</v>
      </c>
      <c r="T274" t="s">
        <v>343</v>
      </c>
    </row>
    <row r="275" spans="2:20" x14ac:dyDescent="0.25">
      <c r="B275">
        <v>270</v>
      </c>
      <c r="C275" t="s">
        <v>611</v>
      </c>
      <c r="D275" s="10">
        <v>0.21070752082500441</v>
      </c>
      <c r="E275" s="10">
        <v>0.47540610756544388</v>
      </c>
      <c r="F275" s="10">
        <v>0.63499030764720699</v>
      </c>
      <c r="G275" s="10">
        <v>0.44080246415483321</v>
      </c>
      <c r="H275" s="6">
        <v>0.20724205797298301</v>
      </c>
      <c r="I275" s="10">
        <v>9.3080452723433673</v>
      </c>
      <c r="J275" s="7">
        <v>3.3845905037267678E-2</v>
      </c>
      <c r="K275" s="5">
        <v>0.1482757008261627</v>
      </c>
      <c r="L275">
        <v>143.93615437299559</v>
      </c>
      <c r="M275" s="10">
        <v>-0.75619598176094371</v>
      </c>
      <c r="N275" s="24" t="s">
        <v>343</v>
      </c>
      <c r="O275" s="24">
        <v>5.6282410943433803</v>
      </c>
      <c r="P275">
        <v>61.053058527816951</v>
      </c>
      <c r="Q275" t="s">
        <v>47</v>
      </c>
      <c r="R275" t="s">
        <v>350</v>
      </c>
      <c r="S275" t="s">
        <v>343</v>
      </c>
      <c r="T275" t="s">
        <v>343</v>
      </c>
    </row>
    <row r="276" spans="2:20" x14ac:dyDescent="0.25">
      <c r="B276">
        <v>271</v>
      </c>
      <c r="C276" t="s">
        <v>612</v>
      </c>
      <c r="D276" s="10">
        <v>0.18711883946977481</v>
      </c>
      <c r="E276" s="10">
        <v>0.85668128831338097</v>
      </c>
      <c r="F276" s="10">
        <v>0.60928053369480573</v>
      </c>
      <c r="G276" s="10">
        <v>0.45976542216299859</v>
      </c>
      <c r="H276" s="6">
        <v>0.15391817213988129</v>
      </c>
      <c r="I276" s="10">
        <v>4.0704300991047173</v>
      </c>
      <c r="J276" s="7">
        <v>2.2536969219021558E-2</v>
      </c>
      <c r="K276" s="5">
        <v>0.1509263903544194</v>
      </c>
      <c r="L276">
        <v>222.27349364620159</v>
      </c>
      <c r="M276" s="10">
        <v>-0.62350549703762059</v>
      </c>
      <c r="N276" s="24" t="s">
        <v>343</v>
      </c>
      <c r="O276" s="24">
        <v>13.589670177742761</v>
      </c>
      <c r="P276">
        <v>60.966990639945067</v>
      </c>
      <c r="Q276" t="s">
        <v>47</v>
      </c>
      <c r="R276" t="s">
        <v>350</v>
      </c>
      <c r="S276" t="s">
        <v>343</v>
      </c>
      <c r="T276" t="s">
        <v>343</v>
      </c>
    </row>
    <row r="277" spans="2:20" x14ac:dyDescent="0.25">
      <c r="B277">
        <v>272</v>
      </c>
      <c r="C277" t="s">
        <v>613</v>
      </c>
      <c r="D277" s="10">
        <v>0.24908820199333601</v>
      </c>
      <c r="E277" s="10">
        <v>0.39373549559194798</v>
      </c>
      <c r="F277" s="10">
        <v>0.63037318160103095</v>
      </c>
      <c r="G277" s="10">
        <v>0.41028094647419677</v>
      </c>
      <c r="H277" s="6">
        <v>0.12620795054864789</v>
      </c>
      <c r="I277" s="10">
        <v>4.5465469327902062</v>
      </c>
      <c r="J277" s="7">
        <v>4.2748582835970841E-2</v>
      </c>
      <c r="K277" s="5">
        <v>0.14072543406317739</v>
      </c>
      <c r="L277">
        <v>129.57775850906839</v>
      </c>
      <c r="M277" s="10">
        <v>-0.78051672745782386</v>
      </c>
      <c r="N277" s="24" t="s">
        <v>343</v>
      </c>
      <c r="O277" s="24">
        <v>4.16899635253057</v>
      </c>
      <c r="P277">
        <v>63.200390002394833</v>
      </c>
      <c r="Q277" t="s">
        <v>47</v>
      </c>
      <c r="R277" t="s">
        <v>350</v>
      </c>
      <c r="S277" t="s">
        <v>343</v>
      </c>
      <c r="T277" t="s">
        <v>343</v>
      </c>
    </row>
    <row r="278" spans="2:20" x14ac:dyDescent="0.25">
      <c r="B278">
        <v>273</v>
      </c>
      <c r="C278" t="s">
        <v>614</v>
      </c>
      <c r="D278" s="10">
        <v>0.30978476386572501</v>
      </c>
      <c r="E278" s="10">
        <v>0.35117034597957553</v>
      </c>
      <c r="F278" s="10">
        <v>0.46287110306339502</v>
      </c>
      <c r="G278" s="10">
        <v>0.34655178654857138</v>
      </c>
      <c r="H278" s="6">
        <v>0.1460550399020491</v>
      </c>
      <c r="I278" s="10">
        <v>11.68208046551473</v>
      </c>
      <c r="J278" s="7">
        <v>1.6537651664201489E-2</v>
      </c>
      <c r="K278" s="5">
        <v>0.11051486714337121</v>
      </c>
      <c r="L278">
        <v>241.11944021693751</v>
      </c>
      <c r="M278" s="10">
        <v>-0.59158358331497618</v>
      </c>
      <c r="N278" s="24" t="s">
        <v>343</v>
      </c>
      <c r="O278" s="24">
        <v>15.50498500110143</v>
      </c>
      <c r="P278">
        <v>18.329331513041272</v>
      </c>
      <c r="Q278" t="s">
        <v>348</v>
      </c>
      <c r="R278" t="s">
        <v>371</v>
      </c>
      <c r="S278" t="s">
        <v>343</v>
      </c>
      <c r="T278" t="s">
        <v>343</v>
      </c>
    </row>
    <row r="279" spans="2:20" x14ac:dyDescent="0.25">
      <c r="B279">
        <v>274</v>
      </c>
      <c r="C279" t="s">
        <v>615</v>
      </c>
      <c r="D279" s="10">
        <v>0.2713647674679957</v>
      </c>
      <c r="E279" s="10">
        <v>0.87181890387064809</v>
      </c>
      <c r="F279" s="10">
        <v>0.6289629436123696</v>
      </c>
      <c r="G279" s="10">
        <v>0.24223823997484539</v>
      </c>
      <c r="H279" s="6">
        <v>0.12692984064132051</v>
      </c>
      <c r="I279" s="10">
        <v>5.5200805458865618</v>
      </c>
      <c r="J279" s="7">
        <v>2.057405236006982E-2</v>
      </c>
      <c r="K279" s="5">
        <v>0.17172190277256649</v>
      </c>
      <c r="L279">
        <v>148.81225445857169</v>
      </c>
      <c r="M279" s="10">
        <v>-0.74793667540822162</v>
      </c>
      <c r="N279" s="24" t="s">
        <v>343</v>
      </c>
      <c r="O279" s="24">
        <v>6.1237994755067078</v>
      </c>
      <c r="P279">
        <v>29.00547222263592</v>
      </c>
      <c r="Q279" t="s">
        <v>348</v>
      </c>
      <c r="R279" t="s">
        <v>353</v>
      </c>
      <c r="S279" t="s">
        <v>343</v>
      </c>
      <c r="T279" t="s">
        <v>343</v>
      </c>
    </row>
    <row r="280" spans="2:20" x14ac:dyDescent="0.25">
      <c r="B280">
        <v>275</v>
      </c>
      <c r="C280" t="s">
        <v>616</v>
      </c>
      <c r="D280" s="10">
        <v>0.25120978721429837</v>
      </c>
      <c r="E280" s="10">
        <v>0.57268667002596318</v>
      </c>
      <c r="F280" s="10">
        <v>0.47553896312820948</v>
      </c>
      <c r="G280" s="10">
        <v>0.39344737245155059</v>
      </c>
      <c r="H280" s="6">
        <v>0.19029058494198289</v>
      </c>
      <c r="I280" s="10">
        <v>9.2594137774567713</v>
      </c>
      <c r="J280" s="7">
        <v>2.7669916210871639E-2</v>
      </c>
      <c r="K280" s="5">
        <v>0.1654627508824788</v>
      </c>
      <c r="L280">
        <v>189.07712811061651</v>
      </c>
      <c r="M280" s="10">
        <v>-0.67973464491060687</v>
      </c>
      <c r="N280" s="24" t="s">
        <v>343</v>
      </c>
      <c r="O280" s="24">
        <v>10.21592130536359</v>
      </c>
      <c r="P280">
        <v>64.712964758599341</v>
      </c>
      <c r="Q280" t="s">
        <v>47</v>
      </c>
      <c r="R280" t="s">
        <v>350</v>
      </c>
      <c r="S280" t="s">
        <v>343</v>
      </c>
      <c r="T280" t="s">
        <v>343</v>
      </c>
    </row>
    <row r="281" spans="2:20" x14ac:dyDescent="0.25">
      <c r="B281">
        <v>276</v>
      </c>
      <c r="C281" t="s">
        <v>617</v>
      </c>
      <c r="D281" s="10">
        <v>0.175548239003323</v>
      </c>
      <c r="E281" s="10">
        <v>0.40491118868783033</v>
      </c>
      <c r="F281" s="10">
        <v>0.52827153589067932</v>
      </c>
      <c r="G281" s="10">
        <v>0.32565945618951259</v>
      </c>
      <c r="H281" s="6">
        <v>0.20799560863770741</v>
      </c>
      <c r="I281" s="10">
        <v>7.7088856372665742</v>
      </c>
      <c r="J281" s="7">
        <v>2.6707426526665318E-2</v>
      </c>
      <c r="K281" s="5">
        <v>0.13749926813580091</v>
      </c>
      <c r="L281">
        <v>83.804616986335958</v>
      </c>
      <c r="M281" s="10">
        <v>-0.85804885188674251</v>
      </c>
      <c r="N281" s="24" t="s">
        <v>343</v>
      </c>
      <c r="O281" s="24">
        <v>0</v>
      </c>
      <c r="P281">
        <v>61.28123883075844</v>
      </c>
      <c r="Q281" t="s">
        <v>47</v>
      </c>
      <c r="R281" t="s">
        <v>350</v>
      </c>
      <c r="S281" t="s">
        <v>343</v>
      </c>
      <c r="T281" t="s">
        <v>343</v>
      </c>
    </row>
    <row r="282" spans="2:20" x14ac:dyDescent="0.25">
      <c r="B282">
        <v>277</v>
      </c>
      <c r="C282" t="s">
        <v>618</v>
      </c>
      <c r="D282" s="10">
        <v>0.25840115627186722</v>
      </c>
      <c r="E282" s="10">
        <v>0.76630384623639536</v>
      </c>
      <c r="F282" s="10">
        <v>0.68511376591016449</v>
      </c>
      <c r="G282" s="10">
        <v>0.37925702345029322</v>
      </c>
      <c r="H282" s="6">
        <v>0.1267012811528179</v>
      </c>
      <c r="I282" s="10">
        <v>6.3400288109004101</v>
      </c>
      <c r="J282" s="7">
        <v>2.4010665958780899E-2</v>
      </c>
      <c r="K282" s="5">
        <v>0.1361774588910665</v>
      </c>
      <c r="L282">
        <v>216.1628326745672</v>
      </c>
      <c r="M282" s="10">
        <v>-0.63385594516144894</v>
      </c>
      <c r="N282" s="24" t="s">
        <v>343</v>
      </c>
      <c r="O282" s="24">
        <v>12.968643290313061</v>
      </c>
      <c r="P282">
        <v>58.438092159896399</v>
      </c>
      <c r="Q282" t="s">
        <v>47</v>
      </c>
      <c r="R282" t="s">
        <v>350</v>
      </c>
      <c r="S282" t="s">
        <v>343</v>
      </c>
      <c r="T282" t="s">
        <v>343</v>
      </c>
    </row>
    <row r="283" spans="2:20" x14ac:dyDescent="0.25">
      <c r="B283">
        <v>278</v>
      </c>
      <c r="C283" t="s">
        <v>619</v>
      </c>
      <c r="D283" s="10">
        <v>0.31840861601668208</v>
      </c>
      <c r="E283" s="10">
        <v>1.306654813469134</v>
      </c>
      <c r="F283" s="10">
        <v>0.57074762419137637</v>
      </c>
      <c r="G283" s="10">
        <v>0.37347267196173428</v>
      </c>
      <c r="H283" s="6">
        <v>0.1335723332306899</v>
      </c>
      <c r="I283" s="10">
        <v>11.65664320534626</v>
      </c>
      <c r="J283" s="7">
        <v>2.1004102819055081E-2</v>
      </c>
      <c r="K283" s="5">
        <v>0.1148138359198646</v>
      </c>
      <c r="L283">
        <v>308.04226657393872</v>
      </c>
      <c r="M283" s="10">
        <v>-0.47822739390706581</v>
      </c>
      <c r="N283" s="24" t="s">
        <v>343</v>
      </c>
      <c r="O283" s="24">
        <v>22.30635636557605</v>
      </c>
      <c r="P283">
        <v>49.267707051942331</v>
      </c>
      <c r="Q283" t="s">
        <v>346</v>
      </c>
      <c r="R283" t="s">
        <v>347</v>
      </c>
      <c r="S283" t="s">
        <v>343</v>
      </c>
      <c r="T283" t="s">
        <v>343</v>
      </c>
    </row>
    <row r="284" spans="2:20" x14ac:dyDescent="0.25">
      <c r="B284">
        <v>279</v>
      </c>
      <c r="C284" t="s">
        <v>620</v>
      </c>
      <c r="D284" s="10">
        <v>0.18241344243784391</v>
      </c>
      <c r="E284" s="10">
        <v>1.09661169131957</v>
      </c>
      <c r="F284" s="10">
        <v>0.69153087234158361</v>
      </c>
      <c r="G284" s="10">
        <v>0.3457830524463652</v>
      </c>
      <c r="H284" s="6">
        <v>0.19282875402155261</v>
      </c>
      <c r="I284" s="10">
        <v>11.043383174473011</v>
      </c>
      <c r="J284" s="7">
        <v>1.5151465780971421E-2</v>
      </c>
      <c r="K284" s="5">
        <v>0.17158718797333619</v>
      </c>
      <c r="L284">
        <v>140.28224055380861</v>
      </c>
      <c r="M284" s="10">
        <v>-0.76238510689977779</v>
      </c>
      <c r="N284" s="24" t="s">
        <v>343</v>
      </c>
      <c r="O284" s="24">
        <v>5.2568935860133337</v>
      </c>
      <c r="P284">
        <v>54.994467131862748</v>
      </c>
      <c r="Q284" t="s">
        <v>47</v>
      </c>
      <c r="R284" t="s">
        <v>350</v>
      </c>
      <c r="S284" t="s">
        <v>343</v>
      </c>
      <c r="T284" t="s">
        <v>343</v>
      </c>
    </row>
    <row r="285" spans="2:20" x14ac:dyDescent="0.25">
      <c r="B285">
        <v>280</v>
      </c>
      <c r="C285" t="s">
        <v>621</v>
      </c>
      <c r="D285" s="10">
        <v>0.2429327443781979</v>
      </c>
      <c r="E285" s="10">
        <v>1.1971775068817301</v>
      </c>
      <c r="F285" s="10">
        <v>0.46311983931055178</v>
      </c>
      <c r="G285" s="10">
        <v>0.44776522749979109</v>
      </c>
      <c r="H285" s="6">
        <v>0.23987698983014641</v>
      </c>
      <c r="I285" s="10">
        <v>10.107197729188259</v>
      </c>
      <c r="J285" s="7">
        <v>3.8732265550576198E-2</v>
      </c>
      <c r="K285" s="5">
        <v>0.1569595209122778</v>
      </c>
      <c r="L285">
        <v>295.9853228973144</v>
      </c>
      <c r="M285" s="10">
        <v>-0.49864986058229388</v>
      </c>
      <c r="N285" s="24" t="s">
        <v>343</v>
      </c>
      <c r="O285" s="24">
        <v>21.08100836506237</v>
      </c>
      <c r="P285">
        <v>16.372889576372401</v>
      </c>
      <c r="Q285" t="s">
        <v>348</v>
      </c>
      <c r="R285" t="s">
        <v>371</v>
      </c>
      <c r="S285" t="s">
        <v>343</v>
      </c>
      <c r="T285" t="s">
        <v>343</v>
      </c>
    </row>
    <row r="286" spans="2:20" x14ac:dyDescent="0.25">
      <c r="B286">
        <v>281</v>
      </c>
      <c r="C286" t="s">
        <v>622</v>
      </c>
      <c r="D286" s="10">
        <v>0.30037969150847288</v>
      </c>
      <c r="E286" s="10">
        <v>1.2591053876345</v>
      </c>
      <c r="F286" s="10">
        <v>0.5641647158864268</v>
      </c>
      <c r="G286" s="10">
        <v>0.24509219597817519</v>
      </c>
      <c r="H286" s="6">
        <v>0.2142013768373579</v>
      </c>
      <c r="I286" s="10">
        <v>7.099385052655478</v>
      </c>
      <c r="J286" s="7">
        <v>2.5706942554526459E-2</v>
      </c>
      <c r="K286" s="5">
        <v>0.1081503773237298</v>
      </c>
      <c r="L286">
        <v>167.04151486031731</v>
      </c>
      <c r="M286" s="10">
        <v>-0.71705932596928523</v>
      </c>
      <c r="N286" s="24" t="s">
        <v>343</v>
      </c>
      <c r="O286" s="24">
        <v>7.9764404418428816</v>
      </c>
      <c r="P286">
        <v>56.275978303385102</v>
      </c>
      <c r="Q286" t="s">
        <v>47</v>
      </c>
      <c r="R286" t="s">
        <v>350</v>
      </c>
      <c r="S286" t="s">
        <v>343</v>
      </c>
      <c r="T286" t="s">
        <v>343</v>
      </c>
    </row>
    <row r="287" spans="2:20" x14ac:dyDescent="0.25">
      <c r="B287">
        <v>282</v>
      </c>
      <c r="C287" t="s">
        <v>623</v>
      </c>
      <c r="D287" s="10">
        <v>0.27852297884067267</v>
      </c>
      <c r="E287" s="10">
        <v>1.369890515536061</v>
      </c>
      <c r="F287" s="10">
        <v>0.45622460327198638</v>
      </c>
      <c r="G287" s="10">
        <v>0.39666914658396951</v>
      </c>
      <c r="H287" s="6">
        <v>0.13570653301558039</v>
      </c>
      <c r="I287" s="10">
        <v>5.4911735642341313</v>
      </c>
      <c r="J287" s="7">
        <v>3.0053479568467049E-2</v>
      </c>
      <c r="K287" s="5">
        <v>0.13591602855150681</v>
      </c>
      <c r="L287">
        <v>202.0773537311627</v>
      </c>
      <c r="M287" s="10">
        <v>-0.65771441477377801</v>
      </c>
      <c r="N287" s="24" t="s">
        <v>343</v>
      </c>
      <c r="O287" s="24">
        <v>11.537135113573321</v>
      </c>
      <c r="P287">
        <v>54.606035197638533</v>
      </c>
      <c r="Q287" t="s">
        <v>47</v>
      </c>
      <c r="R287" t="s">
        <v>350</v>
      </c>
      <c r="S287" t="s">
        <v>343</v>
      </c>
      <c r="T287" t="s">
        <v>343</v>
      </c>
    </row>
    <row r="288" spans="2:20" x14ac:dyDescent="0.25">
      <c r="B288">
        <v>283</v>
      </c>
      <c r="C288" t="s">
        <v>624</v>
      </c>
      <c r="D288" s="10">
        <v>0.27152251855924292</v>
      </c>
      <c r="E288" s="10">
        <v>1.1395712308655901</v>
      </c>
      <c r="F288" s="10">
        <v>0.60385466822381395</v>
      </c>
      <c r="G288" s="10">
        <v>0.33016477102590008</v>
      </c>
      <c r="H288" s="6">
        <v>0.25313134107622431</v>
      </c>
      <c r="I288" s="10">
        <v>8.6748444609795374</v>
      </c>
      <c r="J288" s="7">
        <v>2.9129350227251879E-2</v>
      </c>
      <c r="K288" s="5">
        <v>0.1858382895440078</v>
      </c>
      <c r="L288">
        <v>313.61331837817909</v>
      </c>
      <c r="M288" s="10">
        <v>-0.46879095438560969</v>
      </c>
      <c r="N288" s="24" t="s">
        <v>343</v>
      </c>
      <c r="O288" s="24">
        <v>22.872542736863419</v>
      </c>
      <c r="P288">
        <v>18.879281737655461</v>
      </c>
      <c r="Q288" t="s">
        <v>348</v>
      </c>
      <c r="R288" t="s">
        <v>625</v>
      </c>
      <c r="S288" t="s">
        <v>343</v>
      </c>
      <c r="T288" t="s">
        <v>343</v>
      </c>
    </row>
    <row r="289" spans="2:20" x14ac:dyDescent="0.25">
      <c r="B289">
        <v>284</v>
      </c>
      <c r="C289" t="s">
        <v>626</v>
      </c>
      <c r="D289" s="10">
        <v>0.27239745343793748</v>
      </c>
      <c r="E289" s="10">
        <v>0.96924871413342761</v>
      </c>
      <c r="F289" s="10">
        <v>0.46046382035581418</v>
      </c>
      <c r="G289" s="10">
        <v>0.39703389910815451</v>
      </c>
      <c r="H289" s="6">
        <v>0.25761753521846198</v>
      </c>
      <c r="I289" s="10">
        <v>11.988145103616469</v>
      </c>
      <c r="J289" s="7">
        <v>3.0142113132687141E-2</v>
      </c>
      <c r="K289" s="5">
        <v>0.14297558715734149</v>
      </c>
      <c r="L289">
        <v>377.76383691438917</v>
      </c>
      <c r="M289" s="10">
        <v>-0.36013059549678411</v>
      </c>
      <c r="N289" s="24" t="s">
        <v>343</v>
      </c>
      <c r="O289" s="24">
        <v>29.39216427019295</v>
      </c>
      <c r="P289">
        <v>17.020139881431689</v>
      </c>
      <c r="Q289" t="s">
        <v>348</v>
      </c>
      <c r="R289" t="s">
        <v>371</v>
      </c>
      <c r="S289" t="s">
        <v>343</v>
      </c>
      <c r="T289" t="s">
        <v>343</v>
      </c>
    </row>
    <row r="290" spans="2:20" x14ac:dyDescent="0.25">
      <c r="B290">
        <v>285</v>
      </c>
      <c r="C290" t="s">
        <v>627</v>
      </c>
      <c r="D290" s="10">
        <v>0.21751858419516079</v>
      </c>
      <c r="E290" s="10">
        <v>0.70196846833247184</v>
      </c>
      <c r="F290" s="10">
        <v>0.4855956286604981</v>
      </c>
      <c r="G290" s="10">
        <v>0.38854832245871912</v>
      </c>
      <c r="H290" s="6">
        <v>0.16874352417741911</v>
      </c>
      <c r="I290" s="10">
        <v>9.3323146742261347</v>
      </c>
      <c r="J290" s="7">
        <v>3.4669413014563923E-2</v>
      </c>
      <c r="K290" s="5">
        <v>0.13086811243355481</v>
      </c>
      <c r="L290">
        <v>208.3101533896623</v>
      </c>
      <c r="M290" s="10">
        <v>-0.64715708393330429</v>
      </c>
      <c r="N290" s="24" t="s">
        <v>343</v>
      </c>
      <c r="O290" s="24">
        <v>12.170574964001741</v>
      </c>
      <c r="P290">
        <v>61.040119163709598</v>
      </c>
      <c r="Q290" t="s">
        <v>47</v>
      </c>
      <c r="R290" t="s">
        <v>350</v>
      </c>
      <c r="S290" t="s">
        <v>343</v>
      </c>
      <c r="T290" t="s">
        <v>343</v>
      </c>
    </row>
    <row r="291" spans="2:20" x14ac:dyDescent="0.25">
      <c r="B291">
        <v>286</v>
      </c>
      <c r="C291" t="s">
        <v>628</v>
      </c>
      <c r="D291" s="10">
        <v>0.20697469508231889</v>
      </c>
      <c r="E291" s="10">
        <v>0.49980756021348771</v>
      </c>
      <c r="F291" s="10">
        <v>0.5072958806180129</v>
      </c>
      <c r="G291" s="10">
        <v>0.242252360566719</v>
      </c>
      <c r="H291" s="6">
        <v>0.21240266878220429</v>
      </c>
      <c r="I291" s="10">
        <v>13.67153607514495</v>
      </c>
      <c r="J291" s="7">
        <v>3.2028334826408308E-2</v>
      </c>
      <c r="K291" s="5">
        <v>0.16115948716761649</v>
      </c>
      <c r="L291">
        <v>97.633894118144937</v>
      </c>
      <c r="M291" s="10">
        <v>-0.83462434573146982</v>
      </c>
      <c r="N291" s="24" t="s">
        <v>343</v>
      </c>
      <c r="O291" s="24">
        <v>0.92253925611181842</v>
      </c>
      <c r="P291">
        <v>57.713443909120819</v>
      </c>
      <c r="Q291" t="s">
        <v>47</v>
      </c>
      <c r="R291" t="s">
        <v>350</v>
      </c>
      <c r="S291" t="s">
        <v>343</v>
      </c>
      <c r="T291" t="s">
        <v>343</v>
      </c>
    </row>
    <row r="292" spans="2:20" x14ac:dyDescent="0.25">
      <c r="B292">
        <v>287</v>
      </c>
      <c r="C292" t="s">
        <v>629</v>
      </c>
      <c r="D292" s="10">
        <v>0.28949778487656219</v>
      </c>
      <c r="E292" s="10">
        <v>1.0553258613816241</v>
      </c>
      <c r="F292" s="10">
        <v>0.63467340143276563</v>
      </c>
      <c r="G292" s="10">
        <v>0.30277446893842769</v>
      </c>
      <c r="H292" s="6">
        <v>0.19384907252770681</v>
      </c>
      <c r="I292" s="10">
        <v>3.1698123686863711</v>
      </c>
      <c r="J292" s="7">
        <v>1.9586602108949761E-2</v>
      </c>
      <c r="K292" s="5">
        <v>0.1192823758799855</v>
      </c>
      <c r="L292">
        <v>295.75607489401028</v>
      </c>
      <c r="M292" s="10">
        <v>-0.49903816875005258</v>
      </c>
      <c r="N292" s="24" t="s">
        <v>343</v>
      </c>
      <c r="O292" s="24">
        <v>21.057709874996849</v>
      </c>
      <c r="P292">
        <v>22.613133428166119</v>
      </c>
      <c r="Q292" t="s">
        <v>348</v>
      </c>
      <c r="R292" t="s">
        <v>375</v>
      </c>
      <c r="S292" t="s">
        <v>343</v>
      </c>
      <c r="T292" t="s">
        <v>343</v>
      </c>
    </row>
    <row r="293" spans="2:20" x14ac:dyDescent="0.25">
      <c r="B293">
        <v>288</v>
      </c>
      <c r="C293" t="s">
        <v>630</v>
      </c>
      <c r="D293" s="10">
        <v>0.28961814314866902</v>
      </c>
      <c r="E293" s="10">
        <v>1.394444984734136</v>
      </c>
      <c r="F293" s="10">
        <v>0.48263015089269939</v>
      </c>
      <c r="G293" s="10">
        <v>0.28160013451083171</v>
      </c>
      <c r="H293" s="6">
        <v>0.26130356529447341</v>
      </c>
      <c r="I293" s="10">
        <v>13.98181459527485</v>
      </c>
      <c r="J293" s="7">
        <v>2.9379847411141361E-2</v>
      </c>
      <c r="K293" s="5">
        <v>0.14976132282968199</v>
      </c>
      <c r="L293">
        <v>466.69901191096773</v>
      </c>
      <c r="M293" s="10">
        <v>-0.2094891314295223</v>
      </c>
      <c r="N293" s="24" t="s">
        <v>343</v>
      </c>
      <c r="O293" s="24">
        <v>38.430652114228657</v>
      </c>
      <c r="P293">
        <v>12.08603041364503</v>
      </c>
      <c r="Q293" t="s">
        <v>348</v>
      </c>
      <c r="R293" t="s">
        <v>371</v>
      </c>
      <c r="S293" t="s">
        <v>343</v>
      </c>
      <c r="T293" t="s">
        <v>343</v>
      </c>
    </row>
    <row r="294" spans="2:20" x14ac:dyDescent="0.25">
      <c r="B294">
        <v>289</v>
      </c>
      <c r="C294" t="s">
        <v>631</v>
      </c>
      <c r="D294" s="10">
        <v>0.29873157097281661</v>
      </c>
      <c r="E294" s="10">
        <v>0.8140945530808108</v>
      </c>
      <c r="F294" s="10">
        <v>0.66012433385619762</v>
      </c>
      <c r="G294" s="10">
        <v>0.27673699764734833</v>
      </c>
      <c r="H294" s="6">
        <v>0.1963122799423104</v>
      </c>
      <c r="I294" s="10">
        <v>10.605499509945581</v>
      </c>
      <c r="J294" s="7">
        <v>1.8557951693933119E-2</v>
      </c>
      <c r="K294" s="5">
        <v>0.16360466158854631</v>
      </c>
      <c r="L294">
        <v>191.42863044338421</v>
      </c>
      <c r="M294" s="10">
        <v>-0.67575158922786582</v>
      </c>
      <c r="N294" s="24" t="s">
        <v>343</v>
      </c>
      <c r="O294" s="24">
        <v>10.45490464632805</v>
      </c>
      <c r="P294">
        <v>23.735867027001721</v>
      </c>
      <c r="Q294" t="s">
        <v>348</v>
      </c>
      <c r="R294" t="s">
        <v>353</v>
      </c>
      <c r="S294" t="s">
        <v>343</v>
      </c>
      <c r="T294" t="s">
        <v>343</v>
      </c>
    </row>
    <row r="295" spans="2:20" x14ac:dyDescent="0.25">
      <c r="B295">
        <v>290</v>
      </c>
      <c r="C295" t="s">
        <v>632</v>
      </c>
      <c r="D295" s="10">
        <v>0.30611848840903538</v>
      </c>
      <c r="E295" s="10">
        <v>1.096047304902088</v>
      </c>
      <c r="F295" s="10">
        <v>0.47429502409600821</v>
      </c>
      <c r="G295" s="10">
        <v>0.40026487050664922</v>
      </c>
      <c r="H295" s="6">
        <v>0.26399487205680972</v>
      </c>
      <c r="I295" s="10">
        <v>12.15941418910098</v>
      </c>
      <c r="J295" s="7">
        <v>3.060927609678472E-2</v>
      </c>
      <c r="K295" s="5">
        <v>0.18121344951763241</v>
      </c>
      <c r="L295">
        <v>306.79008505887168</v>
      </c>
      <c r="M295" s="10">
        <v>-0.48034838210678449</v>
      </c>
      <c r="N295" s="24" t="s">
        <v>343</v>
      </c>
      <c r="O295" s="24">
        <v>22.179097073592931</v>
      </c>
      <c r="P295">
        <v>15.42613554236978</v>
      </c>
      <c r="Q295" t="s">
        <v>348</v>
      </c>
      <c r="R295" t="s">
        <v>371</v>
      </c>
      <c r="S295" t="s">
        <v>343</v>
      </c>
      <c r="T295" t="s">
        <v>343</v>
      </c>
    </row>
    <row r="296" spans="2:20" x14ac:dyDescent="0.25">
      <c r="B296">
        <v>291</v>
      </c>
      <c r="C296" t="s">
        <v>633</v>
      </c>
      <c r="D296" s="10">
        <v>0.2418147838177501</v>
      </c>
      <c r="E296" s="10">
        <v>0.84460169499247173</v>
      </c>
      <c r="F296" s="10">
        <v>0.44916355675824071</v>
      </c>
      <c r="G296" s="10">
        <v>0.2927012968004874</v>
      </c>
      <c r="H296" s="6">
        <v>0.1499013825795309</v>
      </c>
      <c r="I296" s="10">
        <v>6.6844760454420076</v>
      </c>
      <c r="J296" s="7">
        <v>2.51177117070851E-2</v>
      </c>
      <c r="K296" s="5">
        <v>0.16578790876389771</v>
      </c>
      <c r="L296">
        <v>166.00099477772849</v>
      </c>
      <c r="M296" s="10">
        <v>-0.71882179474093366</v>
      </c>
      <c r="N296" s="24" t="s">
        <v>343</v>
      </c>
      <c r="O296" s="24">
        <v>7.8706923155439767</v>
      </c>
      <c r="P296">
        <v>70.416209023924537</v>
      </c>
      <c r="Q296" t="s">
        <v>47</v>
      </c>
      <c r="R296" t="s">
        <v>350</v>
      </c>
      <c r="S296" t="s">
        <v>343</v>
      </c>
      <c r="T296" t="s">
        <v>343</v>
      </c>
    </row>
    <row r="297" spans="2:20" x14ac:dyDescent="0.25">
      <c r="B297">
        <v>292</v>
      </c>
      <c r="C297" t="s">
        <v>634</v>
      </c>
      <c r="D297" s="10">
        <v>0.24024260714995191</v>
      </c>
      <c r="E297" s="10">
        <v>0.77512676569982419</v>
      </c>
      <c r="F297" s="10">
        <v>0.54271180893211357</v>
      </c>
      <c r="G297" s="10">
        <v>0.34444227529720622</v>
      </c>
      <c r="H297" s="6">
        <v>0.17183051365435201</v>
      </c>
      <c r="I297" s="10">
        <v>8.5917546089521117</v>
      </c>
      <c r="J297" s="7">
        <v>1.1379643240380681E-2</v>
      </c>
      <c r="K297" s="5">
        <v>0.13651893073101359</v>
      </c>
      <c r="L297">
        <v>185.82043080903551</v>
      </c>
      <c r="M297" s="10">
        <v>-0.68525095102405364</v>
      </c>
      <c r="N297" s="24" t="s">
        <v>343</v>
      </c>
      <c r="O297" s="24">
        <v>9.8849429385567831</v>
      </c>
      <c r="P297">
        <v>56.265524656846587</v>
      </c>
      <c r="Q297" t="s">
        <v>47</v>
      </c>
      <c r="R297" t="s">
        <v>350</v>
      </c>
      <c r="S297" t="s">
        <v>343</v>
      </c>
      <c r="T297" t="s">
        <v>343</v>
      </c>
    </row>
    <row r="298" spans="2:20" x14ac:dyDescent="0.25">
      <c r="B298">
        <v>293</v>
      </c>
      <c r="C298" t="s">
        <v>635</v>
      </c>
      <c r="D298" s="10">
        <v>0.28772722863468397</v>
      </c>
      <c r="E298" s="10">
        <v>0.75133617491590665</v>
      </c>
      <c r="F298" s="10">
        <v>0.69465482691253677</v>
      </c>
      <c r="G298" s="10">
        <v>0.29433757896284951</v>
      </c>
      <c r="H298" s="6">
        <v>0.2372017860144206</v>
      </c>
      <c r="I298" s="10">
        <v>11.76688172672765</v>
      </c>
      <c r="J298" s="7">
        <v>3.5689499057890518E-2</v>
      </c>
      <c r="K298" s="5">
        <v>0.17294101646808949</v>
      </c>
      <c r="L298">
        <v>122.826369997697</v>
      </c>
      <c r="M298" s="10">
        <v>-0.79195246196758329</v>
      </c>
      <c r="N298" s="24" t="s">
        <v>343</v>
      </c>
      <c r="O298" s="24">
        <v>3.4828522819450001</v>
      </c>
      <c r="P298">
        <v>50.458917757548292</v>
      </c>
      <c r="Q298" t="s">
        <v>47</v>
      </c>
      <c r="R298" t="s">
        <v>350</v>
      </c>
      <c r="S298" t="s">
        <v>343</v>
      </c>
      <c r="T298" t="s">
        <v>343</v>
      </c>
    </row>
    <row r="299" spans="2:20" x14ac:dyDescent="0.25">
      <c r="B299">
        <v>294</v>
      </c>
      <c r="C299" t="s">
        <v>636</v>
      </c>
      <c r="D299" s="10">
        <v>0.26399422892444252</v>
      </c>
      <c r="E299" s="10">
        <v>0.85508715122486723</v>
      </c>
      <c r="F299" s="10">
        <v>0.46868897922508213</v>
      </c>
      <c r="G299" s="10">
        <v>0.36765144115577258</v>
      </c>
      <c r="H299" s="6">
        <v>0.2375416103390052</v>
      </c>
      <c r="I299" s="10">
        <v>11.36714419603685</v>
      </c>
      <c r="J299" s="7">
        <v>1.961332462079482E-2</v>
      </c>
      <c r="K299" s="5">
        <v>0.18534799316673001</v>
      </c>
      <c r="L299">
        <v>269.52705417667829</v>
      </c>
      <c r="M299" s="10">
        <v>-0.54346578787894562</v>
      </c>
      <c r="N299" s="24" t="s">
        <v>343</v>
      </c>
      <c r="O299" s="24">
        <v>18.392052727263259</v>
      </c>
      <c r="P299">
        <v>22.947391111047839</v>
      </c>
      <c r="Q299" t="s">
        <v>348</v>
      </c>
      <c r="R299" t="s">
        <v>371</v>
      </c>
      <c r="S299" t="s">
        <v>343</v>
      </c>
      <c r="T299" t="s">
        <v>343</v>
      </c>
    </row>
    <row r="300" spans="2:20" x14ac:dyDescent="0.25">
      <c r="B300">
        <v>295</v>
      </c>
      <c r="C300" t="s">
        <v>637</v>
      </c>
      <c r="D300" s="10">
        <v>0.27231470036123251</v>
      </c>
      <c r="E300" s="10">
        <v>0.70358522805191248</v>
      </c>
      <c r="F300" s="10">
        <v>0.46644679545030349</v>
      </c>
      <c r="G300" s="10">
        <v>0.39852622897319301</v>
      </c>
      <c r="H300" s="6">
        <v>0.22982749109350581</v>
      </c>
      <c r="I300" s="10">
        <v>6.6743787176720346</v>
      </c>
      <c r="J300" s="7">
        <v>4.2206802429683589E-2</v>
      </c>
      <c r="K300" s="5">
        <v>0.1453875443426943</v>
      </c>
      <c r="L300">
        <v>144.0773752933913</v>
      </c>
      <c r="M300" s="10">
        <v>-0.75595677689958096</v>
      </c>
      <c r="N300" s="24" t="s">
        <v>343</v>
      </c>
      <c r="O300" s="24">
        <v>5.6425933860251396</v>
      </c>
      <c r="P300">
        <v>57.598272541259007</v>
      </c>
      <c r="Q300" t="s">
        <v>47</v>
      </c>
      <c r="R300" t="s">
        <v>350</v>
      </c>
      <c r="S300" t="s">
        <v>343</v>
      </c>
      <c r="T300" t="s">
        <v>343</v>
      </c>
    </row>
    <row r="301" spans="2:20" x14ac:dyDescent="0.25">
      <c r="B301">
        <v>296</v>
      </c>
      <c r="C301" t="s">
        <v>638</v>
      </c>
      <c r="D301" s="10">
        <v>0.2873268271097762</v>
      </c>
      <c r="E301" s="10">
        <v>1.123650654003989</v>
      </c>
      <c r="F301" s="10">
        <v>0.63530329280686215</v>
      </c>
      <c r="G301" s="10">
        <v>0.31283644251359882</v>
      </c>
      <c r="H301" s="6">
        <v>0.24894171969979559</v>
      </c>
      <c r="I301" s="10">
        <v>6.568512585261832</v>
      </c>
      <c r="J301" s="7">
        <v>1.981950345816428E-2</v>
      </c>
      <c r="K301" s="5">
        <v>0.1004275746209118</v>
      </c>
      <c r="L301">
        <v>264.54914247144751</v>
      </c>
      <c r="M301" s="10">
        <v>-0.5518975462614123</v>
      </c>
      <c r="N301" s="24" t="s">
        <v>343</v>
      </c>
      <c r="O301" s="24">
        <v>17.886147224315259</v>
      </c>
      <c r="P301">
        <v>55.697704264691332</v>
      </c>
      <c r="Q301" t="s">
        <v>47</v>
      </c>
      <c r="R301" t="s">
        <v>350</v>
      </c>
      <c r="S301" t="s">
        <v>343</v>
      </c>
      <c r="T301" t="s">
        <v>343</v>
      </c>
    </row>
    <row r="302" spans="2:20" x14ac:dyDescent="0.25">
      <c r="B302">
        <v>297</v>
      </c>
      <c r="C302" t="s">
        <v>639</v>
      </c>
      <c r="D302" s="10">
        <v>0.30240085469081063</v>
      </c>
      <c r="E302" s="10">
        <v>1.2616992292506679</v>
      </c>
      <c r="F302" s="10">
        <v>0.52116204043832692</v>
      </c>
      <c r="G302" s="10">
        <v>0.37266458662316682</v>
      </c>
      <c r="H302" s="6">
        <v>0.2253819259415718</v>
      </c>
      <c r="I302" s="10">
        <v>10.290923232033441</v>
      </c>
      <c r="J302" s="7">
        <v>4.4881796009731002E-2</v>
      </c>
      <c r="K302" s="5">
        <v>0.18368721246542519</v>
      </c>
      <c r="L302">
        <v>291.91227353139379</v>
      </c>
      <c r="M302" s="10">
        <v>-0.5055489319533697</v>
      </c>
      <c r="N302" s="24" t="s">
        <v>343</v>
      </c>
      <c r="O302" s="24">
        <v>20.667064082797818</v>
      </c>
      <c r="P302">
        <v>13.233708846092821</v>
      </c>
      <c r="Q302" t="s">
        <v>348</v>
      </c>
      <c r="R302" t="s">
        <v>353</v>
      </c>
      <c r="S302" t="s">
        <v>343</v>
      </c>
      <c r="T302" t="s">
        <v>343</v>
      </c>
    </row>
    <row r="303" spans="2:20" x14ac:dyDescent="0.25">
      <c r="B303">
        <v>298</v>
      </c>
      <c r="C303" t="s">
        <v>640</v>
      </c>
      <c r="D303" s="10">
        <v>0.21407922509624569</v>
      </c>
      <c r="E303" s="10">
        <v>1.2711738373097019</v>
      </c>
      <c r="F303" s="10">
        <v>0.62649322047868639</v>
      </c>
      <c r="G303" s="10">
        <v>0.42146805037102258</v>
      </c>
      <c r="H303" s="6">
        <v>0.21541277167083511</v>
      </c>
      <c r="I303" s="10">
        <v>13.27025099619194</v>
      </c>
      <c r="J303" s="7">
        <v>2.62032908732493E-2</v>
      </c>
      <c r="K303" s="5">
        <v>0.1157169892028313</v>
      </c>
      <c r="L303">
        <v>575.7873553186846</v>
      </c>
      <c r="M303" s="10">
        <v>-2.471153624018417E-2</v>
      </c>
      <c r="N303" s="24" t="s">
        <v>345</v>
      </c>
      <c r="O303" s="24">
        <v>89.609616228730019</v>
      </c>
      <c r="P303">
        <v>17.95265196609482</v>
      </c>
      <c r="Q303" t="s">
        <v>348</v>
      </c>
      <c r="R303" t="s">
        <v>375</v>
      </c>
      <c r="S303" t="s">
        <v>343</v>
      </c>
      <c r="T303" t="s">
        <v>343</v>
      </c>
    </row>
    <row r="304" spans="2:20" x14ac:dyDescent="0.25">
      <c r="B304">
        <v>299</v>
      </c>
      <c r="C304" t="s">
        <v>641</v>
      </c>
      <c r="D304" s="10">
        <v>0.22009327242239099</v>
      </c>
      <c r="E304" s="10">
        <v>0.55046858476840854</v>
      </c>
      <c r="F304" s="10">
        <v>0.49200275325527448</v>
      </c>
      <c r="G304" s="10">
        <v>0.26072934273618809</v>
      </c>
      <c r="H304" s="6">
        <v>0.18883875196162681</v>
      </c>
      <c r="I304" s="10">
        <v>7.82664589741543</v>
      </c>
      <c r="J304" s="7">
        <v>1.0924256185616861E-2</v>
      </c>
      <c r="K304" s="5">
        <v>0.11200092297313551</v>
      </c>
      <c r="L304">
        <v>172.30829172363121</v>
      </c>
      <c r="M304" s="10">
        <v>-0.70813827782792027</v>
      </c>
      <c r="N304" s="24" t="s">
        <v>343</v>
      </c>
      <c r="O304" s="24">
        <v>8.5117033303247887</v>
      </c>
      <c r="P304">
        <v>63.487562012169953</v>
      </c>
      <c r="Q304" t="s">
        <v>47</v>
      </c>
      <c r="R304" t="s">
        <v>350</v>
      </c>
      <c r="S304" t="s">
        <v>343</v>
      </c>
      <c r="T304" t="s">
        <v>343</v>
      </c>
    </row>
    <row r="305" spans="2:20" x14ac:dyDescent="0.25">
      <c r="B305">
        <v>300</v>
      </c>
      <c r="C305" t="s">
        <v>642</v>
      </c>
      <c r="D305" s="10">
        <v>0.17503711037453901</v>
      </c>
      <c r="E305" s="10">
        <v>1.2855000526046401</v>
      </c>
      <c r="F305" s="10">
        <v>0.55961871849152234</v>
      </c>
      <c r="G305" s="10">
        <v>0.39634753178907972</v>
      </c>
      <c r="H305" s="6">
        <v>0.19006316149939911</v>
      </c>
      <c r="I305" s="10">
        <v>6.8823597924013757</v>
      </c>
      <c r="J305" s="7">
        <v>1.2669414364277929E-2</v>
      </c>
      <c r="K305" s="5">
        <v>0.129229463745303</v>
      </c>
      <c r="L305">
        <v>252.96775668947419</v>
      </c>
      <c r="M305" s="10">
        <v>-0.57151449658721243</v>
      </c>
      <c r="N305" s="24" t="s">
        <v>343</v>
      </c>
      <c r="O305" s="24">
        <v>16.709130204767259</v>
      </c>
      <c r="P305">
        <v>60.206102375590582</v>
      </c>
      <c r="Q305" t="s">
        <v>47</v>
      </c>
      <c r="R305" t="s">
        <v>350</v>
      </c>
      <c r="S305" t="s">
        <v>343</v>
      </c>
      <c r="T305" t="s">
        <v>343</v>
      </c>
    </row>
    <row r="306" spans="2:20" x14ac:dyDescent="0.25">
      <c r="B306">
        <v>301</v>
      </c>
      <c r="C306" t="s">
        <v>643</v>
      </c>
      <c r="D306" s="10">
        <v>0.25252482255938791</v>
      </c>
      <c r="E306" s="10">
        <v>0.67570635504061549</v>
      </c>
      <c r="F306" s="10">
        <v>0.50897536821471867</v>
      </c>
      <c r="G306" s="10">
        <v>0.31109188777578373</v>
      </c>
      <c r="H306" s="6">
        <v>0.18092422398063629</v>
      </c>
      <c r="I306" s="10">
        <v>12.841557398598001</v>
      </c>
      <c r="J306" s="7">
        <v>1.2873080550569909E-2</v>
      </c>
      <c r="K306" s="5">
        <v>0.13609845581212229</v>
      </c>
      <c r="L306">
        <v>173.0852488871235</v>
      </c>
      <c r="M306" s="10">
        <v>-0.70682224101087321</v>
      </c>
      <c r="N306" s="24" t="s">
        <v>343</v>
      </c>
      <c r="O306" s="24">
        <v>8.5906655393476115</v>
      </c>
      <c r="P306">
        <v>64.633927681739522</v>
      </c>
      <c r="Q306" t="s">
        <v>47</v>
      </c>
      <c r="R306" t="s">
        <v>350</v>
      </c>
      <c r="S306" t="s">
        <v>343</v>
      </c>
      <c r="T306" t="s">
        <v>343</v>
      </c>
    </row>
    <row r="307" spans="2:20" x14ac:dyDescent="0.25">
      <c r="B307">
        <v>302</v>
      </c>
      <c r="C307" t="s">
        <v>644</v>
      </c>
      <c r="D307" s="10">
        <v>0.16575076380747869</v>
      </c>
      <c r="E307" s="10">
        <v>0.64023843203382735</v>
      </c>
      <c r="F307" s="10">
        <v>0.55739733586856255</v>
      </c>
      <c r="G307" s="10">
        <v>0.26698299043548768</v>
      </c>
      <c r="H307" s="6">
        <v>0.21303176995557299</v>
      </c>
      <c r="I307" s="10">
        <v>10.513616676022391</v>
      </c>
      <c r="J307" s="7">
        <v>1.196750473523781E-2</v>
      </c>
      <c r="K307" s="5">
        <v>0.175940786327732</v>
      </c>
      <c r="L307">
        <v>45.908832254632003</v>
      </c>
      <c r="M307" s="10">
        <v>-0.92223803793356041</v>
      </c>
      <c r="N307" s="24" t="s">
        <v>343</v>
      </c>
      <c r="O307" s="24">
        <v>0</v>
      </c>
      <c r="P307">
        <v>57.243318429126241</v>
      </c>
      <c r="Q307" t="s">
        <v>47</v>
      </c>
      <c r="R307" t="s">
        <v>350</v>
      </c>
      <c r="S307" t="s">
        <v>343</v>
      </c>
      <c r="T307" t="s">
        <v>343</v>
      </c>
    </row>
    <row r="308" spans="2:20" x14ac:dyDescent="0.25">
      <c r="B308">
        <v>303</v>
      </c>
      <c r="C308" t="s">
        <v>645</v>
      </c>
      <c r="D308" s="10">
        <v>0.2344956829011936</v>
      </c>
      <c r="E308" s="10">
        <v>1.099431663138059</v>
      </c>
      <c r="F308" s="10">
        <v>0.63996524407217892</v>
      </c>
      <c r="G308" s="10">
        <v>0.36004392567515681</v>
      </c>
      <c r="H308" s="6">
        <v>0.18099958938494901</v>
      </c>
      <c r="I308" s="10">
        <v>7.2710357767669063</v>
      </c>
      <c r="J308" s="7">
        <v>1.9372628988470291E-2</v>
      </c>
      <c r="K308" s="5">
        <v>0.13697242158574721</v>
      </c>
      <c r="L308">
        <v>210.46325891447219</v>
      </c>
      <c r="M308" s="10">
        <v>-0.64351007960052875</v>
      </c>
      <c r="N308" s="24" t="s">
        <v>343</v>
      </c>
      <c r="O308" s="24">
        <v>12.389395223968281</v>
      </c>
      <c r="P308">
        <v>58.64099289088626</v>
      </c>
      <c r="Q308" t="s">
        <v>47</v>
      </c>
      <c r="R308" t="s">
        <v>350</v>
      </c>
      <c r="S308" t="s">
        <v>343</v>
      </c>
      <c r="T308" t="s">
        <v>343</v>
      </c>
    </row>
    <row r="309" spans="2:20" x14ac:dyDescent="0.25">
      <c r="B309">
        <v>304</v>
      </c>
      <c r="C309" t="s">
        <v>646</v>
      </c>
      <c r="D309" s="10">
        <v>0.24682314155321231</v>
      </c>
      <c r="E309" s="10">
        <v>0.63516597409491826</v>
      </c>
      <c r="F309" s="10">
        <v>0.63812258452419202</v>
      </c>
      <c r="G309" s="10">
        <v>0.28977771023890098</v>
      </c>
      <c r="H309" s="6">
        <v>0.14212414711298951</v>
      </c>
      <c r="I309" s="10">
        <v>3.6300385393257399</v>
      </c>
      <c r="J309" s="7">
        <v>2.136060902024944E-2</v>
      </c>
      <c r="K309" s="5">
        <v>0.1046380108036474</v>
      </c>
      <c r="L309">
        <v>117.15721910259521</v>
      </c>
      <c r="M309" s="10">
        <v>-0.80155506510958208</v>
      </c>
      <c r="N309" s="24" t="s">
        <v>343</v>
      </c>
      <c r="O309" s="24">
        <v>2.9066960934250829</v>
      </c>
      <c r="P309">
        <v>56.397246595458952</v>
      </c>
      <c r="Q309" t="s">
        <v>47</v>
      </c>
      <c r="R309" t="s">
        <v>350</v>
      </c>
      <c r="S309" t="s">
        <v>343</v>
      </c>
      <c r="T309" t="s">
        <v>343</v>
      </c>
    </row>
    <row r="310" spans="2:20" x14ac:dyDescent="0.25">
      <c r="B310">
        <v>305</v>
      </c>
      <c r="C310" t="s">
        <v>647</v>
      </c>
      <c r="D310" s="10">
        <v>0.20584660034052549</v>
      </c>
      <c r="E310" s="10">
        <v>0.35826304617068111</v>
      </c>
      <c r="F310" s="10">
        <v>0.57410079479516818</v>
      </c>
      <c r="G310" s="10">
        <v>0.42069959438721471</v>
      </c>
      <c r="H310" s="6">
        <v>0.135979442431297</v>
      </c>
      <c r="I310" s="10">
        <v>10.93638199252563</v>
      </c>
      <c r="J310" s="7">
        <v>1.3895005243517869E-2</v>
      </c>
      <c r="K310" s="5">
        <v>0.1604163595991081</v>
      </c>
      <c r="L310">
        <v>132.695327085755</v>
      </c>
      <c r="M310" s="10">
        <v>-0.77523608237290409</v>
      </c>
      <c r="N310" s="24" t="s">
        <v>343</v>
      </c>
      <c r="O310" s="24">
        <v>4.4858350576257493</v>
      </c>
      <c r="P310">
        <v>20.093343211457491</v>
      </c>
      <c r="Q310" t="s">
        <v>348</v>
      </c>
      <c r="R310" t="s">
        <v>353</v>
      </c>
      <c r="S310" t="s">
        <v>343</v>
      </c>
      <c r="T310" t="s">
        <v>343</v>
      </c>
    </row>
    <row r="311" spans="2:20" x14ac:dyDescent="0.25">
      <c r="B311">
        <v>306</v>
      </c>
      <c r="C311" t="s">
        <v>648</v>
      </c>
      <c r="D311" s="10">
        <v>0.2545333216910417</v>
      </c>
      <c r="E311" s="10">
        <v>0.71097954954133868</v>
      </c>
      <c r="F311" s="10">
        <v>0.68137667936747315</v>
      </c>
      <c r="G311" s="10">
        <v>0.2494371000968367</v>
      </c>
      <c r="H311" s="6">
        <v>0.2586708412865667</v>
      </c>
      <c r="I311" s="10">
        <v>6.8817513975941802</v>
      </c>
      <c r="J311" s="7">
        <v>2.5334601968048528E-2</v>
      </c>
      <c r="K311" s="5">
        <v>0.16376599722585081</v>
      </c>
      <c r="L311">
        <v>115.31525872110051</v>
      </c>
      <c r="M311" s="10">
        <v>-0.80467504107671695</v>
      </c>
      <c r="N311" s="24" t="s">
        <v>343</v>
      </c>
      <c r="O311" s="24">
        <v>2.7194975353969819</v>
      </c>
      <c r="P311">
        <v>61.882091174477111</v>
      </c>
      <c r="Q311" t="s">
        <v>47</v>
      </c>
      <c r="R311" t="s">
        <v>350</v>
      </c>
      <c r="S311" t="s">
        <v>343</v>
      </c>
      <c r="T311" t="s">
        <v>343</v>
      </c>
    </row>
    <row r="312" spans="2:20" x14ac:dyDescent="0.25">
      <c r="B312">
        <v>307</v>
      </c>
      <c r="C312" t="s">
        <v>649</v>
      </c>
      <c r="D312" s="10">
        <v>0.16488003999024789</v>
      </c>
      <c r="E312" s="10">
        <v>1.093612160394184</v>
      </c>
      <c r="F312" s="10">
        <v>0.5085838666365512</v>
      </c>
      <c r="G312" s="10">
        <v>0.26170363717959738</v>
      </c>
      <c r="H312" s="6">
        <v>0.1237108361306825</v>
      </c>
      <c r="I312" s="10">
        <v>3.776228175495957</v>
      </c>
      <c r="J312" s="7">
        <v>2.2787278758948901E-2</v>
      </c>
      <c r="K312" s="5">
        <v>0.1773509874790499</v>
      </c>
      <c r="L312">
        <v>50.221228270573221</v>
      </c>
      <c r="M312" s="10">
        <v>-0.91493355295892353</v>
      </c>
      <c r="N312" s="24" t="s">
        <v>343</v>
      </c>
      <c r="O312" s="24">
        <v>0</v>
      </c>
      <c r="P312">
        <v>52.392644122085457</v>
      </c>
      <c r="Q312" t="s">
        <v>47</v>
      </c>
      <c r="R312" t="s">
        <v>350</v>
      </c>
      <c r="S312" t="s">
        <v>343</v>
      </c>
      <c r="T312" t="s">
        <v>343</v>
      </c>
    </row>
    <row r="313" spans="2:20" x14ac:dyDescent="0.25">
      <c r="B313">
        <v>308</v>
      </c>
      <c r="C313" t="s">
        <v>650</v>
      </c>
      <c r="D313" s="10">
        <v>0.16597571019987431</v>
      </c>
      <c r="E313" s="10">
        <v>0.65965426229719415</v>
      </c>
      <c r="F313" s="10">
        <v>0.50248095129100057</v>
      </c>
      <c r="G313" s="10">
        <v>0.35461914771687969</v>
      </c>
      <c r="H313" s="6">
        <v>0.1358200892708479</v>
      </c>
      <c r="I313" s="10">
        <v>9.7351799597101447</v>
      </c>
      <c r="J313" s="7">
        <v>3.2271339853710453E-2</v>
      </c>
      <c r="K313" s="5">
        <v>0.13789227766280751</v>
      </c>
      <c r="L313">
        <v>164.36723337669221</v>
      </c>
      <c r="M313" s="10">
        <v>-0.72158911610054377</v>
      </c>
      <c r="N313" s="24" t="s">
        <v>343</v>
      </c>
      <c r="O313" s="24">
        <v>7.7046530339673787</v>
      </c>
      <c r="P313">
        <v>62.50837902294225</v>
      </c>
      <c r="Q313" t="s">
        <v>47</v>
      </c>
      <c r="R313" t="s">
        <v>350</v>
      </c>
      <c r="S313" t="s">
        <v>343</v>
      </c>
      <c r="T313" t="s">
        <v>343</v>
      </c>
    </row>
    <row r="314" spans="2:20" x14ac:dyDescent="0.25">
      <c r="B314">
        <v>309</v>
      </c>
      <c r="C314" t="s">
        <v>651</v>
      </c>
      <c r="D314" s="10">
        <v>0.29161608970554531</v>
      </c>
      <c r="E314" s="10">
        <v>0.99251496159466113</v>
      </c>
      <c r="F314" s="10">
        <v>0.59958966430561278</v>
      </c>
      <c r="G314" s="10">
        <v>0.36956719249693049</v>
      </c>
      <c r="H314" s="6">
        <v>0.18679573119683801</v>
      </c>
      <c r="I314" s="10">
        <v>6.553075575432282</v>
      </c>
      <c r="J314" s="7">
        <v>1.6855259582563481E-2</v>
      </c>
      <c r="K314" s="5">
        <v>0.10817675223972931</v>
      </c>
      <c r="L314">
        <v>427.82716210913833</v>
      </c>
      <c r="M314" s="10">
        <v>-0.27533161012679308</v>
      </c>
      <c r="N314" s="24" t="s">
        <v>343</v>
      </c>
      <c r="O314" s="24">
        <v>34.480103392392422</v>
      </c>
      <c r="P314">
        <v>58.778290816624427</v>
      </c>
      <c r="Q314" t="s">
        <v>47</v>
      </c>
      <c r="R314" t="s">
        <v>350</v>
      </c>
      <c r="S314" t="s">
        <v>343</v>
      </c>
      <c r="T314" t="s">
        <v>343</v>
      </c>
    </row>
    <row r="315" spans="2:20" x14ac:dyDescent="0.25">
      <c r="B315">
        <v>310</v>
      </c>
      <c r="C315" t="s">
        <v>652</v>
      </c>
      <c r="D315" s="10">
        <v>0.21763050262580211</v>
      </c>
      <c r="E315" s="10">
        <v>1.026131388689443</v>
      </c>
      <c r="F315" s="10">
        <v>0.60153722889636518</v>
      </c>
      <c r="G315" s="10">
        <v>0.40057506619500433</v>
      </c>
      <c r="H315" s="6">
        <v>0.15943894003565701</v>
      </c>
      <c r="I315" s="10">
        <v>6.723021591415824</v>
      </c>
      <c r="J315" s="7">
        <v>4.1989492157606903E-2</v>
      </c>
      <c r="K315" s="5">
        <v>0.15254091638098249</v>
      </c>
      <c r="L315">
        <v>164.03024109471269</v>
      </c>
      <c r="M315" s="10">
        <v>-0.72215992524033246</v>
      </c>
      <c r="N315" s="24" t="s">
        <v>343</v>
      </c>
      <c r="O315" s="24">
        <v>7.6704044855800566</v>
      </c>
      <c r="P315">
        <v>58.311897017663732</v>
      </c>
      <c r="Q315" t="s">
        <v>47</v>
      </c>
      <c r="R315" t="s">
        <v>350</v>
      </c>
      <c r="S315" t="s">
        <v>343</v>
      </c>
      <c r="T315" t="s">
        <v>343</v>
      </c>
    </row>
    <row r="316" spans="2:20" x14ac:dyDescent="0.25">
      <c r="B316">
        <v>311</v>
      </c>
      <c r="C316" t="s">
        <v>653</v>
      </c>
      <c r="D316" s="10">
        <v>0.18032968202430161</v>
      </c>
      <c r="E316" s="10">
        <v>1.1071096128989919</v>
      </c>
      <c r="F316" s="10">
        <v>0.45210041028689318</v>
      </c>
      <c r="G316" s="10">
        <v>0.29703736021548272</v>
      </c>
      <c r="H316" s="6">
        <v>0.18087733506032189</v>
      </c>
      <c r="I316" s="10">
        <v>8.2708714382268198</v>
      </c>
      <c r="J316" s="7">
        <v>2.8059677258271711E-2</v>
      </c>
      <c r="K316" s="5">
        <v>0.1114947513448631</v>
      </c>
      <c r="L316">
        <v>192.51407865335739</v>
      </c>
      <c r="M316" s="10">
        <v>-0.67391301964585448</v>
      </c>
      <c r="N316" s="24" t="s">
        <v>343</v>
      </c>
      <c r="O316" s="24">
        <v>10.565218821248729</v>
      </c>
      <c r="P316">
        <v>55.175980313343921</v>
      </c>
      <c r="Q316" t="s">
        <v>47</v>
      </c>
      <c r="R316" t="s">
        <v>350</v>
      </c>
      <c r="S316" t="s">
        <v>343</v>
      </c>
      <c r="T316" t="s">
        <v>343</v>
      </c>
    </row>
    <row r="317" spans="2:20" x14ac:dyDescent="0.25">
      <c r="B317">
        <v>312</v>
      </c>
      <c r="C317" t="s">
        <v>654</v>
      </c>
      <c r="D317" s="10">
        <v>0.24355892160876871</v>
      </c>
      <c r="E317" s="10">
        <v>1.2868435129420299</v>
      </c>
      <c r="F317" s="10">
        <v>0.59802220522059335</v>
      </c>
      <c r="G317" s="10">
        <v>0.42518728980692422</v>
      </c>
      <c r="H317" s="6">
        <v>0.13761710723908249</v>
      </c>
      <c r="I317" s="10">
        <v>10.892222440613001</v>
      </c>
      <c r="J317" s="7">
        <v>3.1830656381898609E-2</v>
      </c>
      <c r="K317" s="5">
        <v>0.10162215568730951</v>
      </c>
      <c r="L317">
        <v>535.28989597530187</v>
      </c>
      <c r="M317" s="10">
        <v>-9.3307528396564282E-2</v>
      </c>
      <c r="N317" s="24" t="s">
        <v>343</v>
      </c>
      <c r="O317" s="24">
        <v>62.543139209305579</v>
      </c>
      <c r="P317">
        <v>13.40953142890424</v>
      </c>
      <c r="Q317" t="s">
        <v>348</v>
      </c>
      <c r="R317" t="s">
        <v>353</v>
      </c>
      <c r="S317" t="s">
        <v>343</v>
      </c>
      <c r="T317" t="s">
        <v>343</v>
      </c>
    </row>
    <row r="318" spans="2:20" x14ac:dyDescent="0.25">
      <c r="B318">
        <v>313</v>
      </c>
      <c r="C318" t="s">
        <v>655</v>
      </c>
      <c r="D318" s="10">
        <v>0.28319896849577769</v>
      </c>
      <c r="E318" s="10">
        <v>0.77582094919527456</v>
      </c>
      <c r="F318" s="10">
        <v>0.53735340091074368</v>
      </c>
      <c r="G318" s="10">
        <v>0.44969131475023227</v>
      </c>
      <c r="H318" s="6">
        <v>0.1396360405271061</v>
      </c>
      <c r="I318" s="10">
        <v>6.0396352539992364</v>
      </c>
      <c r="J318" s="7">
        <v>1.1383211844014821E-2</v>
      </c>
      <c r="K318" s="5">
        <v>0.17396542982587779</v>
      </c>
      <c r="L318">
        <v>181.02368359783361</v>
      </c>
      <c r="M318" s="10">
        <v>-0.69337584674370334</v>
      </c>
      <c r="N318" s="24" t="s">
        <v>343</v>
      </c>
      <c r="O318" s="24">
        <v>9.3974491953777992</v>
      </c>
      <c r="P318">
        <v>61.491386917781007</v>
      </c>
      <c r="Q318" t="s">
        <v>47</v>
      </c>
      <c r="R318" t="s">
        <v>350</v>
      </c>
      <c r="S318" t="s">
        <v>343</v>
      </c>
      <c r="T318" t="s">
        <v>343</v>
      </c>
    </row>
    <row r="319" spans="2:20" x14ac:dyDescent="0.25">
      <c r="B319">
        <v>314</v>
      </c>
      <c r="C319" t="s">
        <v>656</v>
      </c>
      <c r="D319" s="10">
        <v>0.19453136439949489</v>
      </c>
      <c r="E319" s="10">
        <v>0.48307528432870273</v>
      </c>
      <c r="F319" s="10">
        <v>0.63433505658334532</v>
      </c>
      <c r="G319" s="10">
        <v>0.34978864679087002</v>
      </c>
      <c r="H319" s="6">
        <v>0.2400986863087673</v>
      </c>
      <c r="I319" s="10">
        <v>3.8904050735679112</v>
      </c>
      <c r="J319" s="7">
        <v>2.9568104460357309E-2</v>
      </c>
      <c r="K319" s="5">
        <v>0.13832400703214651</v>
      </c>
      <c r="L319">
        <v>37.614131931452448</v>
      </c>
      <c r="M319" s="10">
        <v>-0.93628788717185141</v>
      </c>
      <c r="N319" s="24" t="s">
        <v>343</v>
      </c>
      <c r="O319" s="24">
        <v>0</v>
      </c>
      <c r="P319">
        <v>60.934584163922779</v>
      </c>
      <c r="Q319" t="s">
        <v>47</v>
      </c>
      <c r="R319" t="s">
        <v>350</v>
      </c>
      <c r="S319" t="s">
        <v>343</v>
      </c>
      <c r="T319" t="s">
        <v>343</v>
      </c>
    </row>
    <row r="320" spans="2:20" x14ac:dyDescent="0.25">
      <c r="B320">
        <v>315</v>
      </c>
      <c r="C320" t="s">
        <v>657</v>
      </c>
      <c r="D320" s="10">
        <v>0.25966247613103999</v>
      </c>
      <c r="E320" s="10">
        <v>0.65081828697507826</v>
      </c>
      <c r="F320" s="10">
        <v>0.65010747278177095</v>
      </c>
      <c r="G320" s="10">
        <v>0.40731690029335632</v>
      </c>
      <c r="H320" s="6">
        <v>0.23386631161504559</v>
      </c>
      <c r="I320" s="10">
        <v>7.6686829358345676</v>
      </c>
      <c r="J320" s="7">
        <v>2.288350715790775E-2</v>
      </c>
      <c r="K320" s="5">
        <v>0.14987549134593139</v>
      </c>
      <c r="L320">
        <v>169.02239072311019</v>
      </c>
      <c r="M320" s="10">
        <v>-0.713704050172975</v>
      </c>
      <c r="N320" s="24" t="s">
        <v>343</v>
      </c>
      <c r="O320" s="24">
        <v>8.1777569896214963</v>
      </c>
      <c r="P320">
        <v>57.71604297370714</v>
      </c>
      <c r="Q320" t="s">
        <v>47</v>
      </c>
      <c r="R320" t="s">
        <v>350</v>
      </c>
      <c r="S320" t="s">
        <v>343</v>
      </c>
      <c r="T320" t="s">
        <v>343</v>
      </c>
    </row>
    <row r="321" spans="2:20" x14ac:dyDescent="0.25">
      <c r="B321">
        <v>316</v>
      </c>
      <c r="C321" t="s">
        <v>658</v>
      </c>
      <c r="D321" s="10">
        <v>0.17365559439900291</v>
      </c>
      <c r="E321" s="10">
        <v>0.77538398069138448</v>
      </c>
      <c r="F321" s="10">
        <v>0.5835599930822295</v>
      </c>
      <c r="G321" s="10">
        <v>0.3554666379996344</v>
      </c>
      <c r="H321" s="6">
        <v>0.13563792985869219</v>
      </c>
      <c r="I321" s="10">
        <v>3.6041796542803382</v>
      </c>
      <c r="J321" s="7">
        <v>4.2346021708536491E-2</v>
      </c>
      <c r="K321" s="5">
        <v>0.16297067426301071</v>
      </c>
      <c r="L321">
        <v>132.51063272492991</v>
      </c>
      <c r="M321" s="10">
        <v>-0.77554892404573739</v>
      </c>
      <c r="N321" s="24" t="s">
        <v>343</v>
      </c>
      <c r="O321" s="24">
        <v>4.4670645572557532</v>
      </c>
      <c r="P321">
        <v>63.316192025293113</v>
      </c>
      <c r="Q321" t="s">
        <v>47</v>
      </c>
      <c r="R321" t="s">
        <v>350</v>
      </c>
      <c r="S321" t="s">
        <v>343</v>
      </c>
      <c r="T321" t="s">
        <v>343</v>
      </c>
    </row>
    <row r="322" spans="2:20" x14ac:dyDescent="0.25">
      <c r="B322">
        <v>317</v>
      </c>
      <c r="C322" t="s">
        <v>659</v>
      </c>
      <c r="D322" s="10">
        <v>0.16826907538697719</v>
      </c>
      <c r="E322" s="10">
        <v>1.0852806162609241</v>
      </c>
      <c r="F322" s="10">
        <v>0.44044330819058891</v>
      </c>
      <c r="G322" s="10">
        <v>0.25528274647068627</v>
      </c>
      <c r="H322" s="6">
        <v>0.22016856223485301</v>
      </c>
      <c r="I322" s="10">
        <v>10.66995360881438</v>
      </c>
      <c r="J322" s="7">
        <v>4.0997516044174967E-2</v>
      </c>
      <c r="K322" s="5">
        <v>0.13809762833756761</v>
      </c>
      <c r="L322">
        <v>203.6143612787512</v>
      </c>
      <c r="M322" s="10">
        <v>-0.65511097842522337</v>
      </c>
      <c r="N322" s="24" t="s">
        <v>343</v>
      </c>
      <c r="O322" s="24">
        <v>11.693341294486601</v>
      </c>
      <c r="P322">
        <v>20.31210446996322</v>
      </c>
      <c r="Q322" t="s">
        <v>348</v>
      </c>
      <c r="R322" t="s">
        <v>371</v>
      </c>
      <c r="S322" t="s">
        <v>343</v>
      </c>
      <c r="T322" t="s">
        <v>343</v>
      </c>
    </row>
    <row r="323" spans="2:20" x14ac:dyDescent="0.25">
      <c r="B323">
        <v>318</v>
      </c>
      <c r="C323" t="s">
        <v>660</v>
      </c>
      <c r="D323" s="10">
        <v>0.24501674105090371</v>
      </c>
      <c r="E323" s="10">
        <v>0.31443433811779692</v>
      </c>
      <c r="F323" s="10">
        <v>0.60545511064332691</v>
      </c>
      <c r="G323" s="10">
        <v>0.31174453282537662</v>
      </c>
      <c r="H323" s="6">
        <v>0.21139669850332249</v>
      </c>
      <c r="I323" s="10">
        <v>13.551678147148319</v>
      </c>
      <c r="J323" s="7">
        <v>3.2317704500760089E-2</v>
      </c>
      <c r="K323" s="5">
        <v>0.10485750128535259</v>
      </c>
      <c r="L323">
        <v>150.67901795423549</v>
      </c>
      <c r="M323" s="10">
        <v>-0.74477468707160532</v>
      </c>
      <c r="N323" s="24" t="s">
        <v>343</v>
      </c>
      <c r="O323" s="24">
        <v>6.3135187757036846</v>
      </c>
      <c r="P323">
        <v>12.165498302447419</v>
      </c>
      <c r="Q323" t="s">
        <v>348</v>
      </c>
      <c r="R323" t="s">
        <v>353</v>
      </c>
      <c r="S323" t="s">
        <v>343</v>
      </c>
      <c r="T323" t="s">
        <v>343</v>
      </c>
    </row>
    <row r="324" spans="2:20" x14ac:dyDescent="0.25">
      <c r="B324">
        <v>319</v>
      </c>
      <c r="C324" t="s">
        <v>661</v>
      </c>
      <c r="D324" s="10">
        <v>0.24650161945761709</v>
      </c>
      <c r="E324" s="10">
        <v>0.6473639217838667</v>
      </c>
      <c r="F324" s="10">
        <v>0.63470913271314289</v>
      </c>
      <c r="G324" s="10">
        <v>0.25924707171794331</v>
      </c>
      <c r="H324" s="6">
        <v>0.22700440840203451</v>
      </c>
      <c r="I324" s="10">
        <v>10.24634688412945</v>
      </c>
      <c r="J324" s="7">
        <v>3.6874797278200963E-2</v>
      </c>
      <c r="K324" s="5">
        <v>0.12401064748225631</v>
      </c>
      <c r="L324">
        <v>156.7028328248268</v>
      </c>
      <c r="M324" s="10">
        <v>-0.73457134186639339</v>
      </c>
      <c r="N324" s="24" t="s">
        <v>343</v>
      </c>
      <c r="O324" s="24">
        <v>6.9257194880163979</v>
      </c>
      <c r="P324">
        <v>54.015021390157351</v>
      </c>
      <c r="Q324" t="s">
        <v>47</v>
      </c>
      <c r="R324" t="s">
        <v>350</v>
      </c>
      <c r="S324" t="s">
        <v>343</v>
      </c>
      <c r="T324" t="s">
        <v>343</v>
      </c>
    </row>
    <row r="325" spans="2:20" x14ac:dyDescent="0.25">
      <c r="B325">
        <v>320</v>
      </c>
      <c r="C325" t="s">
        <v>662</v>
      </c>
      <c r="D325" s="10">
        <v>0.26198878423971311</v>
      </c>
      <c r="E325" s="10">
        <v>1.1578268391212481</v>
      </c>
      <c r="F325" s="10">
        <v>0.50473564922019365</v>
      </c>
      <c r="G325" s="10">
        <v>0.45755340623610302</v>
      </c>
      <c r="H325" s="6">
        <v>0.19116733568437111</v>
      </c>
      <c r="I325" s="10">
        <v>6.0292949472593893</v>
      </c>
      <c r="J325" s="7">
        <v>3.256076049905799E-2</v>
      </c>
      <c r="K325" s="5">
        <v>0.11846241317710481</v>
      </c>
      <c r="L325">
        <v>434.77227705568941</v>
      </c>
      <c r="M325" s="10">
        <v>-0.26356773510541798</v>
      </c>
      <c r="N325" s="24" t="s">
        <v>343</v>
      </c>
      <c r="O325" s="24">
        <v>35.185935893674923</v>
      </c>
      <c r="P325">
        <v>53.732081735865563</v>
      </c>
      <c r="Q325" t="s">
        <v>47</v>
      </c>
      <c r="R325" t="s">
        <v>350</v>
      </c>
      <c r="S325" t="s">
        <v>343</v>
      </c>
      <c r="T325" t="s">
        <v>343</v>
      </c>
    </row>
    <row r="326" spans="2:20" x14ac:dyDescent="0.25">
      <c r="B326">
        <v>321</v>
      </c>
      <c r="C326" t="s">
        <v>663</v>
      </c>
      <c r="D326" s="10">
        <v>0.27617461339562588</v>
      </c>
      <c r="E326" s="10">
        <v>1.0379434736637649</v>
      </c>
      <c r="F326" s="10">
        <v>0.56080796029660507</v>
      </c>
      <c r="G326" s="10">
        <v>0.290385700656143</v>
      </c>
      <c r="H326" s="6">
        <v>0.1604980241300161</v>
      </c>
      <c r="I326" s="10">
        <v>4.9987262629136389</v>
      </c>
      <c r="J326" s="7">
        <v>1.0593883906260289E-2</v>
      </c>
      <c r="K326" s="5">
        <v>0.19285243197830521</v>
      </c>
      <c r="L326">
        <v>140.8199629907333</v>
      </c>
      <c r="M326" s="10">
        <v>-0.76147429410649015</v>
      </c>
      <c r="N326" s="24" t="s">
        <v>343</v>
      </c>
      <c r="O326" s="24">
        <v>5.3115423536105979</v>
      </c>
      <c r="P326">
        <v>29.120651728403491</v>
      </c>
      <c r="Q326" t="s">
        <v>348</v>
      </c>
      <c r="R326" t="s">
        <v>353</v>
      </c>
      <c r="S326" t="s">
        <v>343</v>
      </c>
      <c r="T326" t="s">
        <v>343</v>
      </c>
    </row>
    <row r="327" spans="2:20" x14ac:dyDescent="0.25">
      <c r="B327">
        <v>322</v>
      </c>
      <c r="C327" t="s">
        <v>664</v>
      </c>
      <c r="D327" s="10">
        <v>0.31613633271400549</v>
      </c>
      <c r="E327" s="10">
        <v>1.104913970944166</v>
      </c>
      <c r="F327" s="10">
        <v>0.69108892208706485</v>
      </c>
      <c r="G327" s="10">
        <v>0.3798980922714581</v>
      </c>
      <c r="H327" s="6">
        <v>0.2195518754034792</v>
      </c>
      <c r="I327" s="10">
        <v>5.560619284300989</v>
      </c>
      <c r="J327" s="7">
        <v>3.4609429063560862E-2</v>
      </c>
      <c r="K327" s="5">
        <v>0.17025301813241869</v>
      </c>
      <c r="L327">
        <v>216.18417495543909</v>
      </c>
      <c r="M327" s="10">
        <v>-0.63381979487066464</v>
      </c>
      <c r="N327" s="24" t="s">
        <v>343</v>
      </c>
      <c r="O327" s="24">
        <v>12.97081230776012</v>
      </c>
      <c r="P327">
        <v>22.164564267133361</v>
      </c>
      <c r="Q327" t="s">
        <v>348</v>
      </c>
      <c r="R327" t="s">
        <v>351</v>
      </c>
      <c r="S327" t="s">
        <v>343</v>
      </c>
      <c r="T327" t="s">
        <v>343</v>
      </c>
    </row>
    <row r="328" spans="2:20" x14ac:dyDescent="0.25">
      <c r="B328">
        <v>323</v>
      </c>
      <c r="C328" t="s">
        <v>665</v>
      </c>
      <c r="D328" s="10">
        <v>0.2426080557281913</v>
      </c>
      <c r="E328" s="10">
        <v>1.192991846383114</v>
      </c>
      <c r="F328" s="10">
        <v>0.51751004388246691</v>
      </c>
      <c r="G328" s="10">
        <v>0.3025559224278862</v>
      </c>
      <c r="H328" s="6">
        <v>0.1757036139784233</v>
      </c>
      <c r="I328" s="10">
        <v>5.4377100348493368</v>
      </c>
      <c r="J328" s="7">
        <v>1.6198176734529311E-2</v>
      </c>
      <c r="K328" s="5">
        <v>0.14289724983500329</v>
      </c>
      <c r="L328">
        <v>294.57071807583162</v>
      </c>
      <c r="M328" s="10">
        <v>-0.50104596697543902</v>
      </c>
      <c r="N328" s="24" t="s">
        <v>343</v>
      </c>
      <c r="O328" s="24">
        <v>20.937241981473662</v>
      </c>
      <c r="P328">
        <v>23.30972625095324</v>
      </c>
      <c r="Q328" t="s">
        <v>348</v>
      </c>
      <c r="R328" t="s">
        <v>625</v>
      </c>
      <c r="S328" t="s">
        <v>343</v>
      </c>
      <c r="T328" t="s">
        <v>343</v>
      </c>
    </row>
    <row r="329" spans="2:20" x14ac:dyDescent="0.25">
      <c r="B329">
        <v>324</v>
      </c>
      <c r="C329" t="s">
        <v>666</v>
      </c>
      <c r="D329" s="10">
        <v>0.21167303567059939</v>
      </c>
      <c r="E329" s="10">
        <v>1.1615592907657579</v>
      </c>
      <c r="F329" s="10">
        <v>0.49801984527085258</v>
      </c>
      <c r="G329" s="10">
        <v>0.38371416737830372</v>
      </c>
      <c r="H329" s="6">
        <v>0.15284293515182409</v>
      </c>
      <c r="I329" s="10">
        <v>6.4521355664896722</v>
      </c>
      <c r="J329" s="7">
        <v>3.3889983423957687E-2</v>
      </c>
      <c r="K329" s="5">
        <v>0.10601990266346389</v>
      </c>
      <c r="L329">
        <v>172.40484295682401</v>
      </c>
      <c r="M329" s="10">
        <v>-0.7079747360220352</v>
      </c>
      <c r="N329" s="24" t="s">
        <v>343</v>
      </c>
      <c r="O329" s="24">
        <v>8.5215158386778853</v>
      </c>
      <c r="P329">
        <v>55.435482030040937</v>
      </c>
      <c r="Q329" t="s">
        <v>47</v>
      </c>
      <c r="R329" t="s">
        <v>350</v>
      </c>
      <c r="S329" t="s">
        <v>343</v>
      </c>
      <c r="T329" t="s">
        <v>343</v>
      </c>
    </row>
    <row r="330" spans="2:20" x14ac:dyDescent="0.25">
      <c r="B330">
        <v>325</v>
      </c>
      <c r="C330" t="s">
        <v>667</v>
      </c>
      <c r="D330" s="10">
        <v>0.28722979116299258</v>
      </c>
      <c r="E330" s="10">
        <v>1.0504014827680559</v>
      </c>
      <c r="F330" s="10">
        <v>0.49482224552428261</v>
      </c>
      <c r="G330" s="10">
        <v>0.28628837199150609</v>
      </c>
      <c r="H330" s="6">
        <v>0.18129435205789249</v>
      </c>
      <c r="I330" s="10">
        <v>4.0708134594095942</v>
      </c>
      <c r="J330" s="7">
        <v>1.036773744805598E-2</v>
      </c>
      <c r="K330" s="5">
        <v>0.11100579963543571</v>
      </c>
      <c r="L330">
        <v>99.759330547917216</v>
      </c>
      <c r="M330" s="10">
        <v>-0.83102420826533108</v>
      </c>
      <c r="N330" s="24" t="s">
        <v>343</v>
      </c>
      <c r="O330" s="24">
        <v>1.1385475040801369</v>
      </c>
      <c r="P330">
        <v>54.01836096115656</v>
      </c>
      <c r="Q330" t="s">
        <v>47</v>
      </c>
      <c r="R330" t="s">
        <v>350</v>
      </c>
      <c r="S330" t="s">
        <v>343</v>
      </c>
      <c r="T330" t="s">
        <v>343</v>
      </c>
    </row>
    <row r="331" spans="2:20" x14ac:dyDescent="0.25">
      <c r="B331">
        <v>326</v>
      </c>
      <c r="C331" t="s">
        <v>668</v>
      </c>
      <c r="D331" s="10">
        <v>0.2033331602019319</v>
      </c>
      <c r="E331" s="10">
        <v>0.78362768560764962</v>
      </c>
      <c r="F331" s="10">
        <v>0.58528821693203903</v>
      </c>
      <c r="G331" s="10">
        <v>0.41275941450021641</v>
      </c>
      <c r="H331" s="6">
        <v>0.23449047534014311</v>
      </c>
      <c r="I331" s="10">
        <v>12.852909634110789</v>
      </c>
      <c r="J331" s="7">
        <v>2.0881738293734291E-2</v>
      </c>
      <c r="K331" s="5">
        <v>0.17722545908078441</v>
      </c>
      <c r="L331">
        <v>280.60702219870041</v>
      </c>
      <c r="M331" s="10">
        <v>-0.52469815623353577</v>
      </c>
      <c r="N331" s="24" t="s">
        <v>343</v>
      </c>
      <c r="O331" s="24">
        <v>19.518110625987859</v>
      </c>
      <c r="P331">
        <v>55.185967181055467</v>
      </c>
      <c r="Q331" t="s">
        <v>47</v>
      </c>
      <c r="R331" t="s">
        <v>350</v>
      </c>
      <c r="S331" t="s">
        <v>343</v>
      </c>
      <c r="T331" t="s">
        <v>343</v>
      </c>
    </row>
    <row r="332" spans="2:20" x14ac:dyDescent="0.25">
      <c r="B332">
        <v>327</v>
      </c>
      <c r="C332" t="s">
        <v>669</v>
      </c>
      <c r="D332" s="10">
        <v>0.23023542731290181</v>
      </c>
      <c r="E332" s="10">
        <v>1.3819581617659691</v>
      </c>
      <c r="F332" s="10">
        <v>0.68694464634008168</v>
      </c>
      <c r="G332" s="10">
        <v>0.26437855262405979</v>
      </c>
      <c r="H332" s="6">
        <v>0.1913689794804303</v>
      </c>
      <c r="I332" s="10">
        <v>12.736325448624591</v>
      </c>
      <c r="J332" s="7">
        <v>2.809247926759639E-2</v>
      </c>
      <c r="K332" s="5">
        <v>0.18981766391451499</v>
      </c>
      <c r="L332">
        <v>158.78549933279379</v>
      </c>
      <c r="M332" s="10">
        <v>-0.73104364956763679</v>
      </c>
      <c r="N332" s="24" t="s">
        <v>343</v>
      </c>
      <c r="O332" s="24">
        <v>7.1373810259417958</v>
      </c>
      <c r="P332">
        <v>51.791797820680173</v>
      </c>
      <c r="Q332" t="s">
        <v>47</v>
      </c>
      <c r="R332" t="s">
        <v>350</v>
      </c>
      <c r="S332" t="s">
        <v>343</v>
      </c>
      <c r="T332" t="s">
        <v>343</v>
      </c>
    </row>
    <row r="333" spans="2:20" x14ac:dyDescent="0.25">
      <c r="B333">
        <v>328</v>
      </c>
      <c r="C333" t="s">
        <v>670</v>
      </c>
      <c r="D333" s="10">
        <v>0.17255302101476261</v>
      </c>
      <c r="E333" s="10">
        <v>0.92598051514908097</v>
      </c>
      <c r="F333" s="10">
        <v>0.59825943359209222</v>
      </c>
      <c r="G333" s="10">
        <v>0.43693308801986158</v>
      </c>
      <c r="H333" s="6">
        <v>0.16497963951501329</v>
      </c>
      <c r="I333" s="10">
        <v>9.7675987892501439</v>
      </c>
      <c r="J333" s="7">
        <v>2.1660971012627241E-2</v>
      </c>
      <c r="K333" s="5">
        <v>0.10297826752515619</v>
      </c>
      <c r="L333">
        <v>173.55977618360231</v>
      </c>
      <c r="M333" s="10">
        <v>-0.70601847032414333</v>
      </c>
      <c r="N333" s="24" t="s">
        <v>343</v>
      </c>
      <c r="O333" s="24">
        <v>8.6388917805514041</v>
      </c>
      <c r="P333">
        <v>54.849579945203708</v>
      </c>
      <c r="Q333" t="s">
        <v>47</v>
      </c>
      <c r="R333" t="s">
        <v>350</v>
      </c>
      <c r="S333" t="s">
        <v>343</v>
      </c>
      <c r="T333" t="s">
        <v>343</v>
      </c>
    </row>
    <row r="334" spans="2:20" x14ac:dyDescent="0.25">
      <c r="B334">
        <v>329</v>
      </c>
      <c r="C334" t="s">
        <v>671</v>
      </c>
      <c r="D334" s="10">
        <v>0.16405611894647321</v>
      </c>
      <c r="E334" s="10">
        <v>0.523046130305723</v>
      </c>
      <c r="F334" s="10">
        <v>0.5188640112617916</v>
      </c>
      <c r="G334" s="10">
        <v>0.42489277235897482</v>
      </c>
      <c r="H334" s="6">
        <v>0.24478029222357431</v>
      </c>
      <c r="I334" s="10">
        <v>3.6811240356032768</v>
      </c>
      <c r="J334" s="7">
        <v>3.4289553821052268E-2</v>
      </c>
      <c r="K334" s="5">
        <v>0.18648772665538621</v>
      </c>
      <c r="L334">
        <v>53.620962309646622</v>
      </c>
      <c r="M334" s="10">
        <v>-0.90917496629054362</v>
      </c>
      <c r="N334" s="24" t="s">
        <v>343</v>
      </c>
      <c r="O334" s="24">
        <v>0</v>
      </c>
      <c r="P334">
        <v>57.229733670752907</v>
      </c>
      <c r="Q334" t="s">
        <v>47</v>
      </c>
      <c r="R334" t="s">
        <v>350</v>
      </c>
      <c r="S334" t="s">
        <v>343</v>
      </c>
      <c r="T334" t="s">
        <v>343</v>
      </c>
    </row>
    <row r="335" spans="2:20" x14ac:dyDescent="0.25">
      <c r="B335">
        <v>330</v>
      </c>
      <c r="C335" t="s">
        <v>672</v>
      </c>
      <c r="D335" s="10">
        <v>0.31402374634846802</v>
      </c>
      <c r="E335" s="10">
        <v>0.62209414061526269</v>
      </c>
      <c r="F335" s="10">
        <v>0.60602814229753799</v>
      </c>
      <c r="G335" s="10">
        <v>0.38933761560044478</v>
      </c>
      <c r="H335" s="6">
        <v>0.25224656327714018</v>
      </c>
      <c r="I335" s="10">
        <v>11.84400814793943</v>
      </c>
      <c r="J335" s="7">
        <v>2.8294833856265598E-2</v>
      </c>
      <c r="K335" s="5">
        <v>0.13615355277166921</v>
      </c>
      <c r="L335">
        <v>185.35109916020301</v>
      </c>
      <c r="M335" s="10">
        <v>-0.68604592114376084</v>
      </c>
      <c r="N335" s="24" t="s">
        <v>343</v>
      </c>
      <c r="O335" s="24">
        <v>9.8372447313743514</v>
      </c>
      <c r="P335">
        <v>51.647818985401429</v>
      </c>
      <c r="Q335" t="s">
        <v>47</v>
      </c>
      <c r="R335" t="s">
        <v>350</v>
      </c>
      <c r="S335" t="s">
        <v>343</v>
      </c>
      <c r="T335" t="s">
        <v>343</v>
      </c>
    </row>
    <row r="336" spans="2:20" x14ac:dyDescent="0.25">
      <c r="B336">
        <v>331</v>
      </c>
      <c r="C336" t="s">
        <v>673</v>
      </c>
      <c r="D336" s="10">
        <v>0.29375681928195302</v>
      </c>
      <c r="E336" s="10">
        <v>1.062918701567517</v>
      </c>
      <c r="F336" s="10">
        <v>0.60245899737542474</v>
      </c>
      <c r="G336" s="10">
        <v>0.25483121797142649</v>
      </c>
      <c r="H336" s="6">
        <v>0.18498756356590121</v>
      </c>
      <c r="I336" s="10">
        <v>3.6796744211206991</v>
      </c>
      <c r="J336" s="7">
        <v>4.3588358333658983E-2</v>
      </c>
      <c r="K336" s="5">
        <v>0.120295102762099</v>
      </c>
      <c r="L336">
        <v>79.54730045581168</v>
      </c>
      <c r="M336" s="10">
        <v>-0.86526004133097101</v>
      </c>
      <c r="N336" s="24" t="s">
        <v>343</v>
      </c>
      <c r="O336" s="24">
        <v>0</v>
      </c>
      <c r="P336">
        <v>44.54939803754646</v>
      </c>
      <c r="Q336" t="s">
        <v>346</v>
      </c>
      <c r="R336" t="s">
        <v>347</v>
      </c>
      <c r="S336" t="s">
        <v>343</v>
      </c>
      <c r="T336" t="s">
        <v>343</v>
      </c>
    </row>
    <row r="337" spans="2:20" x14ac:dyDescent="0.25">
      <c r="B337">
        <v>332</v>
      </c>
      <c r="C337" t="s">
        <v>674</v>
      </c>
      <c r="D337" s="10">
        <v>0.2713558729749917</v>
      </c>
      <c r="E337" s="10">
        <v>1.3172135217194101</v>
      </c>
      <c r="F337" s="10">
        <v>0.59520053528971006</v>
      </c>
      <c r="G337" s="10">
        <v>0.28588518623236431</v>
      </c>
      <c r="H337" s="6">
        <v>0.1762032031090342</v>
      </c>
      <c r="I337" s="10">
        <v>4.1706334613944502</v>
      </c>
      <c r="J337" s="7">
        <v>2.2523434822881629E-2</v>
      </c>
      <c r="K337" s="5">
        <v>0.1097120739542531</v>
      </c>
      <c r="L337">
        <v>199.10574455104671</v>
      </c>
      <c r="M337" s="10">
        <v>-0.66274782880310468</v>
      </c>
      <c r="N337" s="24" t="s">
        <v>343</v>
      </c>
      <c r="O337" s="24">
        <v>11.23513027181372</v>
      </c>
      <c r="P337">
        <v>53.677981595094053</v>
      </c>
      <c r="Q337" t="s">
        <v>47</v>
      </c>
      <c r="R337" t="s">
        <v>350</v>
      </c>
      <c r="S337" t="s">
        <v>343</v>
      </c>
      <c r="T337" t="s">
        <v>343</v>
      </c>
    </row>
    <row r="338" spans="2:20" x14ac:dyDescent="0.25">
      <c r="B338">
        <v>333</v>
      </c>
      <c r="C338" t="s">
        <v>675</v>
      </c>
      <c r="D338" s="10">
        <v>0.2254324711062832</v>
      </c>
      <c r="E338" s="10">
        <v>0.49659214212648728</v>
      </c>
      <c r="F338" s="10">
        <v>0.4814508137909585</v>
      </c>
      <c r="G338" s="10">
        <v>0.42905955105203669</v>
      </c>
      <c r="H338" s="6">
        <v>0.21190484205284479</v>
      </c>
      <c r="I338" s="10">
        <v>6.5782603190869713</v>
      </c>
      <c r="J338" s="7">
        <v>3.5265076604277433E-2</v>
      </c>
      <c r="K338" s="5">
        <v>0.17331614948555349</v>
      </c>
      <c r="L338">
        <v>118.6154256428609</v>
      </c>
      <c r="M338" s="10">
        <v>-0.79908510462267091</v>
      </c>
      <c r="N338" s="24" t="s">
        <v>343</v>
      </c>
      <c r="O338" s="24">
        <v>3.054893722639747</v>
      </c>
      <c r="P338">
        <v>62.94686414016855</v>
      </c>
      <c r="Q338" t="s">
        <v>47</v>
      </c>
      <c r="R338" t="s">
        <v>350</v>
      </c>
      <c r="S338" t="s">
        <v>343</v>
      </c>
      <c r="T338" t="s">
        <v>343</v>
      </c>
    </row>
    <row r="339" spans="2:20" x14ac:dyDescent="0.25">
      <c r="B339">
        <v>334</v>
      </c>
      <c r="C339" t="s">
        <v>676</v>
      </c>
      <c r="D339" s="10">
        <v>0.1877270912113353</v>
      </c>
      <c r="E339" s="10">
        <v>0.39058114532036492</v>
      </c>
      <c r="F339" s="10">
        <v>0.60498736782969842</v>
      </c>
      <c r="G339" s="10">
        <v>0.26683437554657091</v>
      </c>
      <c r="H339" s="6">
        <v>0.12869616690868699</v>
      </c>
      <c r="I339" s="10">
        <v>7.7461734943211624</v>
      </c>
      <c r="J339" s="7">
        <v>3.9254458254769739E-2</v>
      </c>
      <c r="K339" s="5">
        <v>0.1445464960922723</v>
      </c>
      <c r="L339">
        <v>109.59160337862561</v>
      </c>
      <c r="M339" s="10">
        <v>-0.8143699657298703</v>
      </c>
      <c r="N339" s="24" t="s">
        <v>343</v>
      </c>
      <c r="O339" s="24">
        <v>2.1378020562077888</v>
      </c>
      <c r="P339">
        <v>68.611922324240538</v>
      </c>
      <c r="Q339" t="s">
        <v>47</v>
      </c>
      <c r="R339" t="s">
        <v>350</v>
      </c>
      <c r="S339" t="s">
        <v>343</v>
      </c>
      <c r="T339" t="s">
        <v>343</v>
      </c>
    </row>
    <row r="340" spans="2:20" x14ac:dyDescent="0.25">
      <c r="B340">
        <v>335</v>
      </c>
      <c r="C340" t="s">
        <v>677</v>
      </c>
      <c r="D340" s="10">
        <v>0.18502992682737379</v>
      </c>
      <c r="E340" s="10">
        <v>1.2696841528462071</v>
      </c>
      <c r="F340" s="10">
        <v>0.55184275765376989</v>
      </c>
      <c r="G340" s="10">
        <v>0.27430506118776438</v>
      </c>
      <c r="H340" s="6">
        <v>0.2236984740851396</v>
      </c>
      <c r="I340" s="10">
        <v>6.8927785238685111</v>
      </c>
      <c r="J340" s="7">
        <v>1.8876622548831639E-2</v>
      </c>
      <c r="K340" s="5">
        <v>0.17908025928384941</v>
      </c>
      <c r="L340">
        <v>135.41705145791329</v>
      </c>
      <c r="M340" s="10">
        <v>-0.77062593184219175</v>
      </c>
      <c r="N340" s="24" t="s">
        <v>343</v>
      </c>
      <c r="O340" s="24">
        <v>4.7624440894684952</v>
      </c>
      <c r="P340">
        <v>61.445142906298152</v>
      </c>
      <c r="Q340" t="s">
        <v>47</v>
      </c>
      <c r="R340" t="s">
        <v>350</v>
      </c>
      <c r="S340" t="s">
        <v>343</v>
      </c>
      <c r="T340" t="s">
        <v>343</v>
      </c>
    </row>
    <row r="341" spans="2:20" x14ac:dyDescent="0.25">
      <c r="B341">
        <v>336</v>
      </c>
      <c r="C341" t="s">
        <v>678</v>
      </c>
      <c r="D341" s="10">
        <v>0.20003886370633531</v>
      </c>
      <c r="E341" s="10">
        <v>1.3068057768041179</v>
      </c>
      <c r="F341" s="10">
        <v>0.44483393524198872</v>
      </c>
      <c r="G341" s="10">
        <v>0.35968073122621458</v>
      </c>
      <c r="H341" s="6">
        <v>0.237343140806587</v>
      </c>
      <c r="I341" s="10">
        <v>4.817527590762003</v>
      </c>
      <c r="J341" s="7">
        <v>3.6394601652822212E-2</v>
      </c>
      <c r="K341" s="5">
        <v>0.12148492957537139</v>
      </c>
      <c r="L341">
        <v>233.20987681656399</v>
      </c>
      <c r="M341" s="10">
        <v>-0.60498107436180815</v>
      </c>
      <c r="N341" s="24" t="s">
        <v>343</v>
      </c>
      <c r="O341" s="24">
        <v>14.70113553829151</v>
      </c>
      <c r="P341">
        <v>55.213864671593043</v>
      </c>
      <c r="Q341" t="s">
        <v>47</v>
      </c>
      <c r="R341" t="s">
        <v>350</v>
      </c>
      <c r="S341" t="s">
        <v>343</v>
      </c>
      <c r="T341" t="s">
        <v>343</v>
      </c>
    </row>
    <row r="342" spans="2:20" x14ac:dyDescent="0.25">
      <c r="B342">
        <v>337</v>
      </c>
      <c r="C342" t="s">
        <v>679</v>
      </c>
      <c r="D342" s="10">
        <v>0.2478762663529793</v>
      </c>
      <c r="E342" s="10">
        <v>0.60401727984748943</v>
      </c>
      <c r="F342" s="10">
        <v>0.58033876665834871</v>
      </c>
      <c r="G342" s="10">
        <v>0.30031903672835558</v>
      </c>
      <c r="H342" s="6">
        <v>0.17961628908857569</v>
      </c>
      <c r="I342" s="10">
        <v>4.2334268944995159</v>
      </c>
      <c r="J342" s="7">
        <v>2.3765989999404831E-2</v>
      </c>
      <c r="K342" s="5">
        <v>0.16446396349908041</v>
      </c>
      <c r="L342">
        <v>115.7415701190711</v>
      </c>
      <c r="M342" s="10">
        <v>-0.80395294014037411</v>
      </c>
      <c r="N342" s="24" t="s">
        <v>343</v>
      </c>
      <c r="O342" s="24">
        <v>2.7628235915775581</v>
      </c>
      <c r="P342">
        <v>66.84803269052766</v>
      </c>
      <c r="Q342" t="s">
        <v>47</v>
      </c>
      <c r="R342" t="s">
        <v>350</v>
      </c>
      <c r="S342" t="s">
        <v>343</v>
      </c>
      <c r="T342" t="s">
        <v>343</v>
      </c>
    </row>
    <row r="343" spans="2:20" x14ac:dyDescent="0.25">
      <c r="B343">
        <v>338</v>
      </c>
      <c r="C343" t="s">
        <v>680</v>
      </c>
      <c r="D343" s="10">
        <v>0.27433534763201001</v>
      </c>
      <c r="E343" s="10">
        <v>0.7150142968083637</v>
      </c>
      <c r="F343" s="10">
        <v>0.6972093537567885</v>
      </c>
      <c r="G343" s="10">
        <v>0.28885665398766452</v>
      </c>
      <c r="H343" s="6">
        <v>0.1461923775011095</v>
      </c>
      <c r="I343" s="10">
        <v>12.453567493748579</v>
      </c>
      <c r="J343" s="7">
        <v>1.4505450307163621E-2</v>
      </c>
      <c r="K343" s="5">
        <v>0.11122156196228219</v>
      </c>
      <c r="L343">
        <v>346.75025127223262</v>
      </c>
      <c r="M343" s="10">
        <v>-0.41266247556886609</v>
      </c>
      <c r="N343" s="24" t="s">
        <v>343</v>
      </c>
      <c r="O343" s="24">
        <v>26.240251465868031</v>
      </c>
      <c r="P343">
        <v>15.55151740297266</v>
      </c>
      <c r="Q343" t="s">
        <v>348</v>
      </c>
      <c r="R343" t="s">
        <v>353</v>
      </c>
      <c r="S343" t="s">
        <v>343</v>
      </c>
      <c r="T343" t="s">
        <v>343</v>
      </c>
    </row>
    <row r="344" spans="2:20" x14ac:dyDescent="0.25">
      <c r="B344">
        <v>339</v>
      </c>
      <c r="C344" t="s">
        <v>681</v>
      </c>
      <c r="D344" s="10">
        <v>0.26563158027483702</v>
      </c>
      <c r="E344" s="10">
        <v>1.0262067972476441</v>
      </c>
      <c r="F344" s="10">
        <v>0.53093229361943572</v>
      </c>
      <c r="G344" s="10">
        <v>0.36667895500659969</v>
      </c>
      <c r="H344" s="6">
        <v>0.1243227562711295</v>
      </c>
      <c r="I344" s="10">
        <v>6.9949934854712081</v>
      </c>
      <c r="J344" s="7">
        <v>1.0127647710137969E-2</v>
      </c>
      <c r="K344" s="5">
        <v>0.1085263149928031</v>
      </c>
      <c r="L344">
        <v>251.36452188946211</v>
      </c>
      <c r="M344" s="10">
        <v>-0.57423011093807752</v>
      </c>
      <c r="N344" s="24" t="s">
        <v>343</v>
      </c>
      <c r="O344" s="24">
        <v>16.546193343715348</v>
      </c>
      <c r="P344">
        <v>51.875164965214758</v>
      </c>
      <c r="Q344" t="s">
        <v>47</v>
      </c>
      <c r="R344" t="s">
        <v>350</v>
      </c>
      <c r="S344" t="s">
        <v>343</v>
      </c>
      <c r="T344" t="s">
        <v>343</v>
      </c>
    </row>
    <row r="345" spans="2:20" x14ac:dyDescent="0.25">
      <c r="B345">
        <v>340</v>
      </c>
      <c r="C345" t="s">
        <v>682</v>
      </c>
      <c r="D345" s="10">
        <v>0.20478942351135079</v>
      </c>
      <c r="E345" s="10">
        <v>0.66292302292672223</v>
      </c>
      <c r="F345" s="10">
        <v>0.69104539676285115</v>
      </c>
      <c r="G345" s="10">
        <v>0.32196686882076642</v>
      </c>
      <c r="H345" s="6">
        <v>0.21558683992306499</v>
      </c>
      <c r="I345" s="10">
        <v>5.4045931592265939</v>
      </c>
      <c r="J345" s="7">
        <v>3.603151434229937E-2</v>
      </c>
      <c r="K345" s="5">
        <v>0.11267298578436639</v>
      </c>
      <c r="L345">
        <v>197.54283694566411</v>
      </c>
      <c r="M345" s="10">
        <v>-0.66539513556205288</v>
      </c>
      <c r="N345" s="24" t="s">
        <v>343</v>
      </c>
      <c r="O345" s="24">
        <v>11.076291866276829</v>
      </c>
      <c r="P345">
        <v>22.925572948452341</v>
      </c>
      <c r="Q345" t="s">
        <v>348</v>
      </c>
      <c r="R345" t="s">
        <v>353</v>
      </c>
      <c r="S345" t="s">
        <v>343</v>
      </c>
      <c r="T345" t="s">
        <v>343</v>
      </c>
    </row>
    <row r="346" spans="2:20" x14ac:dyDescent="0.25">
      <c r="B346">
        <v>341</v>
      </c>
      <c r="C346" t="s">
        <v>683</v>
      </c>
      <c r="D346" s="10">
        <v>0.31277844490611112</v>
      </c>
      <c r="E346" s="10">
        <v>1.2648745790970579</v>
      </c>
      <c r="F346" s="10">
        <v>0.46501349283227461</v>
      </c>
      <c r="G346" s="10">
        <v>0.27092317728932708</v>
      </c>
      <c r="H346" s="6">
        <v>0.16034901099523649</v>
      </c>
      <c r="I346" s="10">
        <v>8.3569049228571295</v>
      </c>
      <c r="J346" s="7">
        <v>1.6518542760745322E-2</v>
      </c>
      <c r="K346" s="5">
        <v>0.17684562355322919</v>
      </c>
      <c r="L346">
        <v>178.75383350711721</v>
      </c>
      <c r="M346" s="10">
        <v>-0.69722059704516592</v>
      </c>
      <c r="N346" s="24" t="s">
        <v>343</v>
      </c>
      <c r="O346" s="24">
        <v>9.1667641772900446</v>
      </c>
      <c r="P346">
        <v>53.748197702852721</v>
      </c>
      <c r="Q346" t="s">
        <v>47</v>
      </c>
      <c r="R346" t="s">
        <v>350</v>
      </c>
      <c r="S346" t="s">
        <v>343</v>
      </c>
      <c r="T346" t="s">
        <v>343</v>
      </c>
    </row>
    <row r="347" spans="2:20" x14ac:dyDescent="0.25">
      <c r="B347">
        <v>342</v>
      </c>
      <c r="C347" t="s">
        <v>684</v>
      </c>
      <c r="D347" s="10">
        <v>0.27806350667132301</v>
      </c>
      <c r="E347" s="10">
        <v>0.41833657298524901</v>
      </c>
      <c r="F347" s="10">
        <v>0.63043703012549956</v>
      </c>
      <c r="G347" s="10">
        <v>0.3576678288600022</v>
      </c>
      <c r="H347" s="6">
        <v>0.18958343806819261</v>
      </c>
      <c r="I347" s="10">
        <v>3.4050574059174692</v>
      </c>
      <c r="J347" s="7">
        <v>1.1791777197361389E-2</v>
      </c>
      <c r="K347" s="5">
        <v>0.1622838748661008</v>
      </c>
      <c r="L347">
        <v>61.856980199561939</v>
      </c>
      <c r="M347" s="10">
        <v>-0.89522451537988057</v>
      </c>
      <c r="N347" s="24" t="s">
        <v>343</v>
      </c>
      <c r="O347" s="24">
        <v>0</v>
      </c>
      <c r="P347">
        <v>57.193984932045097</v>
      </c>
      <c r="Q347" t="s">
        <v>47</v>
      </c>
      <c r="R347" t="s">
        <v>350</v>
      </c>
      <c r="S347" t="s">
        <v>343</v>
      </c>
      <c r="T347" t="s">
        <v>343</v>
      </c>
    </row>
    <row r="348" spans="2:20" x14ac:dyDescent="0.25">
      <c r="B348">
        <v>343</v>
      </c>
      <c r="C348" t="s">
        <v>685</v>
      </c>
      <c r="D348" s="10">
        <v>0.24869664840182409</v>
      </c>
      <c r="E348" s="10">
        <v>0.34178044305621469</v>
      </c>
      <c r="F348" s="10">
        <v>0.46972579861233721</v>
      </c>
      <c r="G348" s="10">
        <v>0.32514272872129701</v>
      </c>
      <c r="H348" s="6">
        <v>0.17795332824862961</v>
      </c>
      <c r="I348" s="10">
        <v>9.6030930056547543</v>
      </c>
      <c r="J348" s="7">
        <v>2.7402318063887439E-2</v>
      </c>
      <c r="K348" s="5">
        <v>0.11576656973369751</v>
      </c>
      <c r="L348">
        <v>136.52872531515291</v>
      </c>
      <c r="M348" s="10">
        <v>-0.76874294035511892</v>
      </c>
      <c r="N348" s="24" t="s">
        <v>343</v>
      </c>
      <c r="O348" s="24">
        <v>4.8754235786928604</v>
      </c>
      <c r="P348">
        <v>64.384495658000276</v>
      </c>
      <c r="Q348" t="s">
        <v>47</v>
      </c>
      <c r="R348" t="s">
        <v>350</v>
      </c>
      <c r="S348" t="s">
        <v>343</v>
      </c>
      <c r="T348" t="s">
        <v>343</v>
      </c>
    </row>
    <row r="349" spans="2:20" x14ac:dyDescent="0.25">
      <c r="B349">
        <v>344</v>
      </c>
      <c r="C349" t="s">
        <v>686</v>
      </c>
      <c r="D349" s="10">
        <v>0.25787531939749642</v>
      </c>
      <c r="E349" s="10">
        <v>0.52933482741706839</v>
      </c>
      <c r="F349" s="10">
        <v>0.5111286091243713</v>
      </c>
      <c r="G349" s="10">
        <v>0.40159369034022929</v>
      </c>
      <c r="H349" s="6">
        <v>0.1462327193921194</v>
      </c>
      <c r="I349" s="10">
        <v>5.7333854553455792</v>
      </c>
      <c r="J349" s="7">
        <v>2.213443121202956E-2</v>
      </c>
      <c r="K349" s="5">
        <v>0.13655336001509261</v>
      </c>
      <c r="L349">
        <v>223.01436782432361</v>
      </c>
      <c r="M349" s="10">
        <v>-0.62225057882459378</v>
      </c>
      <c r="N349" s="24" t="s">
        <v>343</v>
      </c>
      <c r="O349" s="24">
        <v>13.66496527052437</v>
      </c>
      <c r="P349">
        <v>59.573585285437368</v>
      </c>
      <c r="Q349" t="s">
        <v>47</v>
      </c>
      <c r="R349" t="s">
        <v>350</v>
      </c>
      <c r="S349" t="s">
        <v>343</v>
      </c>
      <c r="T349" t="s">
        <v>343</v>
      </c>
    </row>
    <row r="350" spans="2:20" x14ac:dyDescent="0.25">
      <c r="B350">
        <v>345</v>
      </c>
      <c r="C350" t="s">
        <v>687</v>
      </c>
      <c r="D350" s="10">
        <v>0.22713600998844641</v>
      </c>
      <c r="E350" s="10">
        <v>0.6146965560254658</v>
      </c>
      <c r="F350" s="10">
        <v>0.58841861718375232</v>
      </c>
      <c r="G350" s="10">
        <v>0.26260619731052959</v>
      </c>
      <c r="H350" s="6">
        <v>0.19625530026910559</v>
      </c>
      <c r="I350" s="10">
        <v>9.5801605554445679</v>
      </c>
      <c r="J350" s="7">
        <v>3.421323465668507E-2</v>
      </c>
      <c r="K350" s="5">
        <v>0.17255017092686339</v>
      </c>
      <c r="L350">
        <v>132.57287031531621</v>
      </c>
      <c r="M350" s="10">
        <v>-0.77544350387046734</v>
      </c>
      <c r="N350" s="24" t="s">
        <v>343</v>
      </c>
      <c r="O350" s="24">
        <v>4.4733897677719634</v>
      </c>
      <c r="P350">
        <v>58.260059917899262</v>
      </c>
      <c r="Q350" t="s">
        <v>47</v>
      </c>
      <c r="R350" t="s">
        <v>350</v>
      </c>
      <c r="S350" t="s">
        <v>343</v>
      </c>
      <c r="T350" t="s">
        <v>343</v>
      </c>
    </row>
    <row r="351" spans="2:20" x14ac:dyDescent="0.25">
      <c r="B351">
        <v>346</v>
      </c>
      <c r="C351" t="s">
        <v>688</v>
      </c>
      <c r="D351" s="10">
        <v>0.19963695832018519</v>
      </c>
      <c r="E351" s="10">
        <v>0.42421925041776248</v>
      </c>
      <c r="F351" s="10">
        <v>0.59412272043395475</v>
      </c>
      <c r="G351" s="10">
        <v>0.37653491366811431</v>
      </c>
      <c r="H351" s="6">
        <v>0.18893902841111071</v>
      </c>
      <c r="I351" s="10">
        <v>9.7553768089045576</v>
      </c>
      <c r="J351" s="7">
        <v>1.375775033868063E-2</v>
      </c>
      <c r="K351" s="5">
        <v>0.12713906699431929</v>
      </c>
      <c r="L351">
        <v>159.10243972882611</v>
      </c>
      <c r="M351" s="10">
        <v>-0.73050680500324261</v>
      </c>
      <c r="N351" s="24" t="s">
        <v>343</v>
      </c>
      <c r="O351" s="24">
        <v>7.1695916998054408</v>
      </c>
      <c r="P351">
        <v>59.399424937847662</v>
      </c>
      <c r="Q351" t="s">
        <v>47</v>
      </c>
      <c r="R351" t="s">
        <v>350</v>
      </c>
      <c r="S351" t="s">
        <v>343</v>
      </c>
      <c r="T351" t="s">
        <v>343</v>
      </c>
    </row>
    <row r="352" spans="2:20" x14ac:dyDescent="0.25">
      <c r="B352">
        <v>347</v>
      </c>
      <c r="C352" t="s">
        <v>689</v>
      </c>
      <c r="D352" s="10">
        <v>0.21695562858420189</v>
      </c>
      <c r="E352" s="10">
        <v>0.3722594722747114</v>
      </c>
      <c r="F352" s="10">
        <v>0.64155494248088452</v>
      </c>
      <c r="G352" s="10">
        <v>0.33602853192751447</v>
      </c>
      <c r="H352" s="6">
        <v>0.21362214343047489</v>
      </c>
      <c r="I352" s="10">
        <v>11.90146610494511</v>
      </c>
      <c r="J352" s="7">
        <v>1.464286093705691E-2</v>
      </c>
      <c r="K352" s="5">
        <v>0.18752005266974409</v>
      </c>
      <c r="L352">
        <v>166.3882841668962</v>
      </c>
      <c r="M352" s="10">
        <v>-0.71816579062777852</v>
      </c>
      <c r="N352" s="24" t="s">
        <v>343</v>
      </c>
      <c r="O352" s="24">
        <v>7.9100525623332842</v>
      </c>
      <c r="P352">
        <v>55.003606386283423</v>
      </c>
      <c r="Q352" t="s">
        <v>47</v>
      </c>
      <c r="R352" t="s">
        <v>350</v>
      </c>
      <c r="S352" t="s">
        <v>343</v>
      </c>
      <c r="T352" t="s">
        <v>343</v>
      </c>
    </row>
    <row r="353" spans="2:20" x14ac:dyDescent="0.25">
      <c r="B353">
        <v>348</v>
      </c>
      <c r="C353" t="s">
        <v>690</v>
      </c>
      <c r="D353" s="10">
        <v>0.28125537767429909</v>
      </c>
      <c r="E353" s="10">
        <v>1.1311684848519781</v>
      </c>
      <c r="F353" s="10">
        <v>0.59998096587913419</v>
      </c>
      <c r="G353" s="10">
        <v>0.32933361251152887</v>
      </c>
      <c r="H353" s="6">
        <v>0.157782749179468</v>
      </c>
      <c r="I353" s="10">
        <v>5.528952311704213</v>
      </c>
      <c r="J353" s="7">
        <v>2.414376979052104E-2</v>
      </c>
      <c r="K353" s="5">
        <v>0.18688726517827439</v>
      </c>
      <c r="L353">
        <v>111.2501284449459</v>
      </c>
      <c r="M353" s="10">
        <v>-0.81156069882065962</v>
      </c>
      <c r="N353" s="24" t="s">
        <v>343</v>
      </c>
      <c r="O353" s="24">
        <v>2.306358070760417</v>
      </c>
      <c r="P353">
        <v>57.468611237803273</v>
      </c>
      <c r="Q353" t="s">
        <v>47</v>
      </c>
      <c r="R353" t="s">
        <v>350</v>
      </c>
      <c r="S353" t="s">
        <v>343</v>
      </c>
      <c r="T353" t="s">
        <v>343</v>
      </c>
    </row>
    <row r="354" spans="2:20" x14ac:dyDescent="0.25">
      <c r="B354">
        <v>349</v>
      </c>
      <c r="C354" t="s">
        <v>691</v>
      </c>
      <c r="D354" s="10">
        <v>0.1623029581807609</v>
      </c>
      <c r="E354" s="10">
        <v>0.48070422249248312</v>
      </c>
      <c r="F354" s="10">
        <v>0.59433982313894573</v>
      </c>
      <c r="G354" s="10">
        <v>0.29110329136183499</v>
      </c>
      <c r="H354" s="6">
        <v>0.15219586197801091</v>
      </c>
      <c r="I354" s="10">
        <v>8.0981110248120824</v>
      </c>
      <c r="J354" s="7">
        <v>2.8214286004912159E-2</v>
      </c>
      <c r="K354" s="5">
        <v>0.1525255784409987</v>
      </c>
      <c r="L354">
        <v>61.605337018022048</v>
      </c>
      <c r="M354" s="10">
        <v>-0.89565075727226073</v>
      </c>
      <c r="N354" s="24" t="s">
        <v>343</v>
      </c>
      <c r="O354" s="24">
        <v>0</v>
      </c>
      <c r="P354">
        <v>61.289714059806911</v>
      </c>
      <c r="Q354" t="s">
        <v>47</v>
      </c>
      <c r="R354" t="s">
        <v>350</v>
      </c>
      <c r="S354" t="s">
        <v>343</v>
      </c>
      <c r="T354" t="s">
        <v>343</v>
      </c>
    </row>
    <row r="355" spans="2:20" x14ac:dyDescent="0.25">
      <c r="B355">
        <v>350</v>
      </c>
      <c r="C355" t="s">
        <v>692</v>
      </c>
      <c r="D355" s="10">
        <v>0.17857162248110661</v>
      </c>
      <c r="E355" s="10">
        <v>1.305314418972934</v>
      </c>
      <c r="F355" s="10">
        <v>0.67721180261717595</v>
      </c>
      <c r="G355" s="10">
        <v>0.2466937262045964</v>
      </c>
      <c r="H355" s="6">
        <v>0.2421517589634708</v>
      </c>
      <c r="I355" s="10">
        <v>13.580760720109661</v>
      </c>
      <c r="J355" s="7">
        <v>3.8846787155256787E-2</v>
      </c>
      <c r="K355" s="5">
        <v>0.1600375555694509</v>
      </c>
      <c r="L355">
        <v>116.16312899830621</v>
      </c>
      <c r="M355" s="10">
        <v>-0.80323888918403452</v>
      </c>
      <c r="N355" s="24" t="s">
        <v>343</v>
      </c>
      <c r="O355" s="24">
        <v>2.8056666489579238</v>
      </c>
      <c r="P355">
        <v>42.173690363685942</v>
      </c>
      <c r="Q355" t="s">
        <v>346</v>
      </c>
      <c r="R355" t="s">
        <v>347</v>
      </c>
      <c r="S355" t="s">
        <v>343</v>
      </c>
      <c r="T355" t="s">
        <v>343</v>
      </c>
    </row>
    <row r="356" spans="2:20" x14ac:dyDescent="0.25">
      <c r="B356">
        <v>351</v>
      </c>
      <c r="C356" t="s">
        <v>693</v>
      </c>
      <c r="D356" s="10">
        <v>0.16736042272348051</v>
      </c>
      <c r="E356" s="10">
        <v>0.7047996275929056</v>
      </c>
      <c r="F356" s="10">
        <v>0.55756179557438079</v>
      </c>
      <c r="G356" s="10">
        <v>0.42649162276022201</v>
      </c>
      <c r="H356" s="6">
        <v>0.22532883674460619</v>
      </c>
      <c r="I356" s="10">
        <v>10.998373284930819</v>
      </c>
      <c r="J356" s="7">
        <v>3.0496881682722882E-2</v>
      </c>
      <c r="K356" s="5">
        <v>0.16205574357184391</v>
      </c>
      <c r="L356">
        <v>193.30332323436161</v>
      </c>
      <c r="M356" s="10">
        <v>-0.67257616997760794</v>
      </c>
      <c r="N356" s="24" t="s">
        <v>343</v>
      </c>
      <c r="O356" s="24">
        <v>10.64542980134352</v>
      </c>
      <c r="P356">
        <v>56.263102070985347</v>
      </c>
      <c r="Q356" t="s">
        <v>47</v>
      </c>
      <c r="R356" t="s">
        <v>350</v>
      </c>
      <c r="S356" t="s">
        <v>343</v>
      </c>
      <c r="T356" t="s">
        <v>343</v>
      </c>
    </row>
    <row r="357" spans="2:20" x14ac:dyDescent="0.25">
      <c r="B357">
        <v>352</v>
      </c>
      <c r="C357" t="s">
        <v>694</v>
      </c>
      <c r="D357" s="10">
        <v>0.16651660837103521</v>
      </c>
      <c r="E357" s="10">
        <v>1.03766639069348</v>
      </c>
      <c r="F357" s="10">
        <v>0.49856910246071429</v>
      </c>
      <c r="G357" s="10">
        <v>0.31181021892757371</v>
      </c>
      <c r="H357" s="6">
        <v>0.23583096775373449</v>
      </c>
      <c r="I357" s="10">
        <v>13.72878188819314</v>
      </c>
      <c r="J357" s="7">
        <v>4.1590910580109372E-2</v>
      </c>
      <c r="K357" s="5">
        <v>0.12455450348673219</v>
      </c>
      <c r="L357">
        <v>162.39216855374241</v>
      </c>
      <c r="M357" s="10">
        <v>-0.72493454895732234</v>
      </c>
      <c r="N357" s="24" t="s">
        <v>343</v>
      </c>
      <c r="O357" s="24">
        <v>7.5039270625606633</v>
      </c>
      <c r="P357">
        <v>15.189998998482119</v>
      </c>
      <c r="Q357" t="s">
        <v>348</v>
      </c>
      <c r="R357" t="s">
        <v>371</v>
      </c>
      <c r="S357" t="s">
        <v>343</v>
      </c>
      <c r="T357" t="s">
        <v>343</v>
      </c>
    </row>
    <row r="358" spans="2:20" x14ac:dyDescent="0.25">
      <c r="B358">
        <v>353</v>
      </c>
      <c r="C358" t="s">
        <v>695</v>
      </c>
      <c r="D358" s="10">
        <v>0.29687369344176118</v>
      </c>
      <c r="E358" s="10">
        <v>0.54794232624568018</v>
      </c>
      <c r="F358" s="10">
        <v>0.48206503210614388</v>
      </c>
      <c r="G358" s="10">
        <v>0.38984002874056628</v>
      </c>
      <c r="H358" s="6">
        <v>0.13849347176325419</v>
      </c>
      <c r="I358" s="10">
        <v>13.20102284384814</v>
      </c>
      <c r="J358" s="7">
        <v>1.762187426484255E-2</v>
      </c>
      <c r="K358" s="5">
        <v>0.13470553192877879</v>
      </c>
      <c r="L358">
        <v>307.99299583986522</v>
      </c>
      <c r="M358" s="10">
        <v>-0.47831085037428239</v>
      </c>
      <c r="N358" s="24" t="s">
        <v>343</v>
      </c>
      <c r="O358" s="24">
        <v>22.30134897754305</v>
      </c>
      <c r="P358">
        <v>15.358263703913741</v>
      </c>
      <c r="Q358" t="s">
        <v>348</v>
      </c>
      <c r="R358" t="s">
        <v>371</v>
      </c>
      <c r="S358" t="s">
        <v>343</v>
      </c>
      <c r="T358" t="s">
        <v>343</v>
      </c>
    </row>
    <row r="359" spans="2:20" x14ac:dyDescent="0.25">
      <c r="B359">
        <v>354</v>
      </c>
      <c r="C359" t="s">
        <v>696</v>
      </c>
      <c r="D359" s="10">
        <v>0.27258525750080381</v>
      </c>
      <c r="E359" s="10">
        <v>0.56435504534105352</v>
      </c>
      <c r="F359" s="10">
        <v>0.54399859517046989</v>
      </c>
      <c r="G359" s="10">
        <v>0.44846922795087563</v>
      </c>
      <c r="H359" s="6">
        <v>0.15360594649905271</v>
      </c>
      <c r="I359" s="10">
        <v>9.7182345648707518</v>
      </c>
      <c r="J359" s="7">
        <v>3.0867683059943449E-2</v>
      </c>
      <c r="K359" s="5">
        <v>0.1129144054965391</v>
      </c>
      <c r="L359">
        <v>159.3751936647877</v>
      </c>
      <c r="M359" s="10">
        <v>-0.73004480498755764</v>
      </c>
      <c r="N359" s="24" t="s">
        <v>343</v>
      </c>
      <c r="O359" s="24">
        <v>7.197311700746539</v>
      </c>
      <c r="P359">
        <v>57.275672447884737</v>
      </c>
      <c r="Q359" t="s">
        <v>47</v>
      </c>
      <c r="R359" t="s">
        <v>350</v>
      </c>
      <c r="S359" t="s">
        <v>343</v>
      </c>
      <c r="T359" t="s">
        <v>343</v>
      </c>
    </row>
    <row r="360" spans="2:20" x14ac:dyDescent="0.25">
      <c r="B360">
        <v>355</v>
      </c>
      <c r="C360" t="s">
        <v>697</v>
      </c>
      <c r="D360" s="10">
        <v>0.23586781265397211</v>
      </c>
      <c r="E360" s="10">
        <v>0.93218012315433274</v>
      </c>
      <c r="F360" s="10">
        <v>0.62531571635036087</v>
      </c>
      <c r="G360" s="10">
        <v>0.36429786557806898</v>
      </c>
      <c r="H360" s="6">
        <v>0.20632972743054601</v>
      </c>
      <c r="I360" s="10">
        <v>5.9032339147035771</v>
      </c>
      <c r="J360" s="7">
        <v>3.2933344342740943E-2</v>
      </c>
      <c r="K360" s="5">
        <v>0.18786277745711749</v>
      </c>
      <c r="L360">
        <v>150.65084468197259</v>
      </c>
      <c r="M360" s="10">
        <v>-0.74482240793100007</v>
      </c>
      <c r="N360" s="24" t="s">
        <v>343</v>
      </c>
      <c r="O360" s="24">
        <v>6.3106555241400031</v>
      </c>
      <c r="P360">
        <v>26.95848571595803</v>
      </c>
      <c r="Q360" t="s">
        <v>348</v>
      </c>
      <c r="R360" t="s">
        <v>353</v>
      </c>
      <c r="S360" t="s">
        <v>343</v>
      </c>
      <c r="T360" t="s">
        <v>343</v>
      </c>
    </row>
    <row r="361" spans="2:20" x14ac:dyDescent="0.25">
      <c r="B361">
        <v>356</v>
      </c>
      <c r="C361" t="s">
        <v>698</v>
      </c>
      <c r="D361" s="10">
        <v>0.17565346570416021</v>
      </c>
      <c r="E361" s="10">
        <v>0.91670721766058461</v>
      </c>
      <c r="F361" s="10">
        <v>0.45106130608177419</v>
      </c>
      <c r="G361" s="10">
        <v>0.3273723185543706</v>
      </c>
      <c r="H361" s="6">
        <v>0.2485802020309362</v>
      </c>
      <c r="I361" s="10">
        <v>11.32616572328658</v>
      </c>
      <c r="J361" s="7">
        <v>3.540317681003622E-2</v>
      </c>
      <c r="K361" s="5">
        <v>0.16876569667607741</v>
      </c>
      <c r="L361">
        <v>109.0012930819383</v>
      </c>
      <c r="M361" s="10">
        <v>-0.81536985365217296</v>
      </c>
      <c r="N361" s="24" t="s">
        <v>343</v>
      </c>
      <c r="O361" s="24">
        <v>2.0778087808696171</v>
      </c>
      <c r="P361">
        <v>19.19931842046633</v>
      </c>
      <c r="Q361" t="s">
        <v>348</v>
      </c>
      <c r="R361" t="s">
        <v>371</v>
      </c>
      <c r="S361" t="s">
        <v>343</v>
      </c>
      <c r="T361" t="s">
        <v>343</v>
      </c>
    </row>
    <row r="362" spans="2:20" x14ac:dyDescent="0.25">
      <c r="B362">
        <v>357</v>
      </c>
      <c r="C362" t="s">
        <v>699</v>
      </c>
      <c r="D362" s="10">
        <v>0.23865854001869319</v>
      </c>
      <c r="E362" s="10">
        <v>1.145602150813289</v>
      </c>
      <c r="F362" s="10">
        <v>0.47355388049244562</v>
      </c>
      <c r="G362" s="10">
        <v>0.29902018459671481</v>
      </c>
      <c r="H362" s="6">
        <v>0.25381719647527062</v>
      </c>
      <c r="I362" s="10">
        <v>10.67931170393522</v>
      </c>
      <c r="J362" s="7">
        <v>4.460277443800318E-2</v>
      </c>
      <c r="K362" s="5">
        <v>0.1044038453016015</v>
      </c>
      <c r="L362">
        <v>476.38203709280322</v>
      </c>
      <c r="M362" s="10">
        <v>-0.1930876897047156</v>
      </c>
      <c r="N362" s="24" t="s">
        <v>343</v>
      </c>
      <c r="O362" s="24">
        <v>41.313338956104033</v>
      </c>
      <c r="P362">
        <v>9.1087363231192171</v>
      </c>
      <c r="Q362" t="s">
        <v>348</v>
      </c>
      <c r="R362" t="s">
        <v>700</v>
      </c>
      <c r="S362" t="s">
        <v>343</v>
      </c>
      <c r="T362" t="s">
        <v>343</v>
      </c>
    </row>
    <row r="363" spans="2:20" x14ac:dyDescent="0.25">
      <c r="B363">
        <v>358</v>
      </c>
      <c r="C363" t="s">
        <v>701</v>
      </c>
      <c r="D363" s="10">
        <v>0.23575548332489049</v>
      </c>
      <c r="E363" s="10">
        <v>1.1335946362636919</v>
      </c>
      <c r="F363" s="10">
        <v>0.46758949962694618</v>
      </c>
      <c r="G363" s="10">
        <v>0.4454896343824486</v>
      </c>
      <c r="H363" s="6">
        <v>0.2447864943382391</v>
      </c>
      <c r="I363" s="10">
        <v>9.477791323931374</v>
      </c>
      <c r="J363" s="7">
        <v>2.6381183784423279E-2</v>
      </c>
      <c r="K363" s="5">
        <v>0.15219180775930211</v>
      </c>
      <c r="L363">
        <v>374.12283891007638</v>
      </c>
      <c r="M363" s="10">
        <v>-0.36629784338331228</v>
      </c>
      <c r="N363" s="24" t="s">
        <v>343</v>
      </c>
      <c r="O363" s="24">
        <v>29.022129397001269</v>
      </c>
      <c r="P363">
        <v>50.619164797629061</v>
      </c>
      <c r="Q363" t="s">
        <v>47</v>
      </c>
      <c r="R363" t="s">
        <v>350</v>
      </c>
      <c r="S363" t="s">
        <v>343</v>
      </c>
      <c r="T363" t="s">
        <v>343</v>
      </c>
    </row>
    <row r="364" spans="2:20" x14ac:dyDescent="0.25">
      <c r="B364">
        <v>359</v>
      </c>
      <c r="C364" t="s">
        <v>702</v>
      </c>
      <c r="D364" s="10">
        <v>0.18771229918560239</v>
      </c>
      <c r="E364" s="10">
        <v>1.0377565411300269</v>
      </c>
      <c r="F364" s="10">
        <v>0.59216503979337931</v>
      </c>
      <c r="G364" s="10">
        <v>0.39005689997125143</v>
      </c>
      <c r="H364" s="6">
        <v>0.12650969191266409</v>
      </c>
      <c r="I364" s="10">
        <v>10.676121513404309</v>
      </c>
      <c r="J364" s="7">
        <v>2.292618529520131E-2</v>
      </c>
      <c r="K364" s="5">
        <v>0.13259200480010611</v>
      </c>
      <c r="L364">
        <v>286.08718054296628</v>
      </c>
      <c r="M364" s="10">
        <v>-0.51541567518672382</v>
      </c>
      <c r="N364" s="24" t="s">
        <v>343</v>
      </c>
      <c r="O364" s="24">
        <v>20.075059488796569</v>
      </c>
      <c r="P364">
        <v>17.075749945304661</v>
      </c>
      <c r="Q364" t="s">
        <v>348</v>
      </c>
      <c r="R364" t="s">
        <v>375</v>
      </c>
      <c r="S364" t="s">
        <v>343</v>
      </c>
      <c r="T364" t="s">
        <v>343</v>
      </c>
    </row>
    <row r="365" spans="2:20" x14ac:dyDescent="0.25">
      <c r="B365">
        <v>360</v>
      </c>
      <c r="C365" t="s">
        <v>703</v>
      </c>
      <c r="D365" s="10">
        <v>0.2294162638780757</v>
      </c>
      <c r="E365" s="10">
        <v>0.79404362248283999</v>
      </c>
      <c r="F365" s="10">
        <v>0.5031448091381292</v>
      </c>
      <c r="G365" s="10">
        <v>0.38636190651644309</v>
      </c>
      <c r="H365" s="6">
        <v>0.24313187769835901</v>
      </c>
      <c r="I365" s="10">
        <v>9.7494505599977614</v>
      </c>
      <c r="J365" s="7">
        <v>3.9827233630383978E-2</v>
      </c>
      <c r="K365" s="5">
        <v>0.1774523483208339</v>
      </c>
      <c r="L365">
        <v>213.29489958370161</v>
      </c>
      <c r="M365" s="10">
        <v>-0.63871374905818101</v>
      </c>
      <c r="N365" s="24" t="s">
        <v>343</v>
      </c>
      <c r="O365" s="24">
        <v>12.677175056509141</v>
      </c>
      <c r="P365">
        <v>49.738904320195438</v>
      </c>
      <c r="Q365" t="s">
        <v>346</v>
      </c>
      <c r="R365" t="s">
        <v>347</v>
      </c>
      <c r="S365" t="s">
        <v>343</v>
      </c>
      <c r="T365" t="s">
        <v>343</v>
      </c>
    </row>
    <row r="366" spans="2:20" x14ac:dyDescent="0.25">
      <c r="B366">
        <v>361</v>
      </c>
      <c r="C366" t="s">
        <v>704</v>
      </c>
      <c r="D366" s="10">
        <v>0.22376075750357979</v>
      </c>
      <c r="E366" s="10">
        <v>1.2797044249086791</v>
      </c>
      <c r="F366" s="10">
        <v>0.48322745135836309</v>
      </c>
      <c r="G366" s="10">
        <v>0.33375483153196089</v>
      </c>
      <c r="H366" s="6">
        <v>0.25486367662816228</v>
      </c>
      <c r="I366" s="10">
        <v>8.7131692538013112</v>
      </c>
      <c r="J366" s="7">
        <v>1.6187681677986041E-2</v>
      </c>
      <c r="K366" s="5">
        <v>0.13266100834418371</v>
      </c>
      <c r="L366">
        <v>202.33090010195241</v>
      </c>
      <c r="M366" s="10">
        <v>-0.65728494919386371</v>
      </c>
      <c r="N366" s="24" t="s">
        <v>343</v>
      </c>
      <c r="O366" s="24">
        <v>11.562903048368179</v>
      </c>
      <c r="P366">
        <v>57.016951568852342</v>
      </c>
      <c r="Q366" t="s">
        <v>47</v>
      </c>
      <c r="R366" t="s">
        <v>350</v>
      </c>
      <c r="S366" t="s">
        <v>343</v>
      </c>
      <c r="T366" t="s">
        <v>343</v>
      </c>
    </row>
    <row r="367" spans="2:20" x14ac:dyDescent="0.25">
      <c r="B367">
        <v>362</v>
      </c>
      <c r="C367" t="s">
        <v>705</v>
      </c>
      <c r="D367" s="10">
        <v>0.25853601568835471</v>
      </c>
      <c r="E367" s="10">
        <v>0.9848363392434285</v>
      </c>
      <c r="F367" s="10">
        <v>0.59412038713318571</v>
      </c>
      <c r="G367" s="10">
        <v>0.42591071683083481</v>
      </c>
      <c r="H367" s="6">
        <v>0.1285123635228978</v>
      </c>
      <c r="I367" s="10">
        <v>7.5755102985167753</v>
      </c>
      <c r="J367" s="7">
        <v>1.129598340479205E-2</v>
      </c>
      <c r="K367" s="5">
        <v>0.16119426183708499</v>
      </c>
      <c r="L367">
        <v>208.06144328786581</v>
      </c>
      <c r="M367" s="10">
        <v>-0.64757835767414285</v>
      </c>
      <c r="N367" s="24" t="s">
        <v>343</v>
      </c>
      <c r="O367" s="24">
        <v>12.14529853955143</v>
      </c>
      <c r="P367">
        <v>54.207478085360101</v>
      </c>
      <c r="Q367" t="s">
        <v>47</v>
      </c>
      <c r="R367" t="s">
        <v>350</v>
      </c>
      <c r="S367" t="s">
        <v>343</v>
      </c>
      <c r="T367" t="s">
        <v>343</v>
      </c>
    </row>
    <row r="368" spans="2:20" x14ac:dyDescent="0.25">
      <c r="B368">
        <v>363</v>
      </c>
      <c r="C368" t="s">
        <v>706</v>
      </c>
      <c r="D368" s="10">
        <v>0.261614984138823</v>
      </c>
      <c r="E368" s="10">
        <v>1.3892183395085931</v>
      </c>
      <c r="F368" s="10">
        <v>0.63794057801761861</v>
      </c>
      <c r="G368" s="10">
        <v>0.39700788114208718</v>
      </c>
      <c r="H368" s="6">
        <v>0.18244213406654819</v>
      </c>
      <c r="I368" s="10">
        <v>3.4917921203518452</v>
      </c>
      <c r="J368" s="7">
        <v>2.5525616873596661E-2</v>
      </c>
      <c r="K368" s="5">
        <v>0.11574533167837441</v>
      </c>
      <c r="L368">
        <v>278.13248611683838</v>
      </c>
      <c r="M368" s="10">
        <v>-0.52888961072016949</v>
      </c>
      <c r="N368" s="24" t="s">
        <v>343</v>
      </c>
      <c r="O368" s="24">
        <v>19.266623356789829</v>
      </c>
      <c r="P368">
        <v>50.924200959854808</v>
      </c>
      <c r="Q368" t="s">
        <v>47</v>
      </c>
      <c r="R368" t="s">
        <v>350</v>
      </c>
      <c r="S368" t="s">
        <v>343</v>
      </c>
      <c r="T368" t="s">
        <v>343</v>
      </c>
    </row>
    <row r="369" spans="2:20" x14ac:dyDescent="0.25">
      <c r="B369">
        <v>364</v>
      </c>
      <c r="C369" t="s">
        <v>707</v>
      </c>
      <c r="D369" s="10">
        <v>0.16724864156352709</v>
      </c>
      <c r="E369" s="10">
        <v>1.201306799727794</v>
      </c>
      <c r="F369" s="10">
        <v>0.52636027827769272</v>
      </c>
      <c r="G369" s="10">
        <v>0.30230031979182348</v>
      </c>
      <c r="H369" s="6">
        <v>0.20049154849450529</v>
      </c>
      <c r="I369" s="10">
        <v>12.52256711013499</v>
      </c>
      <c r="J369" s="7">
        <v>1.865220490878108E-2</v>
      </c>
      <c r="K369" s="5">
        <v>0.15308177151666061</v>
      </c>
      <c r="L369">
        <v>165.03056334195469</v>
      </c>
      <c r="M369" s="10">
        <v>-0.72046554494739012</v>
      </c>
      <c r="N369" s="24" t="s">
        <v>343</v>
      </c>
      <c r="O369" s="24">
        <v>7.7720673031565974</v>
      </c>
      <c r="P369">
        <v>55.802118426129439</v>
      </c>
      <c r="Q369" t="s">
        <v>47</v>
      </c>
      <c r="R369" t="s">
        <v>350</v>
      </c>
      <c r="S369" t="s">
        <v>343</v>
      </c>
      <c r="T369" t="s">
        <v>343</v>
      </c>
    </row>
    <row r="370" spans="2:20" x14ac:dyDescent="0.25">
      <c r="B370">
        <v>365</v>
      </c>
      <c r="C370" t="s">
        <v>708</v>
      </c>
      <c r="D370" s="10">
        <v>0.21993801834023541</v>
      </c>
      <c r="E370" s="10">
        <v>0.34874079236215882</v>
      </c>
      <c r="F370" s="10">
        <v>0.59033319747591495</v>
      </c>
      <c r="G370" s="10">
        <v>0.37190730520551057</v>
      </c>
      <c r="H370" s="6">
        <v>0.15491255593252501</v>
      </c>
      <c r="I370" s="10">
        <v>12.520946408597201</v>
      </c>
      <c r="J370" s="7">
        <v>2.387838904392817E-2</v>
      </c>
      <c r="K370" s="5">
        <v>0.12791914459258719</v>
      </c>
      <c r="L370">
        <v>174.2013458173127</v>
      </c>
      <c r="M370" s="10">
        <v>-0.70493175757042181</v>
      </c>
      <c r="N370" s="24" t="s">
        <v>343</v>
      </c>
      <c r="O370" s="24">
        <v>8.7040945457746943</v>
      </c>
      <c r="P370">
        <v>58.839014439517022</v>
      </c>
      <c r="Q370" t="s">
        <v>47</v>
      </c>
      <c r="R370" t="s">
        <v>350</v>
      </c>
      <c r="S370" t="s">
        <v>343</v>
      </c>
      <c r="T370" t="s">
        <v>343</v>
      </c>
    </row>
    <row r="371" spans="2:20" x14ac:dyDescent="0.25">
      <c r="B371">
        <v>366</v>
      </c>
      <c r="C371" t="s">
        <v>709</v>
      </c>
      <c r="D371" s="10">
        <v>0.26013758651427782</v>
      </c>
      <c r="E371" s="10">
        <v>0.65265329778834946</v>
      </c>
      <c r="F371" s="10">
        <v>0.46551234743185971</v>
      </c>
      <c r="G371" s="10">
        <v>0.33464267001227838</v>
      </c>
      <c r="H371" s="6">
        <v>0.19750284840556659</v>
      </c>
      <c r="I371" s="10">
        <v>9.5345205196581446</v>
      </c>
      <c r="J371" s="7">
        <v>4.4512915900621217E-2</v>
      </c>
      <c r="K371" s="5">
        <v>0.1156644001244387</v>
      </c>
      <c r="L371">
        <v>104.6208483699818</v>
      </c>
      <c r="M371" s="10">
        <v>-0.82278960185304184</v>
      </c>
      <c r="N371" s="24" t="s">
        <v>343</v>
      </c>
      <c r="O371" s="24">
        <v>1.632623888817484</v>
      </c>
      <c r="P371">
        <v>54.800839015015391</v>
      </c>
      <c r="Q371" t="s">
        <v>47</v>
      </c>
      <c r="R371" t="s">
        <v>350</v>
      </c>
      <c r="S371" t="s">
        <v>343</v>
      </c>
      <c r="T371" t="s">
        <v>343</v>
      </c>
    </row>
    <row r="372" spans="2:20" x14ac:dyDescent="0.25">
      <c r="B372">
        <v>367</v>
      </c>
      <c r="C372" t="s">
        <v>710</v>
      </c>
      <c r="D372" s="10">
        <v>0.24050180137281399</v>
      </c>
      <c r="E372" s="10">
        <v>0.92906328811804673</v>
      </c>
      <c r="F372" s="10">
        <v>0.68314966791896814</v>
      </c>
      <c r="G372" s="10">
        <v>0.24144983582253679</v>
      </c>
      <c r="H372" s="6">
        <v>0.2528933681941597</v>
      </c>
      <c r="I372" s="10">
        <v>5.9467273567396948</v>
      </c>
      <c r="J372" s="7">
        <v>2.2197088057673831E-2</v>
      </c>
      <c r="K372" s="5">
        <v>0.1588296189589633</v>
      </c>
      <c r="L372">
        <v>94.035165018772162</v>
      </c>
      <c r="M372" s="10">
        <v>-0.84071999709024703</v>
      </c>
      <c r="N372" s="24" t="s">
        <v>343</v>
      </c>
      <c r="O372" s="24">
        <v>0.55680017458517739</v>
      </c>
      <c r="P372">
        <v>62.579656871730187</v>
      </c>
      <c r="Q372" t="s">
        <v>47</v>
      </c>
      <c r="R372" t="s">
        <v>350</v>
      </c>
      <c r="S372" t="s">
        <v>343</v>
      </c>
      <c r="T372" t="s">
        <v>343</v>
      </c>
    </row>
    <row r="373" spans="2:20" x14ac:dyDescent="0.25">
      <c r="B373">
        <v>368</v>
      </c>
      <c r="C373" t="s">
        <v>711</v>
      </c>
      <c r="D373" s="10">
        <v>0.2970383745901316</v>
      </c>
      <c r="E373" s="10">
        <v>1.0936164916586359</v>
      </c>
      <c r="F373" s="10">
        <v>0.52759300818184096</v>
      </c>
      <c r="G373" s="10">
        <v>0.41767715493039548</v>
      </c>
      <c r="H373" s="6">
        <v>0.25004137595186471</v>
      </c>
      <c r="I373" s="10">
        <v>3.309441484427817</v>
      </c>
      <c r="J373" s="7">
        <v>3.4778799793768307E-2</v>
      </c>
      <c r="K373" s="5">
        <v>0.16067091400146069</v>
      </c>
      <c r="L373">
        <v>182.9543666321716</v>
      </c>
      <c r="M373" s="10">
        <v>-0.69010558928984778</v>
      </c>
      <c r="N373" s="24" t="s">
        <v>343</v>
      </c>
      <c r="O373" s="24">
        <v>9.5936646426091343</v>
      </c>
      <c r="P373">
        <v>56.781184282273699</v>
      </c>
      <c r="Q373" t="s">
        <v>47</v>
      </c>
      <c r="R373" t="s">
        <v>350</v>
      </c>
      <c r="S373" t="s">
        <v>343</v>
      </c>
      <c r="T373" t="s">
        <v>343</v>
      </c>
    </row>
    <row r="374" spans="2:20" x14ac:dyDescent="0.25">
      <c r="B374">
        <v>369</v>
      </c>
      <c r="C374" t="s">
        <v>712</v>
      </c>
      <c r="D374" s="10">
        <v>0.26539098105903119</v>
      </c>
      <c r="E374" s="10">
        <v>0.90537014753813549</v>
      </c>
      <c r="F374" s="10">
        <v>0.69935148022511029</v>
      </c>
      <c r="G374" s="10">
        <v>0.26702267676233421</v>
      </c>
      <c r="H374" s="6">
        <v>0.26097559218862221</v>
      </c>
      <c r="I374" s="10">
        <v>3.015716845836717</v>
      </c>
      <c r="J374" s="7">
        <v>1.8764070341266269E-2</v>
      </c>
      <c r="K374" s="5">
        <v>0.1934186092077097</v>
      </c>
      <c r="L374">
        <v>71.928730986337186</v>
      </c>
      <c r="M374" s="10">
        <v>-0.87816463683015267</v>
      </c>
      <c r="N374" s="24" t="s">
        <v>343</v>
      </c>
      <c r="O374" s="24">
        <v>0</v>
      </c>
      <c r="P374">
        <v>51.243872817234887</v>
      </c>
      <c r="Q374" t="s">
        <v>47</v>
      </c>
      <c r="R374" t="s">
        <v>350</v>
      </c>
      <c r="S374" t="s">
        <v>343</v>
      </c>
      <c r="T374" t="s">
        <v>343</v>
      </c>
    </row>
    <row r="375" spans="2:20" x14ac:dyDescent="0.25">
      <c r="B375">
        <v>370</v>
      </c>
      <c r="C375" t="s">
        <v>713</v>
      </c>
      <c r="D375" s="10">
        <v>0.18606950833302879</v>
      </c>
      <c r="E375" s="10">
        <v>1.1647434647084001</v>
      </c>
      <c r="F375" s="10">
        <v>0.69443281652094324</v>
      </c>
      <c r="G375" s="10">
        <v>0.3521899913205751</v>
      </c>
      <c r="H375" s="6">
        <v>0.19261646975918131</v>
      </c>
      <c r="I375" s="10">
        <v>3.8019812869479268</v>
      </c>
      <c r="J375" s="7">
        <v>2.0619803031816139E-2</v>
      </c>
      <c r="K375" s="5">
        <v>0.16356507566780601</v>
      </c>
      <c r="L375">
        <v>143.90377784842411</v>
      </c>
      <c r="M375" s="10">
        <v>-0.75625082223394036</v>
      </c>
      <c r="N375" s="24" t="s">
        <v>343</v>
      </c>
      <c r="O375" s="24">
        <v>5.6249506659635742</v>
      </c>
      <c r="P375">
        <v>55.036400909873123</v>
      </c>
      <c r="Q375" t="s">
        <v>47</v>
      </c>
      <c r="R375" t="s">
        <v>350</v>
      </c>
      <c r="S375" t="s">
        <v>343</v>
      </c>
      <c r="T375" t="s">
        <v>343</v>
      </c>
    </row>
    <row r="376" spans="2:20" x14ac:dyDescent="0.25">
      <c r="B376">
        <v>371</v>
      </c>
      <c r="C376" t="s">
        <v>714</v>
      </c>
      <c r="D376" s="10">
        <v>0.17129099958406879</v>
      </c>
      <c r="E376" s="10">
        <v>0.61092121803307897</v>
      </c>
      <c r="F376" s="10">
        <v>0.64249409682731096</v>
      </c>
      <c r="G376" s="10">
        <v>0.31396976247865938</v>
      </c>
      <c r="H376" s="6">
        <v>0.18158504179408799</v>
      </c>
      <c r="I376" s="10">
        <v>6.9587495898628164</v>
      </c>
      <c r="J376" s="7">
        <v>1.8510431771109021E-2</v>
      </c>
      <c r="K376" s="5">
        <v>0.1489924441600772</v>
      </c>
      <c r="L376">
        <v>88.434284019325176</v>
      </c>
      <c r="M376" s="10">
        <v>-0.85020696233044202</v>
      </c>
      <c r="N376" s="24" t="s">
        <v>343</v>
      </c>
      <c r="O376" s="24">
        <v>0</v>
      </c>
      <c r="P376">
        <v>61.590431960295383</v>
      </c>
      <c r="Q376" t="s">
        <v>47</v>
      </c>
      <c r="R376" t="s">
        <v>350</v>
      </c>
      <c r="S376" t="s">
        <v>343</v>
      </c>
      <c r="T376" t="s">
        <v>343</v>
      </c>
    </row>
    <row r="377" spans="2:20" x14ac:dyDescent="0.25">
      <c r="B377">
        <v>372</v>
      </c>
      <c r="C377" t="s">
        <v>715</v>
      </c>
      <c r="D377" s="10">
        <v>0.26278708451301053</v>
      </c>
      <c r="E377" s="10">
        <v>0.50230325635610751</v>
      </c>
      <c r="F377" s="10">
        <v>0.44521744480581132</v>
      </c>
      <c r="G377" s="10">
        <v>0.31525958906414908</v>
      </c>
      <c r="H377" s="6">
        <v>0.21986817285485299</v>
      </c>
      <c r="I377" s="10">
        <v>5.0723554059678548</v>
      </c>
      <c r="J377" s="7">
        <v>3.002563045790128E-2</v>
      </c>
      <c r="K377" s="5">
        <v>0.18669898009305119</v>
      </c>
      <c r="L377">
        <v>67.45509295611005</v>
      </c>
      <c r="M377" s="10">
        <v>-0.88574223908489969</v>
      </c>
      <c r="N377" s="24" t="s">
        <v>343</v>
      </c>
      <c r="O377" s="24">
        <v>0</v>
      </c>
      <c r="P377">
        <v>62.231729307621848</v>
      </c>
      <c r="Q377" t="s">
        <v>47</v>
      </c>
      <c r="R377" t="s">
        <v>350</v>
      </c>
      <c r="S377" t="s">
        <v>343</v>
      </c>
      <c r="T377" t="s">
        <v>343</v>
      </c>
    </row>
    <row r="378" spans="2:20" x14ac:dyDescent="0.25">
      <c r="B378">
        <v>373</v>
      </c>
      <c r="C378" t="s">
        <v>716</v>
      </c>
      <c r="D378" s="10">
        <v>0.1642418096866595</v>
      </c>
      <c r="E378" s="10">
        <v>0.35930835216874712</v>
      </c>
      <c r="F378" s="10">
        <v>0.58130347929993442</v>
      </c>
      <c r="G378" s="10">
        <v>0.34502027435103783</v>
      </c>
      <c r="H378" s="6">
        <v>0.18251408664015509</v>
      </c>
      <c r="I378" s="10">
        <v>5.9156389420127589</v>
      </c>
      <c r="J378" s="7">
        <v>1.7913800516875179E-2</v>
      </c>
      <c r="K378" s="5">
        <v>0.17868667777540331</v>
      </c>
      <c r="L378">
        <v>71.648014039339429</v>
      </c>
      <c r="M378" s="10">
        <v>-0.87864012486833176</v>
      </c>
      <c r="N378" s="24" t="s">
        <v>343</v>
      </c>
      <c r="O378" s="24">
        <v>0</v>
      </c>
      <c r="P378">
        <v>60.569389383198057</v>
      </c>
      <c r="Q378" t="s">
        <v>47</v>
      </c>
      <c r="R378" t="s">
        <v>350</v>
      </c>
      <c r="S378" t="s">
        <v>343</v>
      </c>
      <c r="T378" t="s">
        <v>343</v>
      </c>
    </row>
    <row r="379" spans="2:20" x14ac:dyDescent="0.25">
      <c r="B379">
        <v>374</v>
      </c>
      <c r="C379" t="s">
        <v>717</v>
      </c>
      <c r="D379" s="10">
        <v>0.25372409300375409</v>
      </c>
      <c r="E379" s="10">
        <v>0.93064511902867419</v>
      </c>
      <c r="F379" s="10">
        <v>0.46257746931440302</v>
      </c>
      <c r="G379" s="10">
        <v>0.45934508288434389</v>
      </c>
      <c r="H379" s="6">
        <v>0.12629168940012869</v>
      </c>
      <c r="I379" s="10">
        <v>10.696264150354249</v>
      </c>
      <c r="J379" s="7">
        <v>3.5142743593161788E-2</v>
      </c>
      <c r="K379" s="5">
        <v>0.15213089645181699</v>
      </c>
      <c r="L379">
        <v>212.2254053175258</v>
      </c>
      <c r="M379" s="10">
        <v>-0.64052529530042401</v>
      </c>
      <c r="N379" s="24" t="s">
        <v>343</v>
      </c>
      <c r="O379" s="24">
        <v>12.568482281974561</v>
      </c>
      <c r="P379">
        <v>10.848113144205239</v>
      </c>
      <c r="Q379" t="s">
        <v>348</v>
      </c>
      <c r="R379" t="s">
        <v>371</v>
      </c>
      <c r="S379" t="s">
        <v>343</v>
      </c>
      <c r="T379" t="s">
        <v>343</v>
      </c>
    </row>
    <row r="380" spans="2:20" x14ac:dyDescent="0.25">
      <c r="B380">
        <v>375</v>
      </c>
      <c r="C380" t="s">
        <v>718</v>
      </c>
      <c r="D380" s="10">
        <v>0.31043683862799321</v>
      </c>
      <c r="E380" s="10">
        <v>1.0574594727430451</v>
      </c>
      <c r="F380" s="10">
        <v>0.67273588674999418</v>
      </c>
      <c r="G380" s="10">
        <v>0.32984352973892472</v>
      </c>
      <c r="H380" s="6">
        <v>0.2279882178255683</v>
      </c>
      <c r="I380" s="10">
        <v>13.550647517950731</v>
      </c>
      <c r="J380" s="7">
        <v>3.3809596948751727E-2</v>
      </c>
      <c r="K380" s="5">
        <v>0.14857816238537669</v>
      </c>
      <c r="L380">
        <v>313.91145383740388</v>
      </c>
      <c r="M380" s="10">
        <v>-0.46828596227118802</v>
      </c>
      <c r="N380" s="24" t="s">
        <v>343</v>
      </c>
      <c r="O380" s="24">
        <v>22.902842263728719</v>
      </c>
      <c r="P380">
        <v>14.240106930978531</v>
      </c>
      <c r="Q380" t="s">
        <v>348</v>
      </c>
      <c r="R380" t="s">
        <v>351</v>
      </c>
      <c r="S380" t="s">
        <v>343</v>
      </c>
      <c r="T380" t="s">
        <v>343</v>
      </c>
    </row>
    <row r="381" spans="2:20" x14ac:dyDescent="0.25">
      <c r="B381">
        <v>376</v>
      </c>
      <c r="C381" t="s">
        <v>719</v>
      </c>
      <c r="D381" s="10">
        <v>0.25207586846014057</v>
      </c>
      <c r="E381" s="10">
        <v>0.65876468883129768</v>
      </c>
      <c r="F381" s="10">
        <v>0.64530542568832472</v>
      </c>
      <c r="G381" s="10">
        <v>0.28011243055964591</v>
      </c>
      <c r="H381" s="6">
        <v>0.16214759119242361</v>
      </c>
      <c r="I381" s="10">
        <v>5.2745342732203584</v>
      </c>
      <c r="J381" s="7">
        <v>2.4744438659629098E-2</v>
      </c>
      <c r="K381" s="5">
        <v>0.18948707264300829</v>
      </c>
      <c r="L381">
        <v>104.62170607511371</v>
      </c>
      <c r="M381" s="10">
        <v>-0.82278814904253328</v>
      </c>
      <c r="N381" s="24" t="s">
        <v>343</v>
      </c>
      <c r="O381" s="24">
        <v>1.632711057447999</v>
      </c>
      <c r="P381">
        <v>60.05755282715586</v>
      </c>
      <c r="Q381" t="s">
        <v>47</v>
      </c>
      <c r="R381" t="s">
        <v>350</v>
      </c>
      <c r="S381" t="s">
        <v>343</v>
      </c>
      <c r="T381" t="s">
        <v>343</v>
      </c>
    </row>
    <row r="382" spans="2:20" x14ac:dyDescent="0.25">
      <c r="B382">
        <v>377</v>
      </c>
      <c r="C382" t="s">
        <v>720</v>
      </c>
      <c r="D382" s="10">
        <v>0.22210718819304351</v>
      </c>
      <c r="E382" s="10">
        <v>0.9749426033414641</v>
      </c>
      <c r="F382" s="10">
        <v>0.69280849791487753</v>
      </c>
      <c r="G382" s="10">
        <v>0.37499339437086121</v>
      </c>
      <c r="H382" s="6">
        <v>0.12736279684007859</v>
      </c>
      <c r="I382" s="10">
        <v>8.1220832755013852</v>
      </c>
      <c r="J382" s="7">
        <v>1.089519573632319E-2</v>
      </c>
      <c r="K382" s="5">
        <v>0.1586270691760984</v>
      </c>
      <c r="L382">
        <v>194.64227381216961</v>
      </c>
      <c r="M382" s="10">
        <v>-0.67030820934940361</v>
      </c>
      <c r="N382" s="24" t="s">
        <v>343</v>
      </c>
      <c r="O382" s="24">
        <v>10.78150743903579</v>
      </c>
      <c r="P382">
        <v>56.40854037652656</v>
      </c>
      <c r="Q382" t="s">
        <v>47</v>
      </c>
      <c r="R382" t="s">
        <v>350</v>
      </c>
      <c r="S382" t="s">
        <v>343</v>
      </c>
      <c r="T382" t="s">
        <v>343</v>
      </c>
    </row>
    <row r="383" spans="2:20" x14ac:dyDescent="0.25">
      <c r="B383">
        <v>378</v>
      </c>
      <c r="C383" t="s">
        <v>721</v>
      </c>
      <c r="D383" s="10">
        <v>0.2629261149507765</v>
      </c>
      <c r="E383" s="10">
        <v>0.35737295393866209</v>
      </c>
      <c r="F383" s="10">
        <v>0.59817956781894677</v>
      </c>
      <c r="G383" s="10">
        <v>0.2919832957686947</v>
      </c>
      <c r="H383" s="6">
        <v>0.1230931614790356</v>
      </c>
      <c r="I383" s="10">
        <v>13.90627341649351</v>
      </c>
      <c r="J383" s="7">
        <v>1.079278962792289E-2</v>
      </c>
      <c r="K383" s="5">
        <v>0.16780902107110321</v>
      </c>
      <c r="L383">
        <v>104.6090631087929</v>
      </c>
      <c r="M383" s="10">
        <v>-0.82280956413455741</v>
      </c>
      <c r="N383" s="24" t="s">
        <v>343</v>
      </c>
      <c r="O383" s="24">
        <v>1.631426151926554</v>
      </c>
      <c r="P383">
        <v>54.582296910663921</v>
      </c>
      <c r="Q383" t="s">
        <v>47</v>
      </c>
      <c r="R383" t="s">
        <v>350</v>
      </c>
      <c r="S383" t="s">
        <v>343</v>
      </c>
      <c r="T383" t="s">
        <v>343</v>
      </c>
    </row>
    <row r="384" spans="2:20" x14ac:dyDescent="0.25">
      <c r="B384">
        <v>379</v>
      </c>
      <c r="C384" t="s">
        <v>722</v>
      </c>
      <c r="D384" s="10">
        <v>0.23332046247864269</v>
      </c>
      <c r="E384" s="10">
        <v>0.40922268092648401</v>
      </c>
      <c r="F384" s="10">
        <v>0.57576492916592792</v>
      </c>
      <c r="G384" s="10">
        <v>0.26322081007684911</v>
      </c>
      <c r="H384" s="6">
        <v>0.25970419028659769</v>
      </c>
      <c r="I384" s="10">
        <v>13.24841838057597</v>
      </c>
      <c r="J384" s="7">
        <v>2.8648238598812659E-2</v>
      </c>
      <c r="K384" s="5">
        <v>0.10823450900398431</v>
      </c>
      <c r="L384">
        <v>129.48911943161801</v>
      </c>
      <c r="M384" s="10">
        <v>-0.78066686738166402</v>
      </c>
      <c r="N384" s="24" t="s">
        <v>343</v>
      </c>
      <c r="O384" s="24">
        <v>4.1599879571001637</v>
      </c>
      <c r="P384">
        <v>49.043302222191642</v>
      </c>
      <c r="Q384" t="s">
        <v>346</v>
      </c>
      <c r="R384" t="s">
        <v>347</v>
      </c>
      <c r="S384" t="s">
        <v>343</v>
      </c>
      <c r="T384" t="s">
        <v>343</v>
      </c>
    </row>
    <row r="385" spans="2:20" x14ac:dyDescent="0.25">
      <c r="B385">
        <v>380</v>
      </c>
      <c r="C385" t="s">
        <v>723</v>
      </c>
      <c r="D385" s="10">
        <v>0.2472986862905496</v>
      </c>
      <c r="E385" s="10">
        <v>1.0719302494843479</v>
      </c>
      <c r="F385" s="10">
        <v>0.5749332025455407</v>
      </c>
      <c r="G385" s="10">
        <v>0.25103831785450442</v>
      </c>
      <c r="H385" s="6">
        <v>0.15781140129662541</v>
      </c>
      <c r="I385" s="10">
        <v>6.8754793333215432</v>
      </c>
      <c r="J385" s="7">
        <v>3.9371958999484161E-2</v>
      </c>
      <c r="K385" s="5">
        <v>0.1682390340186796</v>
      </c>
      <c r="L385">
        <v>88.936582329197932</v>
      </c>
      <c r="M385" s="10">
        <v>-0.84935615214425131</v>
      </c>
      <c r="N385" s="24" t="s">
        <v>343</v>
      </c>
      <c r="O385" s="24">
        <v>3.8630871344928153E-2</v>
      </c>
      <c r="P385">
        <v>55.879958323241723</v>
      </c>
      <c r="Q385" t="s">
        <v>47</v>
      </c>
      <c r="R385" t="s">
        <v>350</v>
      </c>
      <c r="S385" t="s">
        <v>343</v>
      </c>
      <c r="T385" t="s">
        <v>343</v>
      </c>
    </row>
    <row r="386" spans="2:20" x14ac:dyDescent="0.25">
      <c r="B386">
        <v>381</v>
      </c>
      <c r="C386" t="s">
        <v>724</v>
      </c>
      <c r="D386" s="10">
        <v>0.31063436940424399</v>
      </c>
      <c r="E386" s="10">
        <v>0.70487667573902857</v>
      </c>
      <c r="F386" s="10">
        <v>0.54047657735812971</v>
      </c>
      <c r="G386" s="10">
        <v>0.2450338802843304</v>
      </c>
      <c r="H386" s="6">
        <v>0.1871848788784595</v>
      </c>
      <c r="I386" s="10">
        <v>6.5165795147789147</v>
      </c>
      <c r="J386" s="7">
        <v>3.0960578498159631E-2</v>
      </c>
      <c r="K386" s="5">
        <v>0.12514477500963489</v>
      </c>
      <c r="L386">
        <v>202.22076633600631</v>
      </c>
      <c r="M386" s="10">
        <v>-0.65747149756177325</v>
      </c>
      <c r="N386" s="24" t="s">
        <v>343</v>
      </c>
      <c r="O386" s="24">
        <v>11.551710146293599</v>
      </c>
      <c r="P386">
        <v>60.140901788782443</v>
      </c>
      <c r="Q386" t="s">
        <v>47</v>
      </c>
      <c r="R386" t="s">
        <v>350</v>
      </c>
      <c r="S386" t="s">
        <v>343</v>
      </c>
      <c r="T386" t="s">
        <v>343</v>
      </c>
    </row>
    <row r="387" spans="2:20" x14ac:dyDescent="0.25">
      <c r="B387">
        <v>382</v>
      </c>
      <c r="C387" t="s">
        <v>725</v>
      </c>
      <c r="D387" s="10">
        <v>0.22177642204812389</v>
      </c>
      <c r="E387" s="10">
        <v>1.038467434213306</v>
      </c>
      <c r="F387" s="10">
        <v>0.56185941747957657</v>
      </c>
      <c r="G387" s="10">
        <v>0.33485622262843401</v>
      </c>
      <c r="H387" s="6">
        <v>0.26258646793482832</v>
      </c>
      <c r="I387" s="10">
        <v>5.6638770437097294</v>
      </c>
      <c r="J387" s="7">
        <v>2.5247766155477601E-2</v>
      </c>
      <c r="K387" s="5">
        <v>0.11097610270459771</v>
      </c>
      <c r="L387">
        <v>138.07495784437299</v>
      </c>
      <c r="M387" s="10">
        <v>-0.76612387841478879</v>
      </c>
      <c r="N387" s="24" t="s">
        <v>343</v>
      </c>
      <c r="O387" s="24">
        <v>5.0325672951126714</v>
      </c>
      <c r="P387">
        <v>51.816530075096892</v>
      </c>
      <c r="Q387" t="s">
        <v>47</v>
      </c>
      <c r="R387" t="s">
        <v>350</v>
      </c>
      <c r="S387" t="s">
        <v>343</v>
      </c>
      <c r="T387" t="s">
        <v>343</v>
      </c>
    </row>
    <row r="388" spans="2:20" x14ac:dyDescent="0.25">
      <c r="B388">
        <v>383</v>
      </c>
      <c r="C388" t="s">
        <v>726</v>
      </c>
      <c r="D388" s="10">
        <v>0.31379049021182631</v>
      </c>
      <c r="E388" s="10">
        <v>1.21489323230791</v>
      </c>
      <c r="F388" s="10">
        <v>0.60520727161519106</v>
      </c>
      <c r="G388" s="10">
        <v>0.3338796715721466</v>
      </c>
      <c r="H388" s="6">
        <v>0.19012754681710881</v>
      </c>
      <c r="I388" s="10">
        <v>4.7094313481199777</v>
      </c>
      <c r="J388" s="7">
        <v>4.0874159171887227E-2</v>
      </c>
      <c r="K388" s="5">
        <v>0.18071828033650439</v>
      </c>
      <c r="L388">
        <v>256.82093362107207</v>
      </c>
      <c r="M388" s="10">
        <v>-0.56498785272207763</v>
      </c>
      <c r="N388" s="24" t="s">
        <v>343</v>
      </c>
      <c r="O388" s="24">
        <v>17.100728836675341</v>
      </c>
      <c r="P388">
        <v>57.535371680295043</v>
      </c>
      <c r="Q388" t="s">
        <v>47</v>
      </c>
      <c r="R388" t="s">
        <v>350</v>
      </c>
      <c r="S388" t="s">
        <v>343</v>
      </c>
      <c r="T388" t="s">
        <v>343</v>
      </c>
    </row>
    <row r="389" spans="2:20" x14ac:dyDescent="0.25">
      <c r="B389">
        <v>384</v>
      </c>
      <c r="C389" t="s">
        <v>727</v>
      </c>
      <c r="D389" s="10">
        <v>0.3048561027129702</v>
      </c>
      <c r="E389" s="10">
        <v>1.237884681223729</v>
      </c>
      <c r="F389" s="10">
        <v>0.68256637796463204</v>
      </c>
      <c r="G389" s="10">
        <v>0.28081998801714958</v>
      </c>
      <c r="H389" s="6">
        <v>0.1317913985289467</v>
      </c>
      <c r="I389" s="10">
        <v>8.0605728704165607</v>
      </c>
      <c r="J389" s="7">
        <v>1.6894840715937231E-2</v>
      </c>
      <c r="K389" s="5">
        <v>0.16566315323201089</v>
      </c>
      <c r="L389">
        <v>215.69326145312669</v>
      </c>
      <c r="M389" s="10">
        <v>-0.63465132107749533</v>
      </c>
      <c r="N389" s="24" t="s">
        <v>343</v>
      </c>
      <c r="O389" s="24">
        <v>12.920920735350281</v>
      </c>
      <c r="P389">
        <v>51.289992269316969</v>
      </c>
      <c r="Q389" t="s">
        <v>47</v>
      </c>
      <c r="R389" t="s">
        <v>350</v>
      </c>
      <c r="S389" t="s">
        <v>343</v>
      </c>
      <c r="T389" t="s">
        <v>343</v>
      </c>
    </row>
    <row r="390" spans="2:20" x14ac:dyDescent="0.25">
      <c r="B390">
        <v>385</v>
      </c>
      <c r="C390" t="s">
        <v>728</v>
      </c>
      <c r="D390" s="10">
        <v>0.1913265815662874</v>
      </c>
      <c r="E390" s="10">
        <v>0.48938441001089611</v>
      </c>
      <c r="F390" s="10">
        <v>0.59492992794656807</v>
      </c>
      <c r="G390" s="10">
        <v>0.41248419182966611</v>
      </c>
      <c r="H390" s="6">
        <v>0.20279040708699889</v>
      </c>
      <c r="I390" s="10">
        <v>6.7523256474742226</v>
      </c>
      <c r="J390" s="7">
        <v>2.2579855026070631E-2</v>
      </c>
      <c r="K390" s="5">
        <v>0.13871860966262239</v>
      </c>
      <c r="L390">
        <v>129.58042688563719</v>
      </c>
      <c r="M390" s="10">
        <v>-0.7805122076696408</v>
      </c>
      <c r="N390" s="24" t="s">
        <v>343</v>
      </c>
      <c r="O390" s="24">
        <v>4.1692675398215542</v>
      </c>
      <c r="P390">
        <v>65.013919167377821</v>
      </c>
      <c r="Q390" t="s">
        <v>47</v>
      </c>
      <c r="R390" t="s">
        <v>350</v>
      </c>
      <c r="S390" t="s">
        <v>343</v>
      </c>
      <c r="T390" t="s">
        <v>343</v>
      </c>
    </row>
    <row r="391" spans="2:20" x14ac:dyDescent="0.25">
      <c r="B391">
        <v>386</v>
      </c>
      <c r="C391" t="s">
        <v>729</v>
      </c>
      <c r="D391" s="10">
        <v>0.17109780814002651</v>
      </c>
      <c r="E391" s="10">
        <v>0.83491412958648104</v>
      </c>
      <c r="F391" s="10">
        <v>0.66285014500251549</v>
      </c>
      <c r="G391" s="10">
        <v>0.26843953814237331</v>
      </c>
      <c r="H391" s="6">
        <v>0.1332297980181098</v>
      </c>
      <c r="I391" s="10">
        <v>11.19321353257434</v>
      </c>
      <c r="J391" s="7">
        <v>2.9785830815471471E-2</v>
      </c>
      <c r="K391" s="5">
        <v>0.14098458898976629</v>
      </c>
      <c r="L391">
        <v>163.14819144913511</v>
      </c>
      <c r="M391" s="10">
        <v>-0.72365397132496589</v>
      </c>
      <c r="N391" s="24" t="s">
        <v>343</v>
      </c>
      <c r="O391" s="24">
        <v>7.5807617205020428</v>
      </c>
      <c r="P391">
        <v>56.466702304674008</v>
      </c>
      <c r="Q391" t="s">
        <v>47</v>
      </c>
      <c r="R391" t="s">
        <v>350</v>
      </c>
      <c r="S391" t="s">
        <v>343</v>
      </c>
      <c r="T391" t="s">
        <v>343</v>
      </c>
    </row>
    <row r="392" spans="2:20" x14ac:dyDescent="0.25">
      <c r="B392">
        <v>387</v>
      </c>
      <c r="C392" t="s">
        <v>730</v>
      </c>
      <c r="D392" s="10">
        <v>0.17612448022038829</v>
      </c>
      <c r="E392" s="10">
        <v>1.107319395995735</v>
      </c>
      <c r="F392" s="10">
        <v>0.66432277693865016</v>
      </c>
      <c r="G392" s="10">
        <v>0.44136978238064661</v>
      </c>
      <c r="H392" s="6">
        <v>0.1342631817560305</v>
      </c>
      <c r="I392" s="10">
        <v>5.6055315421356227</v>
      </c>
      <c r="J392" s="7">
        <v>2.0208431420193511E-2</v>
      </c>
      <c r="K392" s="5">
        <v>0.1187261836099326</v>
      </c>
      <c r="L392">
        <v>193.8402607756847</v>
      </c>
      <c r="M392" s="10">
        <v>-0.67166668666753748</v>
      </c>
      <c r="N392" s="24" t="s">
        <v>343</v>
      </c>
      <c r="O392" s="24">
        <v>10.69999879994775</v>
      </c>
      <c r="P392">
        <v>58.888842854577128</v>
      </c>
      <c r="Q392" t="s">
        <v>47</v>
      </c>
      <c r="R392" t="s">
        <v>350</v>
      </c>
      <c r="S392" t="s">
        <v>343</v>
      </c>
      <c r="T392" t="s">
        <v>343</v>
      </c>
    </row>
    <row r="393" spans="2:20" x14ac:dyDescent="0.25">
      <c r="B393">
        <v>388</v>
      </c>
      <c r="C393" t="s">
        <v>731</v>
      </c>
      <c r="D393" s="10">
        <v>0.16291549210424799</v>
      </c>
      <c r="E393" s="10">
        <v>1.151378655893601</v>
      </c>
      <c r="F393" s="10">
        <v>0.57489649572054735</v>
      </c>
      <c r="G393" s="10">
        <v>0.36926671508151993</v>
      </c>
      <c r="H393" s="6">
        <v>0.247721561070369</v>
      </c>
      <c r="I393" s="10">
        <v>11.09965462922054</v>
      </c>
      <c r="J393" s="7">
        <v>4.4919936865099347E-2</v>
      </c>
      <c r="K393" s="5">
        <v>0.10090734456929611</v>
      </c>
      <c r="L393">
        <v>232.56577551218771</v>
      </c>
      <c r="M393" s="10">
        <v>-0.60607207534654339</v>
      </c>
      <c r="N393" s="24" t="s">
        <v>343</v>
      </c>
      <c r="O393" s="24">
        <v>14.6356754792074</v>
      </c>
      <c r="P393">
        <v>49.592079808756793</v>
      </c>
      <c r="Q393" t="s">
        <v>346</v>
      </c>
      <c r="R393" t="s">
        <v>347</v>
      </c>
      <c r="S393" t="s">
        <v>343</v>
      </c>
      <c r="T393" t="s">
        <v>343</v>
      </c>
    </row>
    <row r="394" spans="2:20" x14ac:dyDescent="0.25">
      <c r="B394">
        <v>389</v>
      </c>
      <c r="C394" t="s">
        <v>732</v>
      </c>
      <c r="D394" s="10">
        <v>0.17511087372094861</v>
      </c>
      <c r="E394" s="10">
        <v>1.163143578801765</v>
      </c>
      <c r="F394" s="10">
        <v>0.53034210678938165</v>
      </c>
      <c r="G394" s="10">
        <v>0.24607560274308449</v>
      </c>
      <c r="H394" s="6">
        <v>0.16341323150468839</v>
      </c>
      <c r="I394" s="10">
        <v>6.1696124458017181</v>
      </c>
      <c r="J394" s="7">
        <v>2.583123209273357E-2</v>
      </c>
      <c r="K394" s="5">
        <v>0.1331891182590908</v>
      </c>
      <c r="L394">
        <v>82.652473602139622</v>
      </c>
      <c r="M394" s="10">
        <v>-0.86000039205313261</v>
      </c>
      <c r="N394" s="24" t="s">
        <v>343</v>
      </c>
      <c r="O394" s="24">
        <v>0</v>
      </c>
      <c r="P394">
        <v>60.452633372314118</v>
      </c>
      <c r="Q394" t="s">
        <v>47</v>
      </c>
      <c r="R394" t="s">
        <v>350</v>
      </c>
      <c r="S394" t="s">
        <v>343</v>
      </c>
      <c r="T394" t="s">
        <v>343</v>
      </c>
    </row>
    <row r="395" spans="2:20" x14ac:dyDescent="0.25">
      <c r="B395">
        <v>390</v>
      </c>
      <c r="C395" t="s">
        <v>733</v>
      </c>
      <c r="D395" s="10">
        <v>0.26928108374661708</v>
      </c>
      <c r="E395" s="10">
        <v>0.55098406781864284</v>
      </c>
      <c r="F395" s="10">
        <v>0.60628920706634104</v>
      </c>
      <c r="G395" s="10">
        <v>0.45185397766339758</v>
      </c>
      <c r="H395" s="6">
        <v>0.22180053001686539</v>
      </c>
      <c r="I395" s="10">
        <v>9.520016631123152</v>
      </c>
      <c r="J395" s="7">
        <v>1.181027781694032E-2</v>
      </c>
      <c r="K395" s="5">
        <v>0.1140993641698456</v>
      </c>
      <c r="L395">
        <v>175.4197828296486</v>
      </c>
      <c r="M395" s="10">
        <v>-0.70286792697224632</v>
      </c>
      <c r="N395" s="24" t="s">
        <v>343</v>
      </c>
      <c r="O395" s="24">
        <v>8.8279243816652269</v>
      </c>
      <c r="P395">
        <v>55.616326907345602</v>
      </c>
      <c r="Q395" t="s">
        <v>47</v>
      </c>
      <c r="R395" t="s">
        <v>350</v>
      </c>
      <c r="S395" t="s">
        <v>343</v>
      </c>
      <c r="T395" t="s">
        <v>343</v>
      </c>
    </row>
    <row r="396" spans="2:20" x14ac:dyDescent="0.25">
      <c r="B396">
        <v>391</v>
      </c>
      <c r="C396" t="s">
        <v>734</v>
      </c>
      <c r="D396" s="10">
        <v>0.1713901837536366</v>
      </c>
      <c r="E396" s="10">
        <v>0.51178829949615068</v>
      </c>
      <c r="F396" s="10">
        <v>0.55592810889785915</v>
      </c>
      <c r="G396" s="10">
        <v>0.30774707710008781</v>
      </c>
      <c r="H396" s="6">
        <v>0.19633865029929931</v>
      </c>
      <c r="I396" s="10">
        <v>10.022731060342039</v>
      </c>
      <c r="J396" s="7">
        <v>1.6162919656334759E-2</v>
      </c>
      <c r="K396" s="5">
        <v>0.14006404559029489</v>
      </c>
      <c r="L396">
        <v>168.5317085049528</v>
      </c>
      <c r="M396" s="10">
        <v>-0.71453518462273413</v>
      </c>
      <c r="N396" s="24" t="s">
        <v>343</v>
      </c>
      <c r="O396" s="24">
        <v>8.1278889226359503</v>
      </c>
      <c r="P396">
        <v>67.236788061154414</v>
      </c>
      <c r="Q396" t="s">
        <v>47</v>
      </c>
      <c r="R396" t="s">
        <v>350</v>
      </c>
      <c r="S396" t="s">
        <v>343</v>
      </c>
      <c r="T396" t="s">
        <v>343</v>
      </c>
    </row>
    <row r="397" spans="2:20" x14ac:dyDescent="0.25">
      <c r="B397">
        <v>392</v>
      </c>
      <c r="C397" t="s">
        <v>735</v>
      </c>
      <c r="D397" s="10">
        <v>0.21103610084700181</v>
      </c>
      <c r="E397" s="10">
        <v>0.94901371510106536</v>
      </c>
      <c r="F397" s="10">
        <v>0.46117462550370247</v>
      </c>
      <c r="G397" s="10">
        <v>0.33899449110712782</v>
      </c>
      <c r="H397" s="6">
        <v>0.15334900368066209</v>
      </c>
      <c r="I397" s="10">
        <v>10.38959568050366</v>
      </c>
      <c r="J397" s="7">
        <v>2.863683038961393E-2</v>
      </c>
      <c r="K397" s="5">
        <v>0.17921338335334611</v>
      </c>
      <c r="L397">
        <v>134.03352866725609</v>
      </c>
      <c r="M397" s="10">
        <v>-0.77296939042045421</v>
      </c>
      <c r="N397" s="24" t="s">
        <v>343</v>
      </c>
      <c r="O397" s="24">
        <v>4.6218365747727432</v>
      </c>
      <c r="P397">
        <v>24.340535553646241</v>
      </c>
      <c r="Q397" t="s">
        <v>348</v>
      </c>
      <c r="R397" t="s">
        <v>371</v>
      </c>
      <c r="S397" t="s">
        <v>343</v>
      </c>
      <c r="T397" t="s">
        <v>343</v>
      </c>
    </row>
    <row r="398" spans="2:20" x14ac:dyDescent="0.25">
      <c r="B398">
        <v>393</v>
      </c>
      <c r="C398" t="s">
        <v>736</v>
      </c>
      <c r="D398" s="10">
        <v>0.29518004975511281</v>
      </c>
      <c r="E398" s="10">
        <v>1.1151943775120421</v>
      </c>
      <c r="F398" s="10">
        <v>0.53823036611243269</v>
      </c>
      <c r="G398" s="10">
        <v>0.3025391124588015</v>
      </c>
      <c r="H398" s="6">
        <v>0.19767304479798109</v>
      </c>
      <c r="I398" s="10">
        <v>4.9287288464098786</v>
      </c>
      <c r="J398" s="7">
        <v>2.925196698899632E-2</v>
      </c>
      <c r="K398" s="5">
        <v>0.11090166452325841</v>
      </c>
      <c r="L398">
        <v>150.3614648439457</v>
      </c>
      <c r="M398" s="10">
        <v>-0.74531256947252267</v>
      </c>
      <c r="N398" s="24" t="s">
        <v>343</v>
      </c>
      <c r="O398" s="24">
        <v>6.2812458316486399</v>
      </c>
      <c r="P398">
        <v>53.531092733312931</v>
      </c>
      <c r="Q398" t="s">
        <v>47</v>
      </c>
      <c r="R398" t="s">
        <v>350</v>
      </c>
      <c r="S398" t="s">
        <v>343</v>
      </c>
      <c r="T398" t="s">
        <v>343</v>
      </c>
    </row>
    <row r="399" spans="2:20" x14ac:dyDescent="0.25">
      <c r="B399">
        <v>394</v>
      </c>
      <c r="C399" t="s">
        <v>737</v>
      </c>
      <c r="D399" s="10">
        <v>0.16372350971773211</v>
      </c>
      <c r="E399" s="10">
        <v>0.65105346708761258</v>
      </c>
      <c r="F399" s="10">
        <v>0.69845875589282436</v>
      </c>
      <c r="G399" s="10">
        <v>0.4002526855674311</v>
      </c>
      <c r="H399" s="6">
        <v>0.1303490303849629</v>
      </c>
      <c r="I399" s="10">
        <v>6.1098250669386376</v>
      </c>
      <c r="J399" s="7">
        <v>4.4445049351814307E-2</v>
      </c>
      <c r="K399" s="5">
        <v>0.10871659220293391</v>
      </c>
      <c r="L399">
        <v>174.516904110599</v>
      </c>
      <c r="M399" s="10">
        <v>-0.70439725405928511</v>
      </c>
      <c r="N399" s="24" t="s">
        <v>343</v>
      </c>
      <c r="O399" s="24">
        <v>8.7361647564428893</v>
      </c>
      <c r="P399">
        <v>52.110771654078839</v>
      </c>
      <c r="Q399" t="s">
        <v>47</v>
      </c>
      <c r="R399" t="s">
        <v>350</v>
      </c>
      <c r="S399" t="s">
        <v>343</v>
      </c>
      <c r="T399" t="s">
        <v>343</v>
      </c>
    </row>
    <row r="400" spans="2:20" x14ac:dyDescent="0.25">
      <c r="B400">
        <v>395</v>
      </c>
      <c r="C400" t="s">
        <v>738</v>
      </c>
      <c r="D400" s="10">
        <v>0.29031495721422967</v>
      </c>
      <c r="E400" s="10">
        <v>0.41517567254866372</v>
      </c>
      <c r="F400" s="10">
        <v>0.45261308620683471</v>
      </c>
      <c r="G400" s="10">
        <v>0.34684964855829847</v>
      </c>
      <c r="H400" s="6">
        <v>0.17208185243845639</v>
      </c>
      <c r="I400" s="10">
        <v>5.7072725394575654</v>
      </c>
      <c r="J400" s="7">
        <v>3.09988246449194E-2</v>
      </c>
      <c r="K400" s="5">
        <v>0.1856997108967284</v>
      </c>
      <c r="L400">
        <v>68.224575139280418</v>
      </c>
      <c r="M400" s="10">
        <v>-0.88443886364710567</v>
      </c>
      <c r="N400" s="24" t="s">
        <v>343</v>
      </c>
      <c r="O400" s="24">
        <v>0</v>
      </c>
      <c r="P400">
        <v>56.503121911051302</v>
      </c>
      <c r="Q400" t="s">
        <v>47</v>
      </c>
      <c r="R400" t="s">
        <v>350</v>
      </c>
      <c r="S400" t="s">
        <v>343</v>
      </c>
      <c r="T400" t="s">
        <v>343</v>
      </c>
    </row>
    <row r="401" spans="2:20" x14ac:dyDescent="0.25">
      <c r="B401">
        <v>396</v>
      </c>
      <c r="C401" t="s">
        <v>739</v>
      </c>
      <c r="D401" s="10">
        <v>0.20509676396374399</v>
      </c>
      <c r="E401" s="10">
        <v>1.088421021201085</v>
      </c>
      <c r="F401" s="10">
        <v>0.62113339709424087</v>
      </c>
      <c r="G401" s="10">
        <v>0.26912205106855058</v>
      </c>
      <c r="H401" s="6">
        <v>0.19842543375307381</v>
      </c>
      <c r="I401" s="10">
        <v>9.3377645211702838</v>
      </c>
      <c r="J401" s="7">
        <v>3.3331956212572622E-2</v>
      </c>
      <c r="K401" s="5">
        <v>0.17078825843164069</v>
      </c>
      <c r="L401">
        <v>247.05022993513131</v>
      </c>
      <c r="M401" s="10">
        <v>-0.58153780731849181</v>
      </c>
      <c r="N401" s="24" t="s">
        <v>343</v>
      </c>
      <c r="O401" s="24">
        <v>16.107731560890489</v>
      </c>
      <c r="P401">
        <v>23.305777896329321</v>
      </c>
      <c r="Q401" t="s">
        <v>348</v>
      </c>
      <c r="R401" t="s">
        <v>375</v>
      </c>
      <c r="S401" t="s">
        <v>343</v>
      </c>
      <c r="T401" t="s">
        <v>343</v>
      </c>
    </row>
    <row r="402" spans="2:20" x14ac:dyDescent="0.25">
      <c r="B402">
        <v>397</v>
      </c>
      <c r="C402" t="s">
        <v>740</v>
      </c>
      <c r="D402" s="10">
        <v>0.178906372419465</v>
      </c>
      <c r="E402" s="10">
        <v>0.6296676145180049</v>
      </c>
      <c r="F402" s="10">
        <v>0.65870906331852419</v>
      </c>
      <c r="G402" s="10">
        <v>0.26292486951907978</v>
      </c>
      <c r="H402" s="6">
        <v>0.15425915071284779</v>
      </c>
      <c r="I402" s="10">
        <v>3.8332104249850349</v>
      </c>
      <c r="J402" s="7">
        <v>1.7480296947697059E-2</v>
      </c>
      <c r="K402" s="5">
        <v>0.1050416372336711</v>
      </c>
      <c r="L402">
        <v>71.510588217602603</v>
      </c>
      <c r="M402" s="10">
        <v>-0.8788729014608091</v>
      </c>
      <c r="N402" s="24" t="s">
        <v>343</v>
      </c>
      <c r="O402" s="24">
        <v>0</v>
      </c>
      <c r="P402">
        <v>55.1393388363947</v>
      </c>
      <c r="Q402" t="s">
        <v>47</v>
      </c>
      <c r="R402" t="s">
        <v>350</v>
      </c>
      <c r="S402" t="s">
        <v>343</v>
      </c>
      <c r="T402" t="s">
        <v>343</v>
      </c>
    </row>
    <row r="403" spans="2:20" x14ac:dyDescent="0.25">
      <c r="B403">
        <v>398</v>
      </c>
      <c r="C403" t="s">
        <v>741</v>
      </c>
      <c r="D403" s="10">
        <v>0.27147794645826412</v>
      </c>
      <c r="E403" s="10">
        <v>0.48299899674289398</v>
      </c>
      <c r="F403" s="10">
        <v>0.60866873490359841</v>
      </c>
      <c r="G403" s="10">
        <v>0.39958259093140652</v>
      </c>
      <c r="H403" s="6">
        <v>0.21902821952720411</v>
      </c>
      <c r="I403" s="10">
        <v>8.7008209495693514</v>
      </c>
      <c r="J403" s="7">
        <v>1.374027085722658E-2</v>
      </c>
      <c r="K403" s="5">
        <v>0.1075591960994705</v>
      </c>
      <c r="L403">
        <v>149.20894214506981</v>
      </c>
      <c r="M403" s="10">
        <v>-0.74726475213518784</v>
      </c>
      <c r="N403" s="24" t="s">
        <v>343</v>
      </c>
      <c r="O403" s="24">
        <v>6.164114871888728</v>
      </c>
      <c r="P403">
        <v>54.043031953352312</v>
      </c>
      <c r="Q403" t="s">
        <v>47</v>
      </c>
      <c r="R403" t="s">
        <v>350</v>
      </c>
      <c r="S403" t="s">
        <v>343</v>
      </c>
      <c r="T403" t="s">
        <v>343</v>
      </c>
    </row>
    <row r="404" spans="2:20" x14ac:dyDescent="0.25">
      <c r="B404">
        <v>399</v>
      </c>
      <c r="C404" t="s">
        <v>742</v>
      </c>
      <c r="D404" s="10">
        <v>0.26063085548478138</v>
      </c>
      <c r="E404" s="10">
        <v>0.46249588123684482</v>
      </c>
      <c r="F404" s="10">
        <v>0.58813454010245536</v>
      </c>
      <c r="G404" s="10">
        <v>0.29215790908487971</v>
      </c>
      <c r="H404" s="6">
        <v>0.12777178825444599</v>
      </c>
      <c r="I404" s="10">
        <v>3.9621376120734602</v>
      </c>
      <c r="J404" s="7">
        <v>3.1070350285183072E-2</v>
      </c>
      <c r="K404" s="5">
        <v>0.16506780167414811</v>
      </c>
      <c r="L404">
        <v>73.258143002911908</v>
      </c>
      <c r="M404" s="10">
        <v>-0.87591283294565903</v>
      </c>
      <c r="N404" s="24" t="s">
        <v>343</v>
      </c>
      <c r="O404" s="24">
        <v>0</v>
      </c>
      <c r="P404">
        <v>61.86083845356233</v>
      </c>
      <c r="Q404" t="s">
        <v>47</v>
      </c>
      <c r="R404" t="s">
        <v>350</v>
      </c>
      <c r="S404" t="s">
        <v>343</v>
      </c>
      <c r="T404" t="s">
        <v>343</v>
      </c>
    </row>
    <row r="405" spans="2:20" x14ac:dyDescent="0.25">
      <c r="B405">
        <v>400</v>
      </c>
      <c r="C405" t="s">
        <v>743</v>
      </c>
      <c r="D405" s="10">
        <v>0.30039552216432852</v>
      </c>
      <c r="E405" s="10">
        <v>0.64640050227938795</v>
      </c>
      <c r="F405" s="10">
        <v>0.62396414841447689</v>
      </c>
      <c r="G405" s="10">
        <v>0.27031454242046388</v>
      </c>
      <c r="H405" s="6">
        <v>0.192721484680594</v>
      </c>
      <c r="I405" s="10">
        <v>6.7076158892642521</v>
      </c>
      <c r="J405" s="7">
        <v>4.0270799181108617E-2</v>
      </c>
      <c r="K405" s="5">
        <v>0.1351826992040302</v>
      </c>
      <c r="L405">
        <v>195.95604911013999</v>
      </c>
      <c r="M405" s="10">
        <v>-0.6680828914777146</v>
      </c>
      <c r="N405" s="24" t="s">
        <v>343</v>
      </c>
      <c r="O405" s="24">
        <v>10.915026511337119</v>
      </c>
      <c r="P405">
        <v>55.670026909203237</v>
      </c>
      <c r="Q405" t="s">
        <v>47</v>
      </c>
      <c r="R405" t="s">
        <v>350</v>
      </c>
      <c r="S405" t="s">
        <v>343</v>
      </c>
      <c r="T405" t="s">
        <v>343</v>
      </c>
    </row>
    <row r="406" spans="2:20" x14ac:dyDescent="0.25">
      <c r="B406">
        <v>401</v>
      </c>
      <c r="C406" t="s">
        <v>744</v>
      </c>
      <c r="D406" s="10">
        <v>0.27761136700862171</v>
      </c>
      <c r="E406" s="10">
        <v>0.95194587250511997</v>
      </c>
      <c r="F406" s="10">
        <v>0.5516291116979104</v>
      </c>
      <c r="G406" s="10">
        <v>0.34987407133952542</v>
      </c>
      <c r="H406" s="6">
        <v>0.22724936719340749</v>
      </c>
      <c r="I406" s="10">
        <v>10.553767022462271</v>
      </c>
      <c r="J406" s="7">
        <v>3.0558053312657631E-2</v>
      </c>
      <c r="K406" s="5">
        <v>0.168796463076722</v>
      </c>
      <c r="L406">
        <v>231.10157943374881</v>
      </c>
      <c r="M406" s="10">
        <v>-0.60855218111960874</v>
      </c>
      <c r="N406" s="24" t="s">
        <v>343</v>
      </c>
      <c r="O406" s="24">
        <v>14.486869132823481</v>
      </c>
      <c r="P406">
        <v>62.481837612404419</v>
      </c>
      <c r="Q406" t="s">
        <v>47</v>
      </c>
      <c r="R406" t="s">
        <v>350</v>
      </c>
      <c r="S406" t="s">
        <v>343</v>
      </c>
      <c r="T406" t="s">
        <v>343</v>
      </c>
    </row>
    <row r="407" spans="2:20" x14ac:dyDescent="0.25">
      <c r="B407">
        <v>402</v>
      </c>
      <c r="C407" t="s">
        <v>745</v>
      </c>
      <c r="D407" s="10">
        <v>0.28855694886157579</v>
      </c>
      <c r="E407" s="10">
        <v>0.69424246256319821</v>
      </c>
      <c r="F407" s="10">
        <v>0.46375405170030798</v>
      </c>
      <c r="G407" s="10">
        <v>0.41660836325798689</v>
      </c>
      <c r="H407" s="6">
        <v>0.18449190884351591</v>
      </c>
      <c r="I407" s="10">
        <v>7.5382046051294562</v>
      </c>
      <c r="J407" s="7">
        <v>2.549741263646171E-2</v>
      </c>
      <c r="K407" s="5">
        <v>0.13842313658354541</v>
      </c>
      <c r="L407">
        <v>148.63780173420849</v>
      </c>
      <c r="M407" s="10">
        <v>-0.7482321694442946</v>
      </c>
      <c r="N407" s="24" t="s">
        <v>343</v>
      </c>
      <c r="O407" s="24">
        <v>6.1060698333423176</v>
      </c>
      <c r="P407">
        <v>53.852253404282287</v>
      </c>
      <c r="Q407" t="s">
        <v>47</v>
      </c>
      <c r="R407" t="s">
        <v>350</v>
      </c>
      <c r="S407" t="s">
        <v>343</v>
      </c>
      <c r="T407" t="s">
        <v>343</v>
      </c>
    </row>
    <row r="408" spans="2:20" x14ac:dyDescent="0.25">
      <c r="B408">
        <v>403</v>
      </c>
      <c r="C408" t="s">
        <v>746</v>
      </c>
      <c r="D408" s="10">
        <v>0.20512553161140901</v>
      </c>
      <c r="E408" s="10">
        <v>0.32272803675277473</v>
      </c>
      <c r="F408" s="10">
        <v>0.69021665611887917</v>
      </c>
      <c r="G408" s="10">
        <v>0.30133220409208872</v>
      </c>
      <c r="H408" s="6">
        <v>0.25118796229784068</v>
      </c>
      <c r="I408" s="10">
        <v>6.0837602332045062</v>
      </c>
      <c r="J408" s="7">
        <v>3.023723244625702E-2</v>
      </c>
      <c r="K408" s="5">
        <v>0.19193973529551089</v>
      </c>
      <c r="L408">
        <v>45.854640801438187</v>
      </c>
      <c r="M408" s="10">
        <v>-0.92232982928438823</v>
      </c>
      <c r="N408" s="24" t="s">
        <v>343</v>
      </c>
      <c r="O408" s="24">
        <v>0</v>
      </c>
      <c r="P408">
        <v>58.513160123288621</v>
      </c>
      <c r="Q408" t="s">
        <v>47</v>
      </c>
      <c r="R408" t="s">
        <v>350</v>
      </c>
      <c r="S408" t="s">
        <v>343</v>
      </c>
      <c r="T408" t="s">
        <v>343</v>
      </c>
    </row>
    <row r="409" spans="2:20" x14ac:dyDescent="0.25">
      <c r="B409">
        <v>404</v>
      </c>
      <c r="C409" t="s">
        <v>747</v>
      </c>
      <c r="D409" s="10">
        <v>0.18839032700475569</v>
      </c>
      <c r="E409" s="10">
        <v>0.40659927814559221</v>
      </c>
      <c r="F409" s="10">
        <v>0.55239820019589092</v>
      </c>
      <c r="G409" s="10">
        <v>0.30081495457417767</v>
      </c>
      <c r="H409" s="6">
        <v>0.21482891718609989</v>
      </c>
      <c r="I409" s="10">
        <v>9.7744289348893787</v>
      </c>
      <c r="J409" s="7">
        <v>2.640700524700023E-2</v>
      </c>
      <c r="K409" s="5">
        <v>0.16596957816476191</v>
      </c>
      <c r="L409">
        <v>82.485648381038999</v>
      </c>
      <c r="M409" s="10">
        <v>-0.86028296636133972</v>
      </c>
      <c r="N409" s="24" t="s">
        <v>343</v>
      </c>
      <c r="O409" s="24">
        <v>0</v>
      </c>
      <c r="P409">
        <v>68.635256702818609</v>
      </c>
      <c r="Q409" t="s">
        <v>47</v>
      </c>
      <c r="R409" t="s">
        <v>350</v>
      </c>
      <c r="S409" t="s">
        <v>343</v>
      </c>
      <c r="T409" t="s">
        <v>343</v>
      </c>
    </row>
    <row r="410" spans="2:20" x14ac:dyDescent="0.25">
      <c r="B410">
        <v>405</v>
      </c>
      <c r="C410" t="s">
        <v>748</v>
      </c>
      <c r="D410" s="10">
        <v>0.28009836026253732</v>
      </c>
      <c r="E410" s="10">
        <v>0.61955357191848093</v>
      </c>
      <c r="F410" s="10">
        <v>0.61300120166368455</v>
      </c>
      <c r="G410" s="10">
        <v>0.4234538772572829</v>
      </c>
      <c r="H410" s="6">
        <v>0.26377393740881072</v>
      </c>
      <c r="I410" s="10">
        <v>11.14296023730323</v>
      </c>
      <c r="J410" s="7">
        <v>1.49658551605361E-2</v>
      </c>
      <c r="K410" s="5">
        <v>0.1044284976603391</v>
      </c>
      <c r="L410">
        <v>243.66002170801741</v>
      </c>
      <c r="M410" s="10">
        <v>-0.58728025883832013</v>
      </c>
      <c r="N410" s="24" t="s">
        <v>343</v>
      </c>
      <c r="O410" s="24">
        <v>15.763184469700789</v>
      </c>
      <c r="P410">
        <v>49.451543377173721</v>
      </c>
      <c r="Q410" t="s">
        <v>346</v>
      </c>
      <c r="R410" t="s">
        <v>347</v>
      </c>
      <c r="S410" t="s">
        <v>343</v>
      </c>
      <c r="T410" t="s">
        <v>343</v>
      </c>
    </row>
    <row r="411" spans="2:20" x14ac:dyDescent="0.25">
      <c r="B411">
        <v>406</v>
      </c>
      <c r="C411" t="s">
        <v>749</v>
      </c>
      <c r="D411" s="10">
        <v>0.28909355828276229</v>
      </c>
      <c r="E411" s="10">
        <v>1.0256749303618009</v>
      </c>
      <c r="F411" s="10">
        <v>0.57814071359121677</v>
      </c>
      <c r="G411" s="10">
        <v>0.27252343480513219</v>
      </c>
      <c r="H411" s="6">
        <v>0.16261827191624681</v>
      </c>
      <c r="I411" s="10">
        <v>5.8004342824985589</v>
      </c>
      <c r="J411" s="7">
        <v>3.5941454883851552E-2</v>
      </c>
      <c r="K411" s="5">
        <v>0.13139766861334981</v>
      </c>
      <c r="L411">
        <v>245.9440125682577</v>
      </c>
      <c r="M411" s="10">
        <v>-0.58341155641415476</v>
      </c>
      <c r="N411" s="24" t="s">
        <v>343</v>
      </c>
      <c r="O411" s="24">
        <v>15.99530661515071</v>
      </c>
      <c r="P411">
        <v>25.670383708355569</v>
      </c>
      <c r="Q411" t="s">
        <v>348</v>
      </c>
      <c r="R411" t="s">
        <v>375</v>
      </c>
      <c r="S411" t="s">
        <v>343</v>
      </c>
      <c r="T411" t="s">
        <v>343</v>
      </c>
    </row>
    <row r="412" spans="2:20" x14ac:dyDescent="0.25">
      <c r="B412">
        <v>407</v>
      </c>
      <c r="C412" t="s">
        <v>750</v>
      </c>
      <c r="D412" s="10">
        <v>0.31848082272010769</v>
      </c>
      <c r="E412" s="10">
        <v>0.40836658081538718</v>
      </c>
      <c r="F412" s="10">
        <v>0.45421499871416421</v>
      </c>
      <c r="G412" s="10">
        <v>0.37568007019304039</v>
      </c>
      <c r="H412" s="6">
        <v>0.26081839962821213</v>
      </c>
      <c r="I412" s="10">
        <v>6.2933989120546494</v>
      </c>
      <c r="J412" s="7">
        <v>2.865633572126353E-2</v>
      </c>
      <c r="K412" s="5">
        <v>0.15354258768292281</v>
      </c>
      <c r="L412">
        <v>177.33605561292001</v>
      </c>
      <c r="M412" s="10">
        <v>-0.69962207809821708</v>
      </c>
      <c r="N412" s="24" t="s">
        <v>343</v>
      </c>
      <c r="O412" s="24">
        <v>9.0226753141069764</v>
      </c>
      <c r="P412">
        <v>52.195944988447287</v>
      </c>
      <c r="Q412" t="s">
        <v>47</v>
      </c>
      <c r="R412" t="s">
        <v>350</v>
      </c>
      <c r="S412" t="s">
        <v>343</v>
      </c>
      <c r="T412" t="s">
        <v>343</v>
      </c>
    </row>
    <row r="413" spans="2:20" x14ac:dyDescent="0.25">
      <c r="B413">
        <v>408</v>
      </c>
      <c r="C413" t="s">
        <v>751</v>
      </c>
      <c r="D413" s="10">
        <v>0.22601882830582831</v>
      </c>
      <c r="E413" s="10">
        <v>0.91672253885074984</v>
      </c>
      <c r="F413" s="10">
        <v>0.68771411625806</v>
      </c>
      <c r="G413" s="10">
        <v>0.45010296625616891</v>
      </c>
      <c r="H413" s="6">
        <v>0.21102338848285451</v>
      </c>
      <c r="I413" s="10">
        <v>10.043233086461949</v>
      </c>
      <c r="J413" s="7">
        <v>2.397630066203545E-2</v>
      </c>
      <c r="K413" s="5">
        <v>0.113477995629034</v>
      </c>
      <c r="L413">
        <v>339.83729489112977</v>
      </c>
      <c r="M413" s="10">
        <v>-0.42437187930391818</v>
      </c>
      <c r="N413" s="24" t="s">
        <v>343</v>
      </c>
      <c r="O413" s="24">
        <v>25.53768724176491</v>
      </c>
      <c r="P413">
        <v>51.930943427898796</v>
      </c>
      <c r="Q413" t="s">
        <v>47</v>
      </c>
      <c r="R413" t="s">
        <v>350</v>
      </c>
      <c r="S413" t="s">
        <v>343</v>
      </c>
      <c r="T413" t="s">
        <v>343</v>
      </c>
    </row>
    <row r="414" spans="2:20" x14ac:dyDescent="0.25">
      <c r="B414">
        <v>409</v>
      </c>
      <c r="C414" t="s">
        <v>752</v>
      </c>
      <c r="D414" s="10">
        <v>0.2195228937268453</v>
      </c>
      <c r="E414" s="10">
        <v>0.43187445790640472</v>
      </c>
      <c r="F414" s="10">
        <v>0.64605967878972403</v>
      </c>
      <c r="G414" s="10">
        <v>0.42508669290700768</v>
      </c>
      <c r="H414" s="6">
        <v>0.23177683488200981</v>
      </c>
      <c r="I414" s="10">
        <v>13.617455861986439</v>
      </c>
      <c r="J414" s="7">
        <v>2.9587347571470218E-2</v>
      </c>
      <c r="K414" s="5">
        <v>0.1002394285071531</v>
      </c>
      <c r="L414">
        <v>218.36112506528801</v>
      </c>
      <c r="M414" s="10">
        <v>-0.6301324017580785</v>
      </c>
      <c r="N414" s="24" t="s">
        <v>343</v>
      </c>
      <c r="O414" s="24">
        <v>13.19205589451529</v>
      </c>
      <c r="P414">
        <v>47.319956111438017</v>
      </c>
      <c r="Q414" t="s">
        <v>346</v>
      </c>
      <c r="R414" t="s">
        <v>347</v>
      </c>
      <c r="S414" t="s">
        <v>343</v>
      </c>
      <c r="T414" t="s">
        <v>343</v>
      </c>
    </row>
    <row r="415" spans="2:20" x14ac:dyDescent="0.25">
      <c r="B415">
        <v>410</v>
      </c>
      <c r="C415" t="s">
        <v>753</v>
      </c>
      <c r="D415" s="10">
        <v>0.2842260737187195</v>
      </c>
      <c r="E415" s="10">
        <v>0.53277686008431957</v>
      </c>
      <c r="F415" s="10">
        <v>0.47876545256204273</v>
      </c>
      <c r="G415" s="10">
        <v>0.25359935143154039</v>
      </c>
      <c r="H415" s="6">
        <v>0.25532416755651699</v>
      </c>
      <c r="I415" s="10">
        <v>5.3525869033675324</v>
      </c>
      <c r="J415" s="7">
        <v>1.8442943405866719E-2</v>
      </c>
      <c r="K415" s="5">
        <v>0.1075342725705631</v>
      </c>
      <c r="L415">
        <v>127.4980125298914</v>
      </c>
      <c r="M415" s="10">
        <v>-0.784039472864276</v>
      </c>
      <c r="N415" s="24" t="s">
        <v>343</v>
      </c>
      <c r="O415" s="24">
        <v>3.9576316281434458</v>
      </c>
      <c r="P415">
        <v>57.737204805587233</v>
      </c>
      <c r="Q415" t="s">
        <v>47</v>
      </c>
      <c r="R415" t="s">
        <v>350</v>
      </c>
      <c r="S415" t="s">
        <v>343</v>
      </c>
      <c r="T415" t="s">
        <v>343</v>
      </c>
    </row>
    <row r="416" spans="2:20" x14ac:dyDescent="0.25">
      <c r="B416">
        <v>411</v>
      </c>
      <c r="C416" t="s">
        <v>754</v>
      </c>
      <c r="D416" s="10">
        <v>0.21452856644048279</v>
      </c>
      <c r="E416" s="10">
        <v>0.48940738031133901</v>
      </c>
      <c r="F416" s="10">
        <v>0.69522870783494928</v>
      </c>
      <c r="G416" s="10">
        <v>0.31038039284355762</v>
      </c>
      <c r="H416" s="6">
        <v>0.20267957819877311</v>
      </c>
      <c r="I416" s="10">
        <v>10.1967239928233</v>
      </c>
      <c r="J416" s="7">
        <v>2.4978520041465131E-2</v>
      </c>
      <c r="K416" s="5">
        <v>0.14980503038113599</v>
      </c>
      <c r="L416">
        <v>123.0020145535547</v>
      </c>
      <c r="M416" s="10">
        <v>-0.79165494916625501</v>
      </c>
      <c r="N416" s="24" t="s">
        <v>343</v>
      </c>
      <c r="O416" s="24">
        <v>3.5007030500246969</v>
      </c>
      <c r="P416">
        <v>60.490193430294617</v>
      </c>
      <c r="Q416" t="s">
        <v>47</v>
      </c>
      <c r="R416" t="s">
        <v>350</v>
      </c>
      <c r="S416" t="s">
        <v>343</v>
      </c>
      <c r="T416" t="s">
        <v>343</v>
      </c>
    </row>
    <row r="417" spans="2:20" x14ac:dyDescent="0.25">
      <c r="B417">
        <v>412</v>
      </c>
      <c r="C417" t="s">
        <v>755</v>
      </c>
      <c r="D417" s="10">
        <v>0.30892117209657027</v>
      </c>
      <c r="E417" s="10">
        <v>0.3739514991278915</v>
      </c>
      <c r="F417" s="10">
        <v>0.63159435676464404</v>
      </c>
      <c r="G417" s="10">
        <v>0.2713223824303756</v>
      </c>
      <c r="H417" s="6">
        <v>0.24932711879244979</v>
      </c>
      <c r="I417" s="10">
        <v>12.972488251752271</v>
      </c>
      <c r="J417" s="7">
        <v>3.1785582035130482E-2</v>
      </c>
      <c r="K417" s="5">
        <v>0.16006423363412919</v>
      </c>
      <c r="L417">
        <v>89.117104899234647</v>
      </c>
      <c r="M417" s="10">
        <v>-0.84905037679441298</v>
      </c>
      <c r="N417" s="24" t="s">
        <v>343</v>
      </c>
      <c r="O417" s="24">
        <v>5.697739233522725E-2</v>
      </c>
      <c r="P417">
        <v>48.763428728908103</v>
      </c>
      <c r="Q417" t="s">
        <v>346</v>
      </c>
      <c r="R417" t="s">
        <v>347</v>
      </c>
      <c r="S417" t="s">
        <v>343</v>
      </c>
      <c r="T417" t="s">
        <v>343</v>
      </c>
    </row>
    <row r="418" spans="2:20" x14ac:dyDescent="0.25">
      <c r="B418">
        <v>413</v>
      </c>
      <c r="C418" t="s">
        <v>756</v>
      </c>
      <c r="D418" s="10">
        <v>0.29734604029488187</v>
      </c>
      <c r="E418" s="10">
        <v>1.0384627991252491</v>
      </c>
      <c r="F418" s="10">
        <v>0.56280362911136028</v>
      </c>
      <c r="G418" s="10">
        <v>0.44883294029117082</v>
      </c>
      <c r="H418" s="6">
        <v>0.2012545409382083</v>
      </c>
      <c r="I418" s="10">
        <v>8.081634415487974</v>
      </c>
      <c r="J418" s="7">
        <v>1.7916775078353118E-2</v>
      </c>
      <c r="K418" s="5">
        <v>0.1088258206909502</v>
      </c>
      <c r="L418">
        <v>251.8114945601618</v>
      </c>
      <c r="M418" s="10">
        <v>-0.57347301322600974</v>
      </c>
      <c r="N418" s="24" t="s">
        <v>343</v>
      </c>
      <c r="O418" s="24">
        <v>16.591619206439411</v>
      </c>
      <c r="P418">
        <v>52.867247577591002</v>
      </c>
      <c r="Q418" t="s">
        <v>47</v>
      </c>
      <c r="R418" t="s">
        <v>350</v>
      </c>
      <c r="S418" t="s">
        <v>343</v>
      </c>
      <c r="T418" t="s">
        <v>343</v>
      </c>
    </row>
    <row r="419" spans="2:20" x14ac:dyDescent="0.25">
      <c r="B419">
        <v>414</v>
      </c>
      <c r="C419" t="s">
        <v>757</v>
      </c>
      <c r="D419" s="10">
        <v>0.2286390443800029</v>
      </c>
      <c r="E419" s="10">
        <v>0.80974390212463798</v>
      </c>
      <c r="F419" s="10">
        <v>0.59895621470548899</v>
      </c>
      <c r="G419" s="10">
        <v>0.45690714456885789</v>
      </c>
      <c r="H419" s="6">
        <v>0.20987983914258571</v>
      </c>
      <c r="I419" s="10">
        <v>6.4852864914485711</v>
      </c>
      <c r="J419" s="7">
        <v>3.6214827963259782E-2</v>
      </c>
      <c r="K419" s="5">
        <v>0.16318986977103331</v>
      </c>
      <c r="L419">
        <v>240.12488498607169</v>
      </c>
      <c r="M419" s="10">
        <v>-0.59326819523685248</v>
      </c>
      <c r="N419" s="24" t="s">
        <v>343</v>
      </c>
      <c r="O419" s="24">
        <v>15.40390828578885</v>
      </c>
      <c r="P419">
        <v>63.149679462221613</v>
      </c>
      <c r="Q419" t="s">
        <v>47</v>
      </c>
      <c r="R419" t="s">
        <v>350</v>
      </c>
      <c r="S419" t="s">
        <v>343</v>
      </c>
      <c r="T419" t="s">
        <v>343</v>
      </c>
    </row>
    <row r="420" spans="2:20" x14ac:dyDescent="0.25">
      <c r="B420">
        <v>415</v>
      </c>
      <c r="C420" t="s">
        <v>758</v>
      </c>
      <c r="D420" s="10">
        <v>0.28013937084663959</v>
      </c>
      <c r="E420" s="10">
        <v>1.2141587849870721</v>
      </c>
      <c r="F420" s="10">
        <v>0.46775153732379537</v>
      </c>
      <c r="G420" s="10">
        <v>0.29169846451880832</v>
      </c>
      <c r="H420" s="6">
        <v>0.1867647859346078</v>
      </c>
      <c r="I420" s="10">
        <v>10.33558171727196</v>
      </c>
      <c r="J420" s="7">
        <v>2.8235381914980529E-2</v>
      </c>
      <c r="K420" s="5">
        <v>0.15862679493919421</v>
      </c>
      <c r="L420">
        <v>272.53079051176508</v>
      </c>
      <c r="M420" s="10">
        <v>-0.53837795576744518</v>
      </c>
      <c r="N420" s="24" t="s">
        <v>343</v>
      </c>
      <c r="O420" s="24">
        <v>18.69732265395329</v>
      </c>
      <c r="P420">
        <v>18.208593715364898</v>
      </c>
      <c r="Q420" t="s">
        <v>348</v>
      </c>
      <c r="R420" t="s">
        <v>371</v>
      </c>
      <c r="S420" t="s">
        <v>343</v>
      </c>
      <c r="T420" t="s">
        <v>343</v>
      </c>
    </row>
    <row r="421" spans="2:20" x14ac:dyDescent="0.25">
      <c r="B421">
        <v>416</v>
      </c>
      <c r="C421" t="s">
        <v>759</v>
      </c>
      <c r="D421" s="10">
        <v>0.28072685985354923</v>
      </c>
      <c r="E421" s="10">
        <v>0.40877992398054858</v>
      </c>
      <c r="F421" s="10">
        <v>0.58570699260405878</v>
      </c>
      <c r="G421" s="10">
        <v>0.38733378986232558</v>
      </c>
      <c r="H421" s="6">
        <v>0.14184578277601539</v>
      </c>
      <c r="I421" s="10">
        <v>3.3457498712886489</v>
      </c>
      <c r="J421" s="7">
        <v>4.015973486464805E-2</v>
      </c>
      <c r="K421" s="5">
        <v>0.18929021329106999</v>
      </c>
      <c r="L421">
        <v>81.286361401476157</v>
      </c>
      <c r="M421" s="10">
        <v>-0.86231435997410444</v>
      </c>
      <c r="N421" s="24" t="s">
        <v>343</v>
      </c>
      <c r="O421" s="24">
        <v>0</v>
      </c>
      <c r="P421">
        <v>63.294029052903298</v>
      </c>
      <c r="Q421" t="s">
        <v>47</v>
      </c>
      <c r="R421" t="s">
        <v>350</v>
      </c>
      <c r="S421" t="s">
        <v>343</v>
      </c>
      <c r="T421" t="s">
        <v>343</v>
      </c>
    </row>
    <row r="422" spans="2:20" x14ac:dyDescent="0.25">
      <c r="B422">
        <v>417</v>
      </c>
      <c r="C422" t="s">
        <v>760</v>
      </c>
      <c r="D422" s="10">
        <v>0.1764998190137492</v>
      </c>
      <c r="E422" s="10">
        <v>0.45920622667187938</v>
      </c>
      <c r="F422" s="10">
        <v>0.45915187872443552</v>
      </c>
      <c r="G422" s="10">
        <v>0.42515898105036609</v>
      </c>
      <c r="H422" s="6">
        <v>0.20302548500233</v>
      </c>
      <c r="I422" s="10">
        <v>6.9617660558671144</v>
      </c>
      <c r="J422" s="7">
        <v>3.9653280219374691E-2</v>
      </c>
      <c r="K422" s="5">
        <v>0.1798641716984157</v>
      </c>
      <c r="L422">
        <v>99.511148495650701</v>
      </c>
      <c r="M422" s="10">
        <v>-0.83144458757767958</v>
      </c>
      <c r="N422" s="24" t="s">
        <v>343</v>
      </c>
      <c r="O422" s="24">
        <v>1.113324745339227</v>
      </c>
      <c r="P422">
        <v>60.379151935583693</v>
      </c>
      <c r="Q422" t="s">
        <v>47</v>
      </c>
      <c r="R422" t="s">
        <v>350</v>
      </c>
      <c r="S422" t="s">
        <v>343</v>
      </c>
      <c r="T422" t="s">
        <v>343</v>
      </c>
    </row>
    <row r="423" spans="2:20" x14ac:dyDescent="0.25">
      <c r="B423">
        <v>418</v>
      </c>
      <c r="C423" t="s">
        <v>761</v>
      </c>
      <c r="D423" s="10">
        <v>0.30440846506873059</v>
      </c>
      <c r="E423" s="10">
        <v>0.63710350448549558</v>
      </c>
      <c r="F423" s="10">
        <v>0.58166236685101846</v>
      </c>
      <c r="G423" s="10">
        <v>0.29140966257118478</v>
      </c>
      <c r="H423" s="6">
        <v>0.26661723453992719</v>
      </c>
      <c r="I423" s="10">
        <v>5.837714294988249</v>
      </c>
      <c r="J423" s="7">
        <v>2.7308096530177961E-2</v>
      </c>
      <c r="K423" s="5">
        <v>0.18960797705520169</v>
      </c>
      <c r="L423">
        <v>129.48162349205629</v>
      </c>
      <c r="M423" s="10">
        <v>-0.78067956426239959</v>
      </c>
      <c r="N423" s="24" t="s">
        <v>343</v>
      </c>
      <c r="O423" s="24">
        <v>4.1592261442560243</v>
      </c>
      <c r="P423">
        <v>64.388129971160097</v>
      </c>
      <c r="Q423" t="s">
        <v>47</v>
      </c>
      <c r="R423" t="s">
        <v>350</v>
      </c>
      <c r="S423" t="s">
        <v>343</v>
      </c>
      <c r="T423" t="s">
        <v>343</v>
      </c>
    </row>
    <row r="424" spans="2:20" x14ac:dyDescent="0.25">
      <c r="B424">
        <v>419</v>
      </c>
      <c r="C424" t="s">
        <v>762</v>
      </c>
      <c r="D424" s="10">
        <v>0.24084037959165719</v>
      </c>
      <c r="E424" s="10">
        <v>1.142452585632689</v>
      </c>
      <c r="F424" s="10">
        <v>0.58370087907832424</v>
      </c>
      <c r="G424" s="10">
        <v>0.28128973955061498</v>
      </c>
      <c r="H424" s="6">
        <v>0.23807789935984269</v>
      </c>
      <c r="I424" s="10">
        <v>5.4708387305627078</v>
      </c>
      <c r="J424" s="7">
        <v>1.6841296372126498E-2</v>
      </c>
      <c r="K424" s="5">
        <v>0.1917802241998928</v>
      </c>
      <c r="L424">
        <v>94.248057930055765</v>
      </c>
      <c r="M424" s="10">
        <v>-0.8403593917409401</v>
      </c>
      <c r="N424" s="24" t="s">
        <v>343</v>
      </c>
      <c r="O424" s="24">
        <v>0.57843649554359899</v>
      </c>
      <c r="P424">
        <v>18.71602974258267</v>
      </c>
      <c r="Q424" t="s">
        <v>348</v>
      </c>
      <c r="R424" t="s">
        <v>375</v>
      </c>
      <c r="S424" t="s">
        <v>343</v>
      </c>
      <c r="T424" t="s">
        <v>343</v>
      </c>
    </row>
    <row r="425" spans="2:20" x14ac:dyDescent="0.25">
      <c r="B425">
        <v>420</v>
      </c>
      <c r="C425" t="s">
        <v>763</v>
      </c>
      <c r="D425" s="10">
        <v>0.29223319457723868</v>
      </c>
      <c r="E425" s="10">
        <v>0.63633470547126869</v>
      </c>
      <c r="F425" s="10">
        <v>0.66735408414179331</v>
      </c>
      <c r="G425" s="10">
        <v>0.2424664251144017</v>
      </c>
      <c r="H425" s="6">
        <v>0.23212477271301549</v>
      </c>
      <c r="I425" s="10">
        <v>4.9773518987965959</v>
      </c>
      <c r="J425" s="7">
        <v>3.578246253135324E-2</v>
      </c>
      <c r="K425" s="5">
        <v>0.14187681091806409</v>
      </c>
      <c r="L425">
        <v>125.7366934355728</v>
      </c>
      <c r="M425" s="10">
        <v>-0.78702285584033682</v>
      </c>
      <c r="N425" s="24" t="s">
        <v>343</v>
      </c>
      <c r="O425" s="24">
        <v>3.7786286495797938</v>
      </c>
      <c r="P425">
        <v>51.887872312013421</v>
      </c>
      <c r="Q425" t="s">
        <v>47</v>
      </c>
      <c r="R425" t="s">
        <v>350</v>
      </c>
      <c r="S425" t="s">
        <v>343</v>
      </c>
      <c r="T425" t="s">
        <v>343</v>
      </c>
    </row>
    <row r="426" spans="2:20" x14ac:dyDescent="0.25">
      <c r="B426">
        <v>421</v>
      </c>
      <c r="C426" t="s">
        <v>764</v>
      </c>
      <c r="D426" s="10">
        <v>0.21120793616489791</v>
      </c>
      <c r="E426" s="10">
        <v>0.74926057824856174</v>
      </c>
      <c r="F426" s="10">
        <v>0.62851495007079639</v>
      </c>
      <c r="G426" s="10">
        <v>0.33063174052713568</v>
      </c>
      <c r="H426" s="6">
        <v>0.21649632040944439</v>
      </c>
      <c r="I426" s="10">
        <v>11.107696317445489</v>
      </c>
      <c r="J426" s="7">
        <v>2.465373474891535E-2</v>
      </c>
      <c r="K426" s="5">
        <v>0.146351514721411</v>
      </c>
      <c r="L426">
        <v>182.2786429609647</v>
      </c>
      <c r="M426" s="10">
        <v>-0.69125015332921058</v>
      </c>
      <c r="N426" s="24" t="s">
        <v>343</v>
      </c>
      <c r="O426" s="24">
        <v>9.524990800247366</v>
      </c>
      <c r="P426">
        <v>64.219100282543181</v>
      </c>
      <c r="Q426" t="s">
        <v>47</v>
      </c>
      <c r="R426" t="s">
        <v>350</v>
      </c>
      <c r="S426" t="s">
        <v>343</v>
      </c>
      <c r="T426" t="s">
        <v>343</v>
      </c>
    </row>
    <row r="427" spans="2:20" x14ac:dyDescent="0.25">
      <c r="B427">
        <v>422</v>
      </c>
      <c r="C427" t="s">
        <v>765</v>
      </c>
      <c r="D427" s="10">
        <v>0.30328371655939212</v>
      </c>
      <c r="E427" s="10">
        <v>0.63176392292688099</v>
      </c>
      <c r="F427" s="10">
        <v>0.50488362197593117</v>
      </c>
      <c r="G427" s="10">
        <v>0.43787624172683759</v>
      </c>
      <c r="H427" s="6">
        <v>0.17218630102308671</v>
      </c>
      <c r="I427" s="10">
        <v>13.50609774858561</v>
      </c>
      <c r="J427" s="7">
        <v>3.0811961920837402E-2</v>
      </c>
      <c r="K427" s="5">
        <v>0.1267540869874646</v>
      </c>
      <c r="L427">
        <v>217.65465731822661</v>
      </c>
      <c r="M427" s="10">
        <v>-0.63132904117254784</v>
      </c>
      <c r="N427" s="24" t="s">
        <v>343</v>
      </c>
      <c r="O427" s="24">
        <v>13.12025752964713</v>
      </c>
      <c r="P427">
        <v>54.870442324999438</v>
      </c>
      <c r="Q427" t="s">
        <v>47</v>
      </c>
      <c r="R427" t="s">
        <v>350</v>
      </c>
      <c r="S427" t="s">
        <v>343</v>
      </c>
      <c r="T427" t="s">
        <v>343</v>
      </c>
    </row>
    <row r="428" spans="2:20" x14ac:dyDescent="0.25">
      <c r="B428">
        <v>423</v>
      </c>
      <c r="C428" t="s">
        <v>766</v>
      </c>
      <c r="D428" s="10">
        <v>0.2222722685974661</v>
      </c>
      <c r="E428" s="10">
        <v>0.38824672098113289</v>
      </c>
      <c r="F428" s="10">
        <v>0.67099079696884278</v>
      </c>
      <c r="G428" s="10">
        <v>0.43865552279239678</v>
      </c>
      <c r="H428" s="6">
        <v>0.14544227917175681</v>
      </c>
      <c r="I428" s="10">
        <v>7.2324770985413709</v>
      </c>
      <c r="J428" s="7">
        <v>1.3754285156087859E-2</v>
      </c>
      <c r="K428" s="5">
        <v>0.14830107824650951</v>
      </c>
      <c r="L428">
        <v>137.10920383008951</v>
      </c>
      <c r="M428" s="10">
        <v>-0.76775970584354358</v>
      </c>
      <c r="N428" s="24" t="s">
        <v>343</v>
      </c>
      <c r="O428" s="24">
        <v>4.9344176493873917</v>
      </c>
      <c r="P428">
        <v>26.995897724422569</v>
      </c>
      <c r="Q428" t="s">
        <v>348</v>
      </c>
      <c r="R428" t="s">
        <v>351</v>
      </c>
      <c r="S428" t="s">
        <v>343</v>
      </c>
      <c r="T428" t="s">
        <v>343</v>
      </c>
    </row>
    <row r="429" spans="2:20" x14ac:dyDescent="0.25">
      <c r="B429">
        <v>424</v>
      </c>
      <c r="C429" t="s">
        <v>767</v>
      </c>
      <c r="D429" s="10">
        <v>0.16173402423684771</v>
      </c>
      <c r="E429" s="10">
        <v>1.3333769851858059</v>
      </c>
      <c r="F429" s="10">
        <v>0.58904309286048151</v>
      </c>
      <c r="G429" s="10">
        <v>0.26810348805198359</v>
      </c>
      <c r="H429" s="6">
        <v>0.15368274024640349</v>
      </c>
      <c r="I429" s="10">
        <v>3.540136375988451</v>
      </c>
      <c r="J429" s="7">
        <v>3.2105439633059729E-2</v>
      </c>
      <c r="K429" s="5">
        <v>0.1143178963289251</v>
      </c>
      <c r="L429">
        <v>154.29940715245209</v>
      </c>
      <c r="M429" s="10">
        <v>-0.73864234709101129</v>
      </c>
      <c r="N429" s="24" t="s">
        <v>343</v>
      </c>
      <c r="O429" s="24">
        <v>6.6814591745393201</v>
      </c>
      <c r="P429">
        <v>23.144426995836781</v>
      </c>
      <c r="Q429" t="s">
        <v>348</v>
      </c>
      <c r="R429" t="s">
        <v>353</v>
      </c>
      <c r="S429" t="s">
        <v>343</v>
      </c>
      <c r="T429" t="s">
        <v>343</v>
      </c>
    </row>
    <row r="430" spans="2:20" x14ac:dyDescent="0.25">
      <c r="B430">
        <v>425</v>
      </c>
      <c r="C430" t="s">
        <v>768</v>
      </c>
      <c r="D430" s="10">
        <v>0.30486111622708217</v>
      </c>
      <c r="E430" s="10">
        <v>0.90339289127830757</v>
      </c>
      <c r="F430" s="10">
        <v>0.59765866442924875</v>
      </c>
      <c r="G430" s="10">
        <v>0.28495754571624687</v>
      </c>
      <c r="H430" s="6">
        <v>0.1209483134313975</v>
      </c>
      <c r="I430" s="10">
        <v>10.90802995039836</v>
      </c>
      <c r="J430" s="7">
        <v>2.307426711307935E-2</v>
      </c>
      <c r="K430" s="5">
        <v>0.16378594127202881</v>
      </c>
      <c r="L430">
        <v>158.1661380508815</v>
      </c>
      <c r="M430" s="10">
        <v>-0.73209274504979494</v>
      </c>
      <c r="N430" s="24" t="s">
        <v>343</v>
      </c>
      <c r="O430" s="24">
        <v>7.0744352970123003</v>
      </c>
      <c r="P430">
        <v>57.381948862297037</v>
      </c>
      <c r="Q430" t="s">
        <v>47</v>
      </c>
      <c r="R430" t="s">
        <v>350</v>
      </c>
      <c r="S430" t="s">
        <v>343</v>
      </c>
      <c r="T430" t="s">
        <v>343</v>
      </c>
    </row>
    <row r="431" spans="2:20" x14ac:dyDescent="0.25">
      <c r="B431">
        <v>426</v>
      </c>
      <c r="C431" t="s">
        <v>769</v>
      </c>
      <c r="D431" s="10">
        <v>0.1746058682857814</v>
      </c>
      <c r="E431" s="10">
        <v>1.166616507004046</v>
      </c>
      <c r="F431" s="10">
        <v>0.48393515599776638</v>
      </c>
      <c r="G431" s="10">
        <v>0.32977041280559738</v>
      </c>
      <c r="H431" s="6">
        <v>0.2210220631347532</v>
      </c>
      <c r="I431" s="10">
        <v>8.9202476790994858</v>
      </c>
      <c r="J431" s="7">
        <v>2.1696641240147311E-2</v>
      </c>
      <c r="K431" s="5">
        <v>0.1023685907931778</v>
      </c>
      <c r="L431">
        <v>236.629311948436</v>
      </c>
      <c r="M431" s="10">
        <v>-0.59918911730355706</v>
      </c>
      <c r="N431" s="24" t="s">
        <v>343</v>
      </c>
      <c r="O431" s="24">
        <v>15.04865296178658</v>
      </c>
      <c r="P431">
        <v>53.383379888378812</v>
      </c>
      <c r="Q431" t="s">
        <v>47</v>
      </c>
      <c r="R431" t="s">
        <v>350</v>
      </c>
      <c r="S431" t="s">
        <v>343</v>
      </c>
      <c r="T431" t="s">
        <v>343</v>
      </c>
    </row>
    <row r="432" spans="2:20" x14ac:dyDescent="0.25">
      <c r="B432">
        <v>427</v>
      </c>
      <c r="C432" t="s">
        <v>770</v>
      </c>
      <c r="D432" s="10">
        <v>0.21109018201446639</v>
      </c>
      <c r="E432" s="10">
        <v>1.024192801403826</v>
      </c>
      <c r="F432" s="10">
        <v>0.66302113495196957</v>
      </c>
      <c r="G432" s="10">
        <v>0.41173739993601438</v>
      </c>
      <c r="H432" s="6">
        <v>0.24178163378346509</v>
      </c>
      <c r="I432" s="10">
        <v>10.96009075230389</v>
      </c>
      <c r="J432" s="7">
        <v>4.4297045257223042E-2</v>
      </c>
      <c r="K432" s="5">
        <v>0.12238463684712721</v>
      </c>
      <c r="L432">
        <v>481.22321764615032</v>
      </c>
      <c r="M432" s="10">
        <v>-0.18488753125899129</v>
      </c>
      <c r="N432" s="24" t="s">
        <v>343</v>
      </c>
      <c r="O432" s="24">
        <v>42.87136906079165</v>
      </c>
      <c r="P432">
        <v>53.687919819956029</v>
      </c>
      <c r="Q432" t="s">
        <v>47</v>
      </c>
      <c r="R432" t="s">
        <v>350</v>
      </c>
      <c r="S432" t="s">
        <v>343</v>
      </c>
      <c r="T432" t="s">
        <v>343</v>
      </c>
    </row>
    <row r="433" spans="2:20" x14ac:dyDescent="0.25">
      <c r="B433">
        <v>428</v>
      </c>
      <c r="C433" t="s">
        <v>771</v>
      </c>
      <c r="D433" s="10">
        <v>0.31200991472812878</v>
      </c>
      <c r="E433" s="10">
        <v>0.86567970696817254</v>
      </c>
      <c r="F433" s="10">
        <v>0.68205092990430138</v>
      </c>
      <c r="G433" s="10">
        <v>0.3746073263769803</v>
      </c>
      <c r="H433" s="6">
        <v>0.16033670267970901</v>
      </c>
      <c r="I433" s="10">
        <v>10.126945806187971</v>
      </c>
      <c r="J433" s="7">
        <v>2.5135072496608651E-2</v>
      </c>
      <c r="K433" s="5">
        <v>0.1197668113281749</v>
      </c>
      <c r="L433">
        <v>264.82769278663483</v>
      </c>
      <c r="M433" s="10">
        <v>-0.55142572813885471</v>
      </c>
      <c r="N433" s="24" t="s">
        <v>343</v>
      </c>
      <c r="O433" s="24">
        <v>17.914456311668719</v>
      </c>
      <c r="P433">
        <v>59.006696054222559</v>
      </c>
      <c r="Q433" t="s">
        <v>47</v>
      </c>
      <c r="R433" t="s">
        <v>350</v>
      </c>
      <c r="S433" t="s">
        <v>343</v>
      </c>
      <c r="T433" t="s">
        <v>343</v>
      </c>
    </row>
    <row r="434" spans="2:20" x14ac:dyDescent="0.25">
      <c r="B434">
        <v>429</v>
      </c>
      <c r="C434" t="s">
        <v>772</v>
      </c>
      <c r="D434" s="10">
        <v>0.31209714351000889</v>
      </c>
      <c r="E434" s="10">
        <v>0.39864608232531812</v>
      </c>
      <c r="F434" s="10">
        <v>0.64149756886867615</v>
      </c>
      <c r="G434" s="10">
        <v>0.3530469435744476</v>
      </c>
      <c r="H434" s="6">
        <v>0.13377755994664081</v>
      </c>
      <c r="I434" s="10">
        <v>12.959795790598241</v>
      </c>
      <c r="J434" s="7">
        <v>3.3731343234050692E-2</v>
      </c>
      <c r="K434" s="5">
        <v>0.1890994617850951</v>
      </c>
      <c r="L434">
        <v>176.67993697135461</v>
      </c>
      <c r="M434" s="10">
        <v>-0.70073343446279435</v>
      </c>
      <c r="N434" s="24" t="s">
        <v>343</v>
      </c>
      <c r="O434" s="24">
        <v>8.9559939322323423</v>
      </c>
      <c r="P434">
        <v>53.73949366759647</v>
      </c>
      <c r="Q434" t="s">
        <v>47</v>
      </c>
      <c r="R434" t="s">
        <v>350</v>
      </c>
      <c r="S434" t="s">
        <v>343</v>
      </c>
      <c r="T434" t="s">
        <v>343</v>
      </c>
    </row>
    <row r="435" spans="2:20" x14ac:dyDescent="0.25">
      <c r="B435">
        <v>430</v>
      </c>
      <c r="C435" t="s">
        <v>773</v>
      </c>
      <c r="D435" s="10">
        <v>0.25175006209972578</v>
      </c>
      <c r="E435" s="10">
        <v>1.0070068997973349</v>
      </c>
      <c r="F435" s="10">
        <v>0.6845956376877016</v>
      </c>
      <c r="G435" s="10">
        <v>0.37022501452897272</v>
      </c>
      <c r="H435" s="6">
        <v>0.1703590601732877</v>
      </c>
      <c r="I435" s="10">
        <v>4.5448421199960922</v>
      </c>
      <c r="J435" s="7">
        <v>3.1970463745084443E-2</v>
      </c>
      <c r="K435" s="5">
        <v>0.1137656664122457</v>
      </c>
      <c r="L435">
        <v>234.38524175545089</v>
      </c>
      <c r="M435" s="10">
        <v>-0.60299020072588105</v>
      </c>
      <c r="N435" s="24" t="s">
        <v>343</v>
      </c>
      <c r="O435" s="24">
        <v>14.82058795644714</v>
      </c>
      <c r="P435">
        <v>58.527091337097303</v>
      </c>
      <c r="Q435" t="s">
        <v>47</v>
      </c>
      <c r="R435" t="s">
        <v>350</v>
      </c>
      <c r="S435" t="s">
        <v>343</v>
      </c>
      <c r="T435" t="s">
        <v>343</v>
      </c>
    </row>
    <row r="436" spans="2:20" x14ac:dyDescent="0.25">
      <c r="B436">
        <v>431</v>
      </c>
      <c r="C436" t="s">
        <v>774</v>
      </c>
      <c r="D436" s="10">
        <v>0.26109395394716789</v>
      </c>
      <c r="E436" s="10">
        <v>0.47090739153051531</v>
      </c>
      <c r="F436" s="10">
        <v>0.51859797507180994</v>
      </c>
      <c r="G436" s="10">
        <v>0.26116393263650528</v>
      </c>
      <c r="H436" s="6">
        <v>0.1638076844125467</v>
      </c>
      <c r="I436" s="10">
        <v>4.8607802978571568</v>
      </c>
      <c r="J436" s="7">
        <v>1.365062428098052E-2</v>
      </c>
      <c r="K436" s="5">
        <v>0.18462366782439391</v>
      </c>
      <c r="L436">
        <v>73.857792147027851</v>
      </c>
      <c r="M436" s="10">
        <v>-0.87489712656176988</v>
      </c>
      <c r="N436" s="24" t="s">
        <v>343</v>
      </c>
      <c r="O436" s="24">
        <v>0</v>
      </c>
      <c r="P436">
        <v>60.228659496417443</v>
      </c>
      <c r="Q436" t="s">
        <v>47</v>
      </c>
      <c r="R436" t="s">
        <v>350</v>
      </c>
      <c r="S436" t="s">
        <v>343</v>
      </c>
      <c r="T436" t="s">
        <v>343</v>
      </c>
    </row>
    <row r="437" spans="2:20" x14ac:dyDescent="0.25">
      <c r="B437">
        <v>432</v>
      </c>
      <c r="C437" t="s">
        <v>775</v>
      </c>
      <c r="D437" s="10">
        <v>0.23175128351653121</v>
      </c>
      <c r="E437" s="10">
        <v>0.75582148629190415</v>
      </c>
      <c r="F437" s="10">
        <v>0.66389098377432043</v>
      </c>
      <c r="G437" s="10">
        <v>0.34508600129607953</v>
      </c>
      <c r="H437" s="6">
        <v>0.1876314541166598</v>
      </c>
      <c r="I437" s="10">
        <v>6.7572614642545066</v>
      </c>
      <c r="J437" s="7">
        <v>3.6177463797251057E-2</v>
      </c>
      <c r="K437" s="5">
        <v>0.1118140310299756</v>
      </c>
      <c r="L437">
        <v>194.2524203013532</v>
      </c>
      <c r="M437" s="10">
        <v>-0.67096855666016564</v>
      </c>
      <c r="N437" s="24" t="s">
        <v>343</v>
      </c>
      <c r="O437" s="24">
        <v>10.74188660039006</v>
      </c>
      <c r="P437">
        <v>58.969576274713383</v>
      </c>
      <c r="Q437" t="s">
        <v>47</v>
      </c>
      <c r="R437" t="s">
        <v>350</v>
      </c>
      <c r="S437" t="s">
        <v>343</v>
      </c>
      <c r="T437" t="s">
        <v>343</v>
      </c>
    </row>
    <row r="438" spans="2:20" x14ac:dyDescent="0.25">
      <c r="B438">
        <v>433</v>
      </c>
      <c r="C438" t="s">
        <v>776</v>
      </c>
      <c r="D438" s="10">
        <v>0.20691372347169029</v>
      </c>
      <c r="E438" s="10">
        <v>0.99202445782847337</v>
      </c>
      <c r="F438" s="10">
        <v>0.56711221714457305</v>
      </c>
      <c r="G438" s="10">
        <v>0.45825392369860829</v>
      </c>
      <c r="H438" s="6">
        <v>0.15961530814815161</v>
      </c>
      <c r="I438" s="10">
        <v>8.4052769759719794</v>
      </c>
      <c r="J438" s="7">
        <v>2.1310572120175179E-2</v>
      </c>
      <c r="K438" s="5">
        <v>0.1618163086966439</v>
      </c>
      <c r="L438">
        <v>170.43024524546169</v>
      </c>
      <c r="M438" s="10">
        <v>-0.71131937766911035</v>
      </c>
      <c r="N438" s="24" t="s">
        <v>343</v>
      </c>
      <c r="O438" s="24">
        <v>8.3208373398533837</v>
      </c>
      <c r="P438">
        <v>57.8407419939577</v>
      </c>
      <c r="Q438" t="s">
        <v>47</v>
      </c>
      <c r="R438" t="s">
        <v>350</v>
      </c>
      <c r="S438" t="s">
        <v>343</v>
      </c>
      <c r="T438" t="s">
        <v>343</v>
      </c>
    </row>
    <row r="439" spans="2:20" x14ac:dyDescent="0.25">
      <c r="B439">
        <v>434</v>
      </c>
      <c r="C439" t="s">
        <v>777</v>
      </c>
      <c r="D439" s="10">
        <v>0.21258632725918661</v>
      </c>
      <c r="E439" s="10">
        <v>1.1604519005193361</v>
      </c>
      <c r="F439" s="10">
        <v>0.4826184727653321</v>
      </c>
      <c r="G439" s="10">
        <v>0.2594581523265993</v>
      </c>
      <c r="H439" s="6">
        <v>0.17095990580175441</v>
      </c>
      <c r="I439" s="10">
        <v>13.18285159108493</v>
      </c>
      <c r="J439" s="7">
        <v>3.796288422188572E-2</v>
      </c>
      <c r="K439" s="5">
        <v>0.1303891669764671</v>
      </c>
      <c r="L439">
        <v>264.01518219095999</v>
      </c>
      <c r="M439" s="10">
        <v>-0.55280198658448454</v>
      </c>
      <c r="N439" s="24" t="s">
        <v>343</v>
      </c>
      <c r="O439" s="24">
        <v>17.831880804930929</v>
      </c>
      <c r="P439">
        <v>15.742258660507209</v>
      </c>
      <c r="Q439" t="s">
        <v>348</v>
      </c>
      <c r="R439" t="s">
        <v>404</v>
      </c>
      <c r="S439" t="s">
        <v>343</v>
      </c>
      <c r="T439" t="s">
        <v>343</v>
      </c>
    </row>
    <row r="440" spans="2:20" x14ac:dyDescent="0.25">
      <c r="B440">
        <v>435</v>
      </c>
      <c r="C440" t="s">
        <v>778</v>
      </c>
      <c r="D440" s="10">
        <v>0.26760295297232622</v>
      </c>
      <c r="E440" s="10">
        <v>1.053549693279481</v>
      </c>
      <c r="F440" s="10">
        <v>0.61388815574868427</v>
      </c>
      <c r="G440" s="10">
        <v>0.35423426907967498</v>
      </c>
      <c r="H440" s="6">
        <v>0.25613321690238638</v>
      </c>
      <c r="I440" s="10">
        <v>12.97660652284957</v>
      </c>
      <c r="J440" s="7">
        <v>3.1267427391538392E-2</v>
      </c>
      <c r="K440" s="5">
        <v>0.1300202250119642</v>
      </c>
      <c r="L440">
        <v>416.855034948313</v>
      </c>
      <c r="M440" s="10">
        <v>-0.29391657720537018</v>
      </c>
      <c r="N440" s="24" t="s">
        <v>343</v>
      </c>
      <c r="O440" s="24">
        <v>33.365005367677789</v>
      </c>
      <c r="P440">
        <v>51.141350633325672</v>
      </c>
      <c r="Q440" t="s">
        <v>47</v>
      </c>
      <c r="R440" t="s">
        <v>350</v>
      </c>
      <c r="S440" t="s">
        <v>343</v>
      </c>
      <c r="T440" t="s">
        <v>343</v>
      </c>
    </row>
    <row r="441" spans="2:20" x14ac:dyDescent="0.25">
      <c r="B441">
        <v>436</v>
      </c>
      <c r="C441" t="s">
        <v>779</v>
      </c>
      <c r="D441" s="10">
        <v>0.28037992471002882</v>
      </c>
      <c r="E441" s="10">
        <v>1.0386868819600921</v>
      </c>
      <c r="F441" s="10">
        <v>0.61787127038352851</v>
      </c>
      <c r="G441" s="10">
        <v>0.30504283756462242</v>
      </c>
      <c r="H441" s="6">
        <v>0.1702253029334409</v>
      </c>
      <c r="I441" s="10">
        <v>12.590593311963151</v>
      </c>
      <c r="J441" s="7">
        <v>2.109820214837213E-2</v>
      </c>
      <c r="K441" s="5">
        <v>0.1948357545115392</v>
      </c>
      <c r="L441">
        <v>204.87095977301229</v>
      </c>
      <c r="M441" s="10">
        <v>-0.65298250859393903</v>
      </c>
      <c r="N441" s="24" t="s">
        <v>343</v>
      </c>
      <c r="O441" s="24">
        <v>11.821049484363661</v>
      </c>
      <c r="P441">
        <v>57.795003287618073</v>
      </c>
      <c r="Q441" t="s">
        <v>47</v>
      </c>
      <c r="R441" t="s">
        <v>350</v>
      </c>
      <c r="S441" t="s">
        <v>343</v>
      </c>
      <c r="T441" t="s">
        <v>343</v>
      </c>
    </row>
    <row r="442" spans="2:20" x14ac:dyDescent="0.25">
      <c r="B442">
        <v>437</v>
      </c>
      <c r="C442" t="s">
        <v>780</v>
      </c>
      <c r="D442" s="10">
        <v>0.2866526469961358</v>
      </c>
      <c r="E442" s="10">
        <v>0.46394643009272818</v>
      </c>
      <c r="F442" s="10">
        <v>0.51460037357673949</v>
      </c>
      <c r="G442" s="10">
        <v>0.35878092530963102</v>
      </c>
      <c r="H442" s="6">
        <v>0.23782770700948461</v>
      </c>
      <c r="I442" s="10">
        <v>5.4477962733795113</v>
      </c>
      <c r="J442" s="7">
        <v>2.2470253611587481E-2</v>
      </c>
      <c r="K442" s="5">
        <v>0.1214740714903278</v>
      </c>
      <c r="L442">
        <v>140.794116418595</v>
      </c>
      <c r="M442" s="10">
        <v>-0.76151807392103688</v>
      </c>
      <c r="N442" s="24" t="s">
        <v>343</v>
      </c>
      <c r="O442" s="24">
        <v>5.3089155647377879</v>
      </c>
      <c r="P442">
        <v>57.884348973646887</v>
      </c>
      <c r="Q442" t="s">
        <v>47</v>
      </c>
      <c r="R442" t="s">
        <v>350</v>
      </c>
      <c r="S442" t="s">
        <v>343</v>
      </c>
      <c r="T442" t="s">
        <v>343</v>
      </c>
    </row>
    <row r="443" spans="2:20" x14ac:dyDescent="0.25">
      <c r="B443">
        <v>438</v>
      </c>
      <c r="C443" t="s">
        <v>781</v>
      </c>
      <c r="D443" s="10">
        <v>0.2863389028471286</v>
      </c>
      <c r="E443" s="10">
        <v>0.68074139407874656</v>
      </c>
      <c r="F443" s="10">
        <v>0.44714826622316822</v>
      </c>
      <c r="G443" s="10">
        <v>0.36624012720742433</v>
      </c>
      <c r="H443" s="6">
        <v>0.21387505503366891</v>
      </c>
      <c r="I443" s="10">
        <v>11.02644014935054</v>
      </c>
      <c r="J443" s="7">
        <v>3.560275793832262E-2</v>
      </c>
      <c r="K443" s="5">
        <v>0.11924320645377209</v>
      </c>
      <c r="L443">
        <v>240.2564175668922</v>
      </c>
      <c r="M443" s="10">
        <v>-0.59304540081891699</v>
      </c>
      <c r="N443" s="24" t="s">
        <v>343</v>
      </c>
      <c r="O443" s="24">
        <v>15.41727595086498</v>
      </c>
      <c r="P443">
        <v>13.18045719673197</v>
      </c>
      <c r="Q443" t="s">
        <v>348</v>
      </c>
      <c r="R443" t="s">
        <v>371</v>
      </c>
      <c r="S443" t="s">
        <v>343</v>
      </c>
      <c r="T443" t="s">
        <v>343</v>
      </c>
    </row>
    <row r="444" spans="2:20" x14ac:dyDescent="0.25">
      <c r="B444">
        <v>439</v>
      </c>
      <c r="C444" t="s">
        <v>782</v>
      </c>
      <c r="D444" s="10">
        <v>0.17459297648779051</v>
      </c>
      <c r="E444" s="10">
        <v>0.34720349992621358</v>
      </c>
      <c r="F444" s="10">
        <v>0.49196028736224651</v>
      </c>
      <c r="G444" s="10">
        <v>0.36704403758628468</v>
      </c>
      <c r="H444" s="6">
        <v>0.17063069184470611</v>
      </c>
      <c r="I444" s="10">
        <v>7.2184091849950534</v>
      </c>
      <c r="J444" s="7">
        <v>2.9252076029300859E-2</v>
      </c>
      <c r="K444" s="5">
        <v>0.15598680116430649</v>
      </c>
      <c r="L444">
        <v>86.755126089935175</v>
      </c>
      <c r="M444" s="10">
        <v>-0.85305117789411744</v>
      </c>
      <c r="N444" s="24" t="s">
        <v>343</v>
      </c>
      <c r="O444" s="24">
        <v>0</v>
      </c>
      <c r="P444">
        <v>71.249858956982166</v>
      </c>
      <c r="Q444" t="s">
        <v>47</v>
      </c>
      <c r="R444" t="s">
        <v>350</v>
      </c>
      <c r="S444" t="s">
        <v>343</v>
      </c>
      <c r="T444" t="s">
        <v>343</v>
      </c>
    </row>
    <row r="445" spans="2:20" x14ac:dyDescent="0.25">
      <c r="B445">
        <v>440</v>
      </c>
      <c r="C445" t="s">
        <v>783</v>
      </c>
      <c r="D445" s="10">
        <v>0.23910724875241299</v>
      </c>
      <c r="E445" s="10">
        <v>1.0914245824941109</v>
      </c>
      <c r="F445" s="10">
        <v>0.54394216239521054</v>
      </c>
      <c r="G445" s="10">
        <v>0.42748593276839508</v>
      </c>
      <c r="H445" s="6">
        <v>0.2426682404670526</v>
      </c>
      <c r="I445" s="10">
        <v>13.24301220295188</v>
      </c>
      <c r="J445" s="7">
        <v>3.339228642349603E-2</v>
      </c>
      <c r="K445" s="5">
        <v>0.17037147771771441</v>
      </c>
      <c r="L445">
        <v>377.27917197564818</v>
      </c>
      <c r="M445" s="10">
        <v>-0.36095153767131538</v>
      </c>
      <c r="N445" s="24" t="s">
        <v>343</v>
      </c>
      <c r="O445" s="24">
        <v>29.34290773972107</v>
      </c>
      <c r="P445">
        <v>18.287918367656001</v>
      </c>
      <c r="Q445" t="s">
        <v>348</v>
      </c>
      <c r="R445" t="s">
        <v>375</v>
      </c>
      <c r="S445" t="s">
        <v>343</v>
      </c>
      <c r="T445" t="s">
        <v>343</v>
      </c>
    </row>
    <row r="446" spans="2:20" x14ac:dyDescent="0.25">
      <c r="B446">
        <v>441</v>
      </c>
      <c r="C446" t="s">
        <v>784</v>
      </c>
      <c r="D446" s="10">
        <v>0.1692094016026631</v>
      </c>
      <c r="E446" s="10">
        <v>1.3478445794491609</v>
      </c>
      <c r="F446" s="10">
        <v>0.48356635687556582</v>
      </c>
      <c r="G446" s="10">
        <v>0.3257444312282054</v>
      </c>
      <c r="H446" s="6">
        <v>0.20926141043943969</v>
      </c>
      <c r="I446" s="10">
        <v>5.3598942001641277</v>
      </c>
      <c r="J446" s="7">
        <v>1.5541141237631589E-2</v>
      </c>
      <c r="K446" s="5">
        <v>0.19333792973472749</v>
      </c>
      <c r="L446">
        <v>117.0072398148701</v>
      </c>
      <c r="M446" s="10">
        <v>-0.80180910519533621</v>
      </c>
      <c r="N446" s="24" t="s">
        <v>343</v>
      </c>
      <c r="O446" s="24">
        <v>2.891453688279825</v>
      </c>
      <c r="P446">
        <v>50.852609685358892</v>
      </c>
      <c r="Q446" t="s">
        <v>47</v>
      </c>
      <c r="R446" t="s">
        <v>350</v>
      </c>
      <c r="S446" t="s">
        <v>343</v>
      </c>
      <c r="T446" t="s">
        <v>343</v>
      </c>
    </row>
    <row r="447" spans="2:20" x14ac:dyDescent="0.25">
      <c r="B447">
        <v>442</v>
      </c>
      <c r="C447" t="s">
        <v>785</v>
      </c>
      <c r="D447" s="10">
        <v>0.2479246211717977</v>
      </c>
      <c r="E447" s="10">
        <v>0.59052142919698336</v>
      </c>
      <c r="F447" s="10">
        <v>0.49044778654229709</v>
      </c>
      <c r="G447" s="10">
        <v>0.35359791578662908</v>
      </c>
      <c r="H447" s="6">
        <v>0.12129280913983501</v>
      </c>
      <c r="I447" s="10">
        <v>4.5538374852435526</v>
      </c>
      <c r="J447" s="7">
        <v>3.754418352799465E-2</v>
      </c>
      <c r="K447" s="5">
        <v>0.16663430855255881</v>
      </c>
      <c r="L447">
        <v>62.880247216955517</v>
      </c>
      <c r="M447" s="10">
        <v>-0.89349127044459087</v>
      </c>
      <c r="N447" s="24" t="s">
        <v>343</v>
      </c>
      <c r="O447" s="24">
        <v>0</v>
      </c>
      <c r="P447">
        <v>56.745741687082308</v>
      </c>
      <c r="Q447" t="s">
        <v>47</v>
      </c>
      <c r="R447" t="s">
        <v>350</v>
      </c>
      <c r="S447" t="s">
        <v>343</v>
      </c>
      <c r="T447" t="s">
        <v>343</v>
      </c>
    </row>
    <row r="448" spans="2:20" x14ac:dyDescent="0.25">
      <c r="B448">
        <v>443</v>
      </c>
      <c r="C448" t="s">
        <v>786</v>
      </c>
      <c r="D448" s="10">
        <v>0.23064488021974031</v>
      </c>
      <c r="E448" s="10">
        <v>0.39646638007854018</v>
      </c>
      <c r="F448" s="10">
        <v>0.54176157273939007</v>
      </c>
      <c r="G448" s="10">
        <v>0.2424042477729047</v>
      </c>
      <c r="H448" s="6">
        <v>0.13030923023586</v>
      </c>
      <c r="I448" s="10">
        <v>12.266236920968639</v>
      </c>
      <c r="J448" s="7">
        <v>2.1213696162026209E-2</v>
      </c>
      <c r="K448" s="5">
        <v>0.15337775129378889</v>
      </c>
      <c r="L448">
        <v>145.90059878173429</v>
      </c>
      <c r="M448" s="10">
        <v>-0.75286853812772969</v>
      </c>
      <c r="N448" s="24" t="s">
        <v>343</v>
      </c>
      <c r="O448" s="24">
        <v>5.8278877123362207</v>
      </c>
      <c r="P448">
        <v>58.089997923051577</v>
      </c>
      <c r="Q448" t="s">
        <v>47</v>
      </c>
      <c r="R448" t="s">
        <v>350</v>
      </c>
      <c r="S448" t="s">
        <v>343</v>
      </c>
      <c r="T448" t="s">
        <v>343</v>
      </c>
    </row>
    <row r="449" spans="2:20" x14ac:dyDescent="0.25">
      <c r="B449">
        <v>444</v>
      </c>
      <c r="C449" t="s">
        <v>787</v>
      </c>
      <c r="D449" s="10">
        <v>0.30203266924132799</v>
      </c>
      <c r="E449" s="10">
        <v>0.82312708442901883</v>
      </c>
      <c r="F449" s="10">
        <v>0.69006451972022564</v>
      </c>
      <c r="G449" s="10">
        <v>0.41370113234754868</v>
      </c>
      <c r="H449" s="6">
        <v>0.23289593391784791</v>
      </c>
      <c r="I449" s="10">
        <v>10.88598354630909</v>
      </c>
      <c r="J449" s="7">
        <v>3.1695144350518567E-2</v>
      </c>
      <c r="K449" s="5">
        <v>0.13886751318701829</v>
      </c>
      <c r="L449">
        <v>220.40647163025221</v>
      </c>
      <c r="M449" s="10">
        <v>-0.62666792326480503</v>
      </c>
      <c r="N449" s="24" t="s">
        <v>343</v>
      </c>
      <c r="O449" s="24">
        <v>13.3999246041117</v>
      </c>
      <c r="P449">
        <v>46.116538022814183</v>
      </c>
      <c r="Q449" t="s">
        <v>346</v>
      </c>
      <c r="R449" t="s">
        <v>347</v>
      </c>
      <c r="S449" t="s">
        <v>343</v>
      </c>
      <c r="T449" t="s">
        <v>343</v>
      </c>
    </row>
    <row r="450" spans="2:20" x14ac:dyDescent="0.25">
      <c r="B450">
        <v>445</v>
      </c>
      <c r="C450" t="s">
        <v>788</v>
      </c>
      <c r="D450" s="10">
        <v>0.2161464020083326</v>
      </c>
      <c r="E450" s="10">
        <v>1.2423680454403261</v>
      </c>
      <c r="F450" s="10">
        <v>0.63870331400598856</v>
      </c>
      <c r="G450" s="10">
        <v>0.29708729562268771</v>
      </c>
      <c r="H450" s="6">
        <v>0.1869791684377792</v>
      </c>
      <c r="I450" s="10">
        <v>12.035638460462129</v>
      </c>
      <c r="J450" s="7">
        <v>1.40137938834703E-2</v>
      </c>
      <c r="K450" s="5">
        <v>0.15653571685240331</v>
      </c>
      <c r="L450">
        <v>248.8676122089993</v>
      </c>
      <c r="M450" s="10">
        <v>-0.57845946259700332</v>
      </c>
      <c r="N450" s="24" t="s">
        <v>343</v>
      </c>
      <c r="O450" s="24">
        <v>16.2924322441798</v>
      </c>
      <c r="P450">
        <v>60.041438891037899</v>
      </c>
      <c r="Q450" t="s">
        <v>47</v>
      </c>
      <c r="R450" t="s">
        <v>350</v>
      </c>
      <c r="S450" t="s">
        <v>343</v>
      </c>
      <c r="T450" t="s">
        <v>343</v>
      </c>
    </row>
    <row r="451" spans="2:20" x14ac:dyDescent="0.25">
      <c r="B451">
        <v>446</v>
      </c>
      <c r="C451" t="s">
        <v>789</v>
      </c>
      <c r="D451" s="10">
        <v>0.17873072262841691</v>
      </c>
      <c r="E451" s="10">
        <v>0.90717161479895769</v>
      </c>
      <c r="F451" s="10">
        <v>0.52313458431890669</v>
      </c>
      <c r="G451" s="10">
        <v>0.41964210528891371</v>
      </c>
      <c r="H451" s="6">
        <v>0.1808261687615311</v>
      </c>
      <c r="I451" s="10">
        <v>4.7373772644594041</v>
      </c>
      <c r="J451" s="7">
        <v>2.1249708440493838E-2</v>
      </c>
      <c r="K451" s="5">
        <v>0.15707932469150571</v>
      </c>
      <c r="L451">
        <v>119.78295500736721</v>
      </c>
      <c r="M451" s="10">
        <v>-0.79710750315263956</v>
      </c>
      <c r="N451" s="24" t="s">
        <v>343</v>
      </c>
      <c r="O451" s="24">
        <v>3.1735498108416209</v>
      </c>
      <c r="P451">
        <v>59.659187726401527</v>
      </c>
      <c r="Q451" t="s">
        <v>47</v>
      </c>
      <c r="R451" t="s">
        <v>350</v>
      </c>
      <c r="S451" t="s">
        <v>343</v>
      </c>
      <c r="T451" t="s">
        <v>343</v>
      </c>
    </row>
    <row r="452" spans="2:20" x14ac:dyDescent="0.25">
      <c r="B452">
        <v>447</v>
      </c>
      <c r="C452" t="s">
        <v>790</v>
      </c>
      <c r="D452" s="10">
        <v>0.18287866912845371</v>
      </c>
      <c r="E452" s="10">
        <v>0.35145486520912461</v>
      </c>
      <c r="F452" s="10">
        <v>0.68741705791882246</v>
      </c>
      <c r="G452" s="10">
        <v>0.29844050660366978</v>
      </c>
      <c r="H452" s="6">
        <v>0.14187407762937121</v>
      </c>
      <c r="I452" s="10">
        <v>12.732719565244089</v>
      </c>
      <c r="J452" s="7">
        <v>3.2710355257332457E-2</v>
      </c>
      <c r="K452" s="5">
        <v>0.1206825919171108</v>
      </c>
      <c r="L452">
        <v>115.0135192125673</v>
      </c>
      <c r="M452" s="10">
        <v>-0.80518613785405091</v>
      </c>
      <c r="N452" s="24" t="s">
        <v>343</v>
      </c>
      <c r="O452" s="24">
        <v>2.6888317287569521</v>
      </c>
      <c r="P452">
        <v>59.844437050126857</v>
      </c>
      <c r="Q452" t="s">
        <v>47</v>
      </c>
      <c r="R452" t="s">
        <v>350</v>
      </c>
      <c r="S452" t="s">
        <v>343</v>
      </c>
      <c r="T452" t="s">
        <v>343</v>
      </c>
    </row>
    <row r="453" spans="2:20" x14ac:dyDescent="0.25">
      <c r="B453">
        <v>448</v>
      </c>
      <c r="C453" t="s">
        <v>791</v>
      </c>
      <c r="D453" s="10">
        <v>0.28184170107479561</v>
      </c>
      <c r="E453" s="10">
        <v>1.371699464580741</v>
      </c>
      <c r="F453" s="10">
        <v>0.60786816598727045</v>
      </c>
      <c r="G453" s="10">
        <v>0.2423734691777483</v>
      </c>
      <c r="H453" s="6">
        <v>0.14359778909419049</v>
      </c>
      <c r="I453" s="10">
        <v>10.453823923118501</v>
      </c>
      <c r="J453" s="7">
        <v>1.9597214630158771E-2</v>
      </c>
      <c r="K453" s="5">
        <v>0.1637648133457113</v>
      </c>
      <c r="L453">
        <v>257.98046643203048</v>
      </c>
      <c r="M453" s="10">
        <v>-0.5630237960900023</v>
      </c>
      <c r="N453" s="24" t="s">
        <v>343</v>
      </c>
      <c r="O453" s="24">
        <v>17.218572234599861</v>
      </c>
      <c r="P453">
        <v>49.360836869146297</v>
      </c>
      <c r="Q453" t="s">
        <v>346</v>
      </c>
      <c r="R453" t="s">
        <v>347</v>
      </c>
      <c r="S453" t="s">
        <v>343</v>
      </c>
      <c r="T453" t="s">
        <v>343</v>
      </c>
    </row>
    <row r="454" spans="2:20" x14ac:dyDescent="0.25">
      <c r="B454">
        <v>449</v>
      </c>
      <c r="C454" t="s">
        <v>792</v>
      </c>
      <c r="D454" s="10">
        <v>0.25891489013060182</v>
      </c>
      <c r="E454" s="10">
        <v>1.2115149009588611</v>
      </c>
      <c r="F454" s="10">
        <v>0.55841690760643647</v>
      </c>
      <c r="G454" s="10">
        <v>0.27406289000255829</v>
      </c>
      <c r="H454" s="6">
        <v>0.23966286751438509</v>
      </c>
      <c r="I454" s="10">
        <v>10.167168831884339</v>
      </c>
      <c r="J454" s="7">
        <v>4.0810926886243597E-2</v>
      </c>
      <c r="K454" s="5">
        <v>0.1194202601131184</v>
      </c>
      <c r="L454">
        <v>270.35618741116281</v>
      </c>
      <c r="M454" s="10">
        <v>-0.5420613734348928</v>
      </c>
      <c r="N454" s="24" t="s">
        <v>343</v>
      </c>
      <c r="O454" s="24">
        <v>18.47631759390643</v>
      </c>
      <c r="P454">
        <v>56.616572524072382</v>
      </c>
      <c r="Q454" t="s">
        <v>47</v>
      </c>
      <c r="R454" t="s">
        <v>350</v>
      </c>
      <c r="S454" t="s">
        <v>343</v>
      </c>
      <c r="T454" t="s">
        <v>343</v>
      </c>
    </row>
    <row r="455" spans="2:20" x14ac:dyDescent="0.25">
      <c r="B455">
        <v>450</v>
      </c>
      <c r="C455" t="s">
        <v>793</v>
      </c>
      <c r="D455" s="10">
        <v>0.17617962817964641</v>
      </c>
      <c r="E455" s="10">
        <v>0.44475348475666121</v>
      </c>
      <c r="F455" s="10">
        <v>0.56175805172833826</v>
      </c>
      <c r="G455" s="10">
        <v>0.45685023856587698</v>
      </c>
      <c r="H455" s="6">
        <v>0.24435257009421829</v>
      </c>
      <c r="I455" s="10">
        <v>9.4084224940786036</v>
      </c>
      <c r="J455" s="7">
        <v>3.314299398051971E-2</v>
      </c>
      <c r="K455" s="5">
        <v>0.14654570822255911</v>
      </c>
      <c r="L455">
        <v>178.329189684037</v>
      </c>
      <c r="M455" s="10">
        <v>-0.69793987338569574</v>
      </c>
      <c r="N455" s="24" t="s">
        <v>343</v>
      </c>
      <c r="O455" s="24">
        <v>9.1236075968582568</v>
      </c>
      <c r="P455">
        <v>51.825703583742531</v>
      </c>
      <c r="Q455" t="s">
        <v>47</v>
      </c>
      <c r="R455" t="s">
        <v>350</v>
      </c>
      <c r="S455" t="s">
        <v>343</v>
      </c>
      <c r="T455" t="s">
        <v>343</v>
      </c>
    </row>
    <row r="456" spans="2:20" x14ac:dyDescent="0.25">
      <c r="B456">
        <v>451</v>
      </c>
      <c r="C456" t="s">
        <v>794</v>
      </c>
      <c r="D456" s="10">
        <v>0.17345708897839959</v>
      </c>
      <c r="E456" s="10">
        <v>1.31397753215386</v>
      </c>
      <c r="F456" s="10">
        <v>0.54679356163720183</v>
      </c>
      <c r="G456" s="10">
        <v>0.31035627410855748</v>
      </c>
      <c r="H456" s="6">
        <v>0.2040003810958094</v>
      </c>
      <c r="I456" s="10">
        <v>11.41364134150294</v>
      </c>
      <c r="J456" s="7">
        <v>4.0459743765387843E-2</v>
      </c>
      <c r="K456" s="5">
        <v>0.12468760369984171</v>
      </c>
      <c r="L456">
        <v>317.97704224056378</v>
      </c>
      <c r="M456" s="10">
        <v>-0.46139952853593702</v>
      </c>
      <c r="N456" s="24" t="s">
        <v>343</v>
      </c>
      <c r="O456" s="24">
        <v>23.316028287843778</v>
      </c>
      <c r="P456">
        <v>55.44348799950167</v>
      </c>
      <c r="Q456" t="s">
        <v>47</v>
      </c>
      <c r="R456" t="s">
        <v>350</v>
      </c>
      <c r="S456" t="s">
        <v>343</v>
      </c>
      <c r="T456" t="s">
        <v>343</v>
      </c>
    </row>
    <row r="457" spans="2:20" x14ac:dyDescent="0.25">
      <c r="B457">
        <v>452</v>
      </c>
      <c r="C457" t="s">
        <v>795</v>
      </c>
      <c r="D457" s="10">
        <v>0.27215506103345921</v>
      </c>
      <c r="E457" s="10">
        <v>0.79575711746570743</v>
      </c>
      <c r="F457" s="10">
        <v>0.50057793366194425</v>
      </c>
      <c r="G457" s="10">
        <v>0.26394125844280442</v>
      </c>
      <c r="H457" s="6">
        <v>0.1642691714708531</v>
      </c>
      <c r="I457" s="10">
        <v>7.5716914526868591</v>
      </c>
      <c r="J457" s="7">
        <v>2.3838674578789219E-2</v>
      </c>
      <c r="K457" s="5">
        <v>0.1297160972543264</v>
      </c>
      <c r="L457">
        <v>101.1166062837044</v>
      </c>
      <c r="M457" s="10">
        <v>-0.82872520785306658</v>
      </c>
      <c r="N457" s="24" t="s">
        <v>343</v>
      </c>
      <c r="O457" s="24">
        <v>1.276487528816006</v>
      </c>
      <c r="P457">
        <v>65.037993811263007</v>
      </c>
      <c r="Q457" t="s">
        <v>47</v>
      </c>
      <c r="R457" t="s">
        <v>350</v>
      </c>
      <c r="S457" t="s">
        <v>343</v>
      </c>
      <c r="T457" t="s">
        <v>343</v>
      </c>
    </row>
    <row r="458" spans="2:20" x14ac:dyDescent="0.25">
      <c r="B458">
        <v>453</v>
      </c>
      <c r="C458" t="s">
        <v>796</v>
      </c>
      <c r="D458" s="10">
        <v>0.171642081018271</v>
      </c>
      <c r="E458" s="10">
        <v>0.70908778963243524</v>
      </c>
      <c r="F458" s="10">
        <v>0.54052436997556352</v>
      </c>
      <c r="G458" s="10">
        <v>0.26612693679766508</v>
      </c>
      <c r="H458" s="6">
        <v>0.25990512250017461</v>
      </c>
      <c r="I458" s="10">
        <v>4.4610337052648399</v>
      </c>
      <c r="J458" s="7">
        <v>1.1189479991863619E-2</v>
      </c>
      <c r="K458" s="5">
        <v>0.15831831689962281</v>
      </c>
      <c r="L458">
        <v>58.25561137588199</v>
      </c>
      <c r="M458" s="10">
        <v>-0.90132463799465246</v>
      </c>
      <c r="N458" s="24" t="s">
        <v>343</v>
      </c>
      <c r="O458" s="24">
        <v>0</v>
      </c>
      <c r="P458">
        <v>57.299933988192272</v>
      </c>
      <c r="Q458" t="s">
        <v>47</v>
      </c>
      <c r="R458" t="s">
        <v>350</v>
      </c>
      <c r="S458" t="s">
        <v>343</v>
      </c>
      <c r="T458" t="s">
        <v>343</v>
      </c>
    </row>
    <row r="459" spans="2:20" x14ac:dyDescent="0.25">
      <c r="B459">
        <v>454</v>
      </c>
      <c r="C459" t="s">
        <v>797</v>
      </c>
      <c r="D459" s="10">
        <v>0.29149760948645698</v>
      </c>
      <c r="E459" s="10">
        <v>0.80715866357990707</v>
      </c>
      <c r="F459" s="10">
        <v>0.57725305985128206</v>
      </c>
      <c r="G459" s="10">
        <v>0.30827539709258922</v>
      </c>
      <c r="H459" s="6">
        <v>0.213594358649284</v>
      </c>
      <c r="I459" s="10">
        <v>8.9319135314361624</v>
      </c>
      <c r="J459" s="7">
        <v>3.0164898717428591E-2</v>
      </c>
      <c r="K459" s="5">
        <v>0.106126085900091</v>
      </c>
      <c r="L459">
        <v>118.35420020129609</v>
      </c>
      <c r="M459" s="10">
        <v>-0.79952757727728108</v>
      </c>
      <c r="N459" s="24" t="s">
        <v>343</v>
      </c>
      <c r="O459" s="24">
        <v>3.0283453633631372</v>
      </c>
      <c r="P459">
        <v>54.116830739315731</v>
      </c>
      <c r="Q459" t="s">
        <v>47</v>
      </c>
      <c r="R459" t="s">
        <v>350</v>
      </c>
      <c r="S459" t="s">
        <v>343</v>
      </c>
      <c r="T459" t="s">
        <v>343</v>
      </c>
    </row>
    <row r="460" spans="2:20" x14ac:dyDescent="0.25">
      <c r="B460">
        <v>455</v>
      </c>
      <c r="C460" t="s">
        <v>798</v>
      </c>
      <c r="D460" s="10">
        <v>0.2729987563450394</v>
      </c>
      <c r="E460" s="10">
        <v>1.218029152558042</v>
      </c>
      <c r="F460" s="10">
        <v>0.57728711118985743</v>
      </c>
      <c r="G460" s="10">
        <v>0.24828190904568789</v>
      </c>
      <c r="H460" s="6">
        <v>0.23949631791776821</v>
      </c>
      <c r="I460" s="10">
        <v>11.229121535509179</v>
      </c>
      <c r="J460" s="7">
        <v>2.1871772595388032E-2</v>
      </c>
      <c r="K460" s="5">
        <v>0.10114330745580161</v>
      </c>
      <c r="L460">
        <v>411.20452143535317</v>
      </c>
      <c r="M460" s="10">
        <v>-0.30348761170726279</v>
      </c>
      <c r="N460" s="24" t="s">
        <v>343</v>
      </c>
      <c r="O460" s="24">
        <v>32.790743297564227</v>
      </c>
      <c r="P460">
        <v>15.212741875054</v>
      </c>
      <c r="Q460" t="s">
        <v>348</v>
      </c>
      <c r="R460" t="s">
        <v>353</v>
      </c>
      <c r="S460" t="s">
        <v>343</v>
      </c>
      <c r="T460" t="s">
        <v>343</v>
      </c>
    </row>
    <row r="461" spans="2:20" x14ac:dyDescent="0.25">
      <c r="B461">
        <v>456</v>
      </c>
      <c r="C461" t="s">
        <v>799</v>
      </c>
      <c r="D461" s="10">
        <v>0.17301580490270399</v>
      </c>
      <c r="E461" s="10">
        <v>1.0254276461154641</v>
      </c>
      <c r="F461" s="10">
        <v>0.63805159457525462</v>
      </c>
      <c r="G461" s="10">
        <v>0.35252748938682982</v>
      </c>
      <c r="H461" s="6">
        <v>0.1204924380432323</v>
      </c>
      <c r="I461" s="10">
        <v>4.6901219817642614</v>
      </c>
      <c r="J461" s="7">
        <v>2.5686593157282361E-2</v>
      </c>
      <c r="K461" s="5">
        <v>0.1124089009070262</v>
      </c>
      <c r="L461">
        <v>124.110761262628</v>
      </c>
      <c r="M461" s="10">
        <v>-0.78977691578361453</v>
      </c>
      <c r="N461" s="24" t="s">
        <v>343</v>
      </c>
      <c r="O461" s="24">
        <v>3.613385052983126</v>
      </c>
      <c r="P461">
        <v>55.794090290519492</v>
      </c>
      <c r="Q461" t="s">
        <v>47</v>
      </c>
      <c r="R461" t="s">
        <v>350</v>
      </c>
      <c r="S461" t="s">
        <v>343</v>
      </c>
      <c r="T461" t="s">
        <v>343</v>
      </c>
    </row>
    <row r="462" spans="2:20" x14ac:dyDescent="0.25">
      <c r="B462">
        <v>457</v>
      </c>
      <c r="C462" t="s">
        <v>800</v>
      </c>
      <c r="D462" s="10">
        <v>0.17357403425363069</v>
      </c>
      <c r="E462" s="10">
        <v>0.3651732976397003</v>
      </c>
      <c r="F462" s="10">
        <v>0.53328744286091168</v>
      </c>
      <c r="G462" s="10">
        <v>0.28702300140765041</v>
      </c>
      <c r="H462" s="6">
        <v>0.1875479401313041</v>
      </c>
      <c r="I462" s="10">
        <v>5.4642273437232234</v>
      </c>
      <c r="J462" s="7">
        <v>3.383885748729621E-2</v>
      </c>
      <c r="K462" s="5">
        <v>0.11602716291707731</v>
      </c>
      <c r="L462">
        <v>65.736435638908006</v>
      </c>
      <c r="M462" s="10">
        <v>-0.88865336007277873</v>
      </c>
      <c r="N462" s="24" t="s">
        <v>343</v>
      </c>
      <c r="O462" s="24">
        <v>0</v>
      </c>
      <c r="P462">
        <v>61.833186307685352</v>
      </c>
      <c r="Q462" t="s">
        <v>47</v>
      </c>
      <c r="R462" t="s">
        <v>350</v>
      </c>
      <c r="S462" t="s">
        <v>343</v>
      </c>
      <c r="T462" t="s">
        <v>343</v>
      </c>
    </row>
    <row r="463" spans="2:20" x14ac:dyDescent="0.25">
      <c r="B463">
        <v>458</v>
      </c>
      <c r="C463" t="s">
        <v>801</v>
      </c>
      <c r="D463" s="10">
        <v>0.31786233256018809</v>
      </c>
      <c r="E463" s="10">
        <v>1.353364808227788</v>
      </c>
      <c r="F463" s="10">
        <v>0.62636748761902761</v>
      </c>
      <c r="G463" s="10">
        <v>0.3542483411073119</v>
      </c>
      <c r="H463" s="6">
        <v>0.25064236294799341</v>
      </c>
      <c r="I463" s="10">
        <v>10.66200184272796</v>
      </c>
      <c r="J463" s="7">
        <v>3.4523263347480508E-2</v>
      </c>
      <c r="K463" s="5">
        <v>0.1187979319643352</v>
      </c>
      <c r="L463">
        <v>654.95943786290115</v>
      </c>
      <c r="M463" s="10">
        <v>0.1093928654003786</v>
      </c>
      <c r="N463" s="24" t="s">
        <v>343</v>
      </c>
      <c r="O463" s="24">
        <v>57.215355573928072</v>
      </c>
      <c r="P463">
        <v>9.8136971088192553</v>
      </c>
      <c r="Q463" t="s">
        <v>348</v>
      </c>
      <c r="R463" t="s">
        <v>375</v>
      </c>
      <c r="S463" t="s">
        <v>343</v>
      </c>
      <c r="T463" t="s">
        <v>343</v>
      </c>
    </row>
    <row r="464" spans="2:20" x14ac:dyDescent="0.25">
      <c r="B464">
        <v>459</v>
      </c>
      <c r="C464" t="s">
        <v>802</v>
      </c>
      <c r="D464" s="10">
        <v>0.21988332732097929</v>
      </c>
      <c r="E464" s="10">
        <v>0.4625625468261495</v>
      </c>
      <c r="F464" s="10">
        <v>0.59030387807985796</v>
      </c>
      <c r="G464" s="10">
        <v>0.27096812811382842</v>
      </c>
      <c r="H464" s="6">
        <v>0.1707349924849082</v>
      </c>
      <c r="I464" s="10">
        <v>5.9661602750701039</v>
      </c>
      <c r="J464" s="7">
        <v>1.096447452030354E-2</v>
      </c>
      <c r="K464" s="5">
        <v>0.17352345167037561</v>
      </c>
      <c r="L464">
        <v>79.271097044416436</v>
      </c>
      <c r="M464" s="10">
        <v>-0.86572788418701252</v>
      </c>
      <c r="N464" s="24" t="s">
        <v>343</v>
      </c>
      <c r="O464" s="24">
        <v>0</v>
      </c>
      <c r="P464">
        <v>57.827181562968271</v>
      </c>
      <c r="Q464" t="s">
        <v>47</v>
      </c>
      <c r="R464" t="s">
        <v>350</v>
      </c>
      <c r="S464" t="s">
        <v>343</v>
      </c>
      <c r="T464" t="s">
        <v>343</v>
      </c>
    </row>
    <row r="465" spans="2:20" x14ac:dyDescent="0.25">
      <c r="B465">
        <v>460</v>
      </c>
      <c r="C465" t="s">
        <v>803</v>
      </c>
      <c r="D465" s="10">
        <v>0.21930274353070259</v>
      </c>
      <c r="E465" s="10">
        <v>1.120124746908886</v>
      </c>
      <c r="F465" s="10">
        <v>0.69007980517697698</v>
      </c>
      <c r="G465" s="10">
        <v>0.33456859038384829</v>
      </c>
      <c r="H465" s="6">
        <v>0.22898267653084209</v>
      </c>
      <c r="I465" s="10">
        <v>4.8693494664526096</v>
      </c>
      <c r="J465" s="7">
        <v>3.6925593549386473E-2</v>
      </c>
      <c r="K465" s="5">
        <v>0.1424515068685985</v>
      </c>
      <c r="L465">
        <v>171.01076288814309</v>
      </c>
      <c r="M465" s="10">
        <v>-0.71033607688161227</v>
      </c>
      <c r="N465" s="24" t="s">
        <v>343</v>
      </c>
      <c r="O465" s="24">
        <v>8.3798353871032631</v>
      </c>
      <c r="P465">
        <v>56.694315845713291</v>
      </c>
      <c r="Q465" t="s">
        <v>47</v>
      </c>
      <c r="R465" t="s">
        <v>350</v>
      </c>
      <c r="S465" t="s">
        <v>343</v>
      </c>
      <c r="T465" t="s">
        <v>343</v>
      </c>
    </row>
    <row r="466" spans="2:20" x14ac:dyDescent="0.25">
      <c r="B466">
        <v>461</v>
      </c>
      <c r="C466" t="s">
        <v>804</v>
      </c>
      <c r="D466" s="10">
        <v>0.29004793076120039</v>
      </c>
      <c r="E466" s="10">
        <v>0.99975018347094391</v>
      </c>
      <c r="F466" s="10">
        <v>0.54017408076883544</v>
      </c>
      <c r="G466" s="10">
        <v>0.37154170884827381</v>
      </c>
      <c r="H466" s="6">
        <v>0.21865122376929691</v>
      </c>
      <c r="I466" s="10">
        <v>12.78331285035828</v>
      </c>
      <c r="J466" s="7">
        <v>2.727316202346276E-2</v>
      </c>
      <c r="K466" s="5">
        <v>0.1446439327152059</v>
      </c>
      <c r="L466">
        <v>173.1391869848552</v>
      </c>
      <c r="M466" s="10">
        <v>-0.70673087880225749</v>
      </c>
      <c r="N466" s="24" t="s">
        <v>343</v>
      </c>
      <c r="O466" s="24">
        <v>8.5961472718645489</v>
      </c>
      <c r="P466">
        <v>49.63484410995725</v>
      </c>
      <c r="Q466" t="s">
        <v>346</v>
      </c>
      <c r="R466" t="s">
        <v>347</v>
      </c>
      <c r="S466" t="s">
        <v>343</v>
      </c>
      <c r="T466" t="s">
        <v>343</v>
      </c>
    </row>
    <row r="467" spans="2:20" x14ac:dyDescent="0.25">
      <c r="B467">
        <v>462</v>
      </c>
      <c r="C467" t="s">
        <v>805</v>
      </c>
      <c r="D467" s="10">
        <v>0.31155977238141741</v>
      </c>
      <c r="E467" s="10">
        <v>0.50628085274121692</v>
      </c>
      <c r="F467" s="10">
        <v>0.67431628070780547</v>
      </c>
      <c r="G467" s="10">
        <v>0.25363998643438368</v>
      </c>
      <c r="H467" s="6">
        <v>0.1428327549531449</v>
      </c>
      <c r="I467" s="10">
        <v>4.7698489165957119</v>
      </c>
      <c r="J467" s="7">
        <v>2.948445706635925E-2</v>
      </c>
      <c r="K467" s="5">
        <v>0.16121174547127659</v>
      </c>
      <c r="L467">
        <v>134.02861845346189</v>
      </c>
      <c r="M467" s="10">
        <v>-0.77297770750978234</v>
      </c>
      <c r="N467" s="24" t="s">
        <v>343</v>
      </c>
      <c r="O467" s="24">
        <v>4.621337549413056</v>
      </c>
      <c r="P467">
        <v>21.44122243169852</v>
      </c>
      <c r="Q467" t="s">
        <v>348</v>
      </c>
      <c r="R467" t="s">
        <v>351</v>
      </c>
      <c r="S467" t="s">
        <v>343</v>
      </c>
      <c r="T467" t="s">
        <v>343</v>
      </c>
    </row>
    <row r="468" spans="2:20" x14ac:dyDescent="0.25">
      <c r="B468">
        <v>463</v>
      </c>
      <c r="C468" t="s">
        <v>806</v>
      </c>
      <c r="D468" s="10">
        <v>0.31776017021165942</v>
      </c>
      <c r="E468" s="10">
        <v>0.48780528372435461</v>
      </c>
      <c r="F468" s="10">
        <v>0.65336706229755526</v>
      </c>
      <c r="G468" s="10">
        <v>0.32772484803523289</v>
      </c>
      <c r="H468" s="6">
        <v>0.23623557408816079</v>
      </c>
      <c r="I468" s="10">
        <v>6.7856343695207686</v>
      </c>
      <c r="J468" s="7">
        <v>2.0429796481644839E-2</v>
      </c>
      <c r="K468" s="5">
        <v>0.1692653329992205</v>
      </c>
      <c r="L468">
        <v>136.86871352935219</v>
      </c>
      <c r="M468" s="10">
        <v>-0.76816705660209805</v>
      </c>
      <c r="N468" s="24" t="s">
        <v>343</v>
      </c>
      <c r="O468" s="24">
        <v>4.9099766038741208</v>
      </c>
      <c r="P468">
        <v>55.732628449377778</v>
      </c>
      <c r="Q468" t="s">
        <v>47</v>
      </c>
      <c r="R468" t="s">
        <v>350</v>
      </c>
      <c r="S468" t="s">
        <v>343</v>
      </c>
      <c r="T468" t="s">
        <v>343</v>
      </c>
    </row>
    <row r="469" spans="2:20" x14ac:dyDescent="0.25">
      <c r="B469">
        <v>464</v>
      </c>
      <c r="C469" t="s">
        <v>807</v>
      </c>
      <c r="D469" s="10">
        <v>0.28054050964143068</v>
      </c>
      <c r="E469" s="10">
        <v>1.2573603530751609</v>
      </c>
      <c r="F469" s="10">
        <v>0.60579271399325874</v>
      </c>
      <c r="G469" s="10">
        <v>0.30655524061773132</v>
      </c>
      <c r="H469" s="6">
        <v>0.13687901854691981</v>
      </c>
      <c r="I469" s="10">
        <v>7.7127332163839881</v>
      </c>
      <c r="J469" s="7">
        <v>2.472918251002033E-2</v>
      </c>
      <c r="K469" s="5">
        <v>0.1003332932075764</v>
      </c>
      <c r="L469">
        <v>334.59646459867918</v>
      </c>
      <c r="M469" s="10">
        <v>-0.43324897824945008</v>
      </c>
      <c r="N469" s="24" t="s">
        <v>343</v>
      </c>
      <c r="O469" s="24">
        <v>25.005061305032989</v>
      </c>
      <c r="P469">
        <v>54.791988426609947</v>
      </c>
      <c r="Q469" t="s">
        <v>47</v>
      </c>
      <c r="R469" t="s">
        <v>350</v>
      </c>
      <c r="S469" t="s">
        <v>343</v>
      </c>
      <c r="T469" t="s">
        <v>343</v>
      </c>
    </row>
    <row r="470" spans="2:20" x14ac:dyDescent="0.25">
      <c r="B470">
        <v>465</v>
      </c>
      <c r="C470" t="s">
        <v>808</v>
      </c>
      <c r="D470" s="10">
        <v>0.22020153368494649</v>
      </c>
      <c r="E470" s="10">
        <v>0.7616644158495568</v>
      </c>
      <c r="F470" s="10">
        <v>0.61017376135295043</v>
      </c>
      <c r="G470" s="10">
        <v>0.2928791596274995</v>
      </c>
      <c r="H470" s="6">
        <v>0.2291871144857911</v>
      </c>
      <c r="I470" s="10">
        <v>8.2375398414943604</v>
      </c>
      <c r="J470" s="7">
        <v>3.4863129689276608E-2</v>
      </c>
      <c r="K470" s="5">
        <v>0.18138890690149109</v>
      </c>
      <c r="L470">
        <v>127.47101039646751</v>
      </c>
      <c r="M470" s="10">
        <v>-0.78408521000834841</v>
      </c>
      <c r="N470" s="24" t="s">
        <v>343</v>
      </c>
      <c r="O470" s="24">
        <v>3.9548873994990932</v>
      </c>
      <c r="P470">
        <v>60.60658225476498</v>
      </c>
      <c r="Q470" t="s">
        <v>47</v>
      </c>
      <c r="R470" t="s">
        <v>350</v>
      </c>
      <c r="S470" t="s">
        <v>343</v>
      </c>
      <c r="T470" t="s">
        <v>343</v>
      </c>
    </row>
    <row r="471" spans="2:20" x14ac:dyDescent="0.25">
      <c r="B471">
        <v>466</v>
      </c>
      <c r="C471" t="s">
        <v>809</v>
      </c>
      <c r="D471" s="10">
        <v>0.173360114671787</v>
      </c>
      <c r="E471" s="10">
        <v>1.0200341655915519</v>
      </c>
      <c r="F471" s="10">
        <v>0.4620089829976668</v>
      </c>
      <c r="G471" s="10">
        <v>0.37299761773858919</v>
      </c>
      <c r="H471" s="6">
        <v>0.26864525051686422</v>
      </c>
      <c r="I471" s="10">
        <v>6.9744091840253466</v>
      </c>
      <c r="J471" s="7">
        <v>3.7184983103049053E-2</v>
      </c>
      <c r="K471" s="5">
        <v>0.19390131049104031</v>
      </c>
      <c r="L471">
        <v>193.4096630399834</v>
      </c>
      <c r="M471" s="10">
        <v>-0.6723960479504334</v>
      </c>
      <c r="N471" s="24" t="s">
        <v>343</v>
      </c>
      <c r="O471" s="24">
        <v>10.656237122974</v>
      </c>
      <c r="P471">
        <v>52.216049955357882</v>
      </c>
      <c r="Q471" t="s">
        <v>47</v>
      </c>
      <c r="R471" t="s">
        <v>350</v>
      </c>
      <c r="S471" t="s">
        <v>343</v>
      </c>
      <c r="T471" t="s">
        <v>343</v>
      </c>
    </row>
    <row r="472" spans="2:20" x14ac:dyDescent="0.25">
      <c r="B472">
        <v>467</v>
      </c>
      <c r="C472" t="s">
        <v>810</v>
      </c>
      <c r="D472" s="10">
        <v>0.28434350654838991</v>
      </c>
      <c r="E472" s="10">
        <v>0.85447810424234039</v>
      </c>
      <c r="F472" s="10">
        <v>0.68705839745429231</v>
      </c>
      <c r="G472" s="10">
        <v>0.36947923686838963</v>
      </c>
      <c r="H472" s="6">
        <v>0.26369721477176439</v>
      </c>
      <c r="I472" s="10">
        <v>13.037923493390441</v>
      </c>
      <c r="J472" s="7">
        <v>2.3548716340879228E-2</v>
      </c>
      <c r="K472" s="5">
        <v>0.1115717060626501</v>
      </c>
      <c r="L472">
        <v>577.69684478914428</v>
      </c>
      <c r="M472" s="10">
        <v>-2.1477177175144579E-2</v>
      </c>
      <c r="N472" s="24" t="s">
        <v>345</v>
      </c>
      <c r="O472" s="24">
        <v>90.83867267344506</v>
      </c>
      <c r="P472">
        <v>10.91886418300528</v>
      </c>
      <c r="Q472" t="s">
        <v>348</v>
      </c>
      <c r="R472" t="s">
        <v>353</v>
      </c>
      <c r="S472" t="s">
        <v>343</v>
      </c>
      <c r="T472" t="s">
        <v>343</v>
      </c>
    </row>
    <row r="473" spans="2:20" x14ac:dyDescent="0.25">
      <c r="B473">
        <v>468</v>
      </c>
      <c r="C473" t="s">
        <v>811</v>
      </c>
      <c r="D473" s="10">
        <v>0.2493446799577288</v>
      </c>
      <c r="E473" s="10">
        <v>1.1000888687835551</v>
      </c>
      <c r="F473" s="10">
        <v>0.46780337650889342</v>
      </c>
      <c r="G473" s="10">
        <v>0.37875395746909257</v>
      </c>
      <c r="H473" s="6">
        <v>0.2400362614585507</v>
      </c>
      <c r="I473" s="10">
        <v>10.2448774329388</v>
      </c>
      <c r="J473" s="7">
        <v>3.4189113642796552E-2</v>
      </c>
      <c r="K473" s="5">
        <v>0.16185265544740579</v>
      </c>
      <c r="L473">
        <v>353.16870037346092</v>
      </c>
      <c r="M473" s="10">
        <v>-0.40179068530491913</v>
      </c>
      <c r="N473" s="24" t="s">
        <v>343</v>
      </c>
      <c r="O473" s="24">
        <v>26.892558881704851</v>
      </c>
      <c r="P473">
        <v>23.347887403724592</v>
      </c>
      <c r="Q473" t="s">
        <v>348</v>
      </c>
      <c r="R473" t="s">
        <v>371</v>
      </c>
      <c r="S473" t="s">
        <v>343</v>
      </c>
      <c r="T473" t="s">
        <v>343</v>
      </c>
    </row>
    <row r="474" spans="2:20" x14ac:dyDescent="0.25">
      <c r="B474">
        <v>469</v>
      </c>
      <c r="C474" t="s">
        <v>812</v>
      </c>
      <c r="D474" s="10">
        <v>0.2278755214795162</v>
      </c>
      <c r="E474" s="10">
        <v>0.82716661254326351</v>
      </c>
      <c r="F474" s="10">
        <v>0.58644066027331188</v>
      </c>
      <c r="G474" s="10">
        <v>0.27495418749515471</v>
      </c>
      <c r="H474" s="6">
        <v>0.2001776136344553</v>
      </c>
      <c r="I474" s="10">
        <v>6.9544411414497276</v>
      </c>
      <c r="J474" s="7">
        <v>1.9031522559095331E-2</v>
      </c>
      <c r="K474" s="5">
        <v>0.10022930666809279</v>
      </c>
      <c r="L474">
        <v>91.491082888206634</v>
      </c>
      <c r="M474" s="10">
        <v>-0.84502925107069393</v>
      </c>
      <c r="N474" s="24" t="s">
        <v>343</v>
      </c>
      <c r="O474" s="24">
        <v>0.29824493575836902</v>
      </c>
      <c r="P474">
        <v>58.653918066122372</v>
      </c>
      <c r="Q474" t="s">
        <v>47</v>
      </c>
      <c r="R474" t="s">
        <v>350</v>
      </c>
      <c r="S474" t="s">
        <v>343</v>
      </c>
      <c r="T474" t="s">
        <v>343</v>
      </c>
    </row>
    <row r="475" spans="2:20" x14ac:dyDescent="0.25">
      <c r="B475">
        <v>470</v>
      </c>
      <c r="C475" t="s">
        <v>813</v>
      </c>
      <c r="D475" s="10">
        <v>0.30501670161515781</v>
      </c>
      <c r="E475" s="10">
        <v>0.6161179067811251</v>
      </c>
      <c r="F475" s="10">
        <v>0.52581840811678016</v>
      </c>
      <c r="G475" s="10">
        <v>0.3028560338697121</v>
      </c>
      <c r="H475" s="6">
        <v>0.22122368637311099</v>
      </c>
      <c r="I475" s="10">
        <v>6.9349169149138188</v>
      </c>
      <c r="J475" s="7">
        <v>3.9120793281213033E-2</v>
      </c>
      <c r="K475" s="5">
        <v>0.1046578011865853</v>
      </c>
      <c r="L475">
        <v>245.4525529795196</v>
      </c>
      <c r="M475" s="10">
        <v>-0.58424400760099116</v>
      </c>
      <c r="N475" s="24" t="s">
        <v>343</v>
      </c>
      <c r="O475" s="24">
        <v>15.94535954394053</v>
      </c>
      <c r="P475">
        <v>49.502330932045133</v>
      </c>
      <c r="Q475" t="s">
        <v>346</v>
      </c>
      <c r="R475" t="s">
        <v>347</v>
      </c>
      <c r="S475" t="s">
        <v>343</v>
      </c>
      <c r="T475" t="s">
        <v>343</v>
      </c>
    </row>
    <row r="476" spans="2:20" x14ac:dyDescent="0.25">
      <c r="B476">
        <v>471</v>
      </c>
      <c r="C476" t="s">
        <v>814</v>
      </c>
      <c r="D476" s="10">
        <v>0.17779159716898421</v>
      </c>
      <c r="E476" s="10">
        <v>0.69972170809614598</v>
      </c>
      <c r="F476" s="10">
        <v>0.55176151435536147</v>
      </c>
      <c r="G476" s="10">
        <v>0.28612933115891731</v>
      </c>
      <c r="H476" s="6">
        <v>0.2292162585516139</v>
      </c>
      <c r="I476" s="10">
        <v>8.5324774910322247</v>
      </c>
      <c r="J476" s="7">
        <v>3.1343498361757781E-2</v>
      </c>
      <c r="K476" s="5">
        <v>0.12707509690817531</v>
      </c>
      <c r="L476">
        <v>123.19283760230689</v>
      </c>
      <c r="M476" s="10">
        <v>-0.79133172651061956</v>
      </c>
      <c r="N476" s="24" t="s">
        <v>343</v>
      </c>
      <c r="O476" s="24">
        <v>3.5200964093628291</v>
      </c>
      <c r="P476">
        <v>60.335873426302292</v>
      </c>
      <c r="Q476" t="s">
        <v>47</v>
      </c>
      <c r="R476" t="s">
        <v>350</v>
      </c>
      <c r="S476" t="s">
        <v>343</v>
      </c>
      <c r="T476" t="s">
        <v>343</v>
      </c>
    </row>
    <row r="477" spans="2:20" x14ac:dyDescent="0.25">
      <c r="B477">
        <v>472</v>
      </c>
      <c r="C477" t="s">
        <v>815</v>
      </c>
      <c r="D477" s="10">
        <v>0.23882001668653749</v>
      </c>
      <c r="E477" s="10">
        <v>1.244985463895377</v>
      </c>
      <c r="F477" s="10">
        <v>0.59864758281757235</v>
      </c>
      <c r="G477" s="10">
        <v>0.35891079309952523</v>
      </c>
      <c r="H477" s="6">
        <v>0.1212602286417358</v>
      </c>
      <c r="I477" s="10">
        <v>3.3702952458659658</v>
      </c>
      <c r="J477" s="7">
        <v>3.7131528062341317E-2</v>
      </c>
      <c r="K477" s="5">
        <v>0.18040838801986531</v>
      </c>
      <c r="L477">
        <v>112.0640402960199</v>
      </c>
      <c r="M477" s="10">
        <v>-0.810182066880348</v>
      </c>
      <c r="N477" s="24" t="s">
        <v>343</v>
      </c>
      <c r="O477" s="24">
        <v>2.3890759871791261</v>
      </c>
      <c r="P477">
        <v>55.140662853033071</v>
      </c>
      <c r="Q477" t="s">
        <v>47</v>
      </c>
      <c r="R477" t="s">
        <v>350</v>
      </c>
      <c r="S477" t="s">
        <v>343</v>
      </c>
      <c r="T477" t="s">
        <v>343</v>
      </c>
    </row>
    <row r="478" spans="2:20" x14ac:dyDescent="0.25">
      <c r="B478">
        <v>473</v>
      </c>
      <c r="C478" t="s">
        <v>816</v>
      </c>
      <c r="D478" s="10">
        <v>0.16181658316278699</v>
      </c>
      <c r="E478" s="10">
        <v>0.81483816221499961</v>
      </c>
      <c r="F478" s="10">
        <v>0.67630135824940352</v>
      </c>
      <c r="G478" s="10">
        <v>0.34143445162611558</v>
      </c>
      <c r="H478" s="6">
        <v>0.1353549331429435</v>
      </c>
      <c r="I478" s="10">
        <v>13.193071227162561</v>
      </c>
      <c r="J478" s="7">
        <v>2.6700419831124662E-2</v>
      </c>
      <c r="K478" s="5">
        <v>0.16198758563658511</v>
      </c>
      <c r="L478">
        <v>221.4607866653686</v>
      </c>
      <c r="M478" s="10">
        <v>-0.62488208812719881</v>
      </c>
      <c r="N478" s="24" t="s">
        <v>343</v>
      </c>
      <c r="O478" s="24">
        <v>13.50707471236807</v>
      </c>
      <c r="P478">
        <v>55.352833907511091</v>
      </c>
      <c r="Q478" t="s">
        <v>47</v>
      </c>
      <c r="R478" t="s">
        <v>350</v>
      </c>
      <c r="S478" t="s">
        <v>343</v>
      </c>
      <c r="T478" t="s">
        <v>343</v>
      </c>
    </row>
    <row r="479" spans="2:20" x14ac:dyDescent="0.25">
      <c r="B479">
        <v>474</v>
      </c>
      <c r="C479" t="s">
        <v>817</v>
      </c>
      <c r="D479" s="10">
        <v>0.23498570271906019</v>
      </c>
      <c r="E479" s="10">
        <v>0.53479426546907016</v>
      </c>
      <c r="F479" s="10">
        <v>0.55896745212879839</v>
      </c>
      <c r="G479" s="10">
        <v>0.31266462227040498</v>
      </c>
      <c r="H479" s="6">
        <v>0.20955886981182939</v>
      </c>
      <c r="I479" s="10">
        <v>5.4564031548544651</v>
      </c>
      <c r="J479" s="7">
        <v>1.8018824974368439E-2</v>
      </c>
      <c r="K479" s="5">
        <v>0.14235298853737111</v>
      </c>
      <c r="L479">
        <v>92.910000870035717</v>
      </c>
      <c r="M479" s="10">
        <v>-0.84262583889792508</v>
      </c>
      <c r="N479" s="24" t="s">
        <v>343</v>
      </c>
      <c r="O479" s="24">
        <v>0.44244966612448883</v>
      </c>
      <c r="P479">
        <v>64.096925424391003</v>
      </c>
      <c r="Q479" t="s">
        <v>47</v>
      </c>
      <c r="R479" t="s">
        <v>350</v>
      </c>
      <c r="S479" t="s">
        <v>343</v>
      </c>
      <c r="T479" t="s">
        <v>343</v>
      </c>
    </row>
    <row r="480" spans="2:20" x14ac:dyDescent="0.25">
      <c r="B480">
        <v>475</v>
      </c>
      <c r="C480" t="s">
        <v>818</v>
      </c>
      <c r="D480" s="10">
        <v>0.169008524109094</v>
      </c>
      <c r="E480" s="10">
        <v>1.3280659268849779</v>
      </c>
      <c r="F480" s="10">
        <v>0.69680968437967472</v>
      </c>
      <c r="G480" s="10">
        <v>0.41292325795105528</v>
      </c>
      <c r="H480" s="6">
        <v>0.1209801810214364</v>
      </c>
      <c r="I480" s="10">
        <v>10.67351822257775</v>
      </c>
      <c r="J480" s="7">
        <v>2.502308896597754E-2</v>
      </c>
      <c r="K480" s="5">
        <v>0.14166685499222731</v>
      </c>
      <c r="L480">
        <v>436.41090952472689</v>
      </c>
      <c r="M480" s="10">
        <v>-0.2607921629629732</v>
      </c>
      <c r="N480" s="24" t="s">
        <v>343</v>
      </c>
      <c r="O480" s="24">
        <v>35.352470222221612</v>
      </c>
      <c r="P480">
        <v>47.49213956024898</v>
      </c>
      <c r="Q480" t="s">
        <v>346</v>
      </c>
      <c r="R480" t="s">
        <v>347</v>
      </c>
      <c r="S480" t="s">
        <v>343</v>
      </c>
      <c r="T480" t="s">
        <v>343</v>
      </c>
    </row>
    <row r="481" spans="2:20" x14ac:dyDescent="0.25">
      <c r="B481">
        <v>476</v>
      </c>
      <c r="C481" t="s">
        <v>819</v>
      </c>
      <c r="D481" s="10">
        <v>0.17901086660289151</v>
      </c>
      <c r="E481" s="10">
        <v>1.1762605021482151</v>
      </c>
      <c r="F481" s="10">
        <v>0.59413113699138997</v>
      </c>
      <c r="G481" s="10">
        <v>0.26067422376984423</v>
      </c>
      <c r="H481" s="6">
        <v>0.25633584761602463</v>
      </c>
      <c r="I481" s="10">
        <v>11.55495021706303</v>
      </c>
      <c r="J481" s="7">
        <v>2.335198880674123E-2</v>
      </c>
      <c r="K481" s="5">
        <v>0.14427508956354701</v>
      </c>
      <c r="L481">
        <v>165.31663542567651</v>
      </c>
      <c r="M481" s="10">
        <v>-0.71998098619409268</v>
      </c>
      <c r="N481" s="24" t="s">
        <v>343</v>
      </c>
      <c r="O481" s="24">
        <v>7.8011408283544377</v>
      </c>
      <c r="P481">
        <v>55.321097343161902</v>
      </c>
      <c r="Q481" t="s">
        <v>47</v>
      </c>
      <c r="R481" t="s">
        <v>350</v>
      </c>
      <c r="S481" t="s">
        <v>343</v>
      </c>
      <c r="T481" t="s">
        <v>343</v>
      </c>
    </row>
    <row r="482" spans="2:20" x14ac:dyDescent="0.25">
      <c r="B482">
        <v>477</v>
      </c>
      <c r="C482" t="s">
        <v>820</v>
      </c>
      <c r="D482" s="10">
        <v>0.17880419948433679</v>
      </c>
      <c r="E482" s="10">
        <v>0.36123276066181897</v>
      </c>
      <c r="F482" s="10">
        <v>0.48174402508696529</v>
      </c>
      <c r="G482" s="10">
        <v>0.45447727152624129</v>
      </c>
      <c r="H482" s="6">
        <v>0.1934494069837617</v>
      </c>
      <c r="I482" s="10">
        <v>12.101213167060401</v>
      </c>
      <c r="J482" s="7">
        <v>2.1645079020405571E-2</v>
      </c>
      <c r="K482" s="5">
        <v>0.1295481452410954</v>
      </c>
      <c r="L482">
        <v>291.52276654561052</v>
      </c>
      <c r="M482" s="10">
        <v>-0.50620869230808974</v>
      </c>
      <c r="N482" s="24" t="s">
        <v>343</v>
      </c>
      <c r="O482" s="24">
        <v>20.62747846151462</v>
      </c>
      <c r="P482">
        <v>22.301214535693209</v>
      </c>
      <c r="Q482" t="s">
        <v>348</v>
      </c>
      <c r="R482" t="s">
        <v>371</v>
      </c>
      <c r="S482" t="s">
        <v>343</v>
      </c>
      <c r="T482" t="s">
        <v>343</v>
      </c>
    </row>
    <row r="483" spans="2:20" x14ac:dyDescent="0.25">
      <c r="B483">
        <v>478</v>
      </c>
      <c r="C483" t="s">
        <v>821</v>
      </c>
      <c r="D483" s="10">
        <v>0.26387364833857019</v>
      </c>
      <c r="E483" s="10">
        <v>1.39883725817857</v>
      </c>
      <c r="F483" s="10">
        <v>0.48940241665612561</v>
      </c>
      <c r="G483" s="10">
        <v>0.26563969711937008</v>
      </c>
      <c r="H483" s="6">
        <v>0.15866506134076819</v>
      </c>
      <c r="I483" s="10">
        <v>4.8220654085426062</v>
      </c>
      <c r="J483" s="7">
        <v>1.7426081170951738E-2</v>
      </c>
      <c r="K483" s="5">
        <v>0.18338287917442389</v>
      </c>
      <c r="L483">
        <v>138.83076360677629</v>
      </c>
      <c r="M483" s="10">
        <v>-0.76484366856977193</v>
      </c>
      <c r="N483" s="24" t="s">
        <v>343</v>
      </c>
      <c r="O483" s="24">
        <v>5.1093798858136807</v>
      </c>
      <c r="P483">
        <v>55.07224321954974</v>
      </c>
      <c r="Q483" t="s">
        <v>47</v>
      </c>
      <c r="R483" t="s">
        <v>350</v>
      </c>
      <c r="S483" t="s">
        <v>343</v>
      </c>
      <c r="T483" t="s">
        <v>343</v>
      </c>
    </row>
    <row r="484" spans="2:20" x14ac:dyDescent="0.25">
      <c r="B484">
        <v>479</v>
      </c>
      <c r="C484" t="s">
        <v>822</v>
      </c>
      <c r="D484" s="10">
        <v>0.27936718068246769</v>
      </c>
      <c r="E484" s="10">
        <v>1.0644193660841119</v>
      </c>
      <c r="F484" s="10">
        <v>0.62618886925320527</v>
      </c>
      <c r="G484" s="10">
        <v>0.4100755787650413</v>
      </c>
      <c r="H484" s="6">
        <v>0.17907317543963991</v>
      </c>
      <c r="I484" s="10">
        <v>8.9036237673131247</v>
      </c>
      <c r="J484" s="7">
        <v>3.6570849965793212E-2</v>
      </c>
      <c r="K484" s="5">
        <v>0.15394756746398081</v>
      </c>
      <c r="L484">
        <v>276.96449483955718</v>
      </c>
      <c r="M484" s="10">
        <v>-0.53086799459397649</v>
      </c>
      <c r="N484" s="24" t="s">
        <v>343</v>
      </c>
      <c r="O484" s="24">
        <v>19.147920324361412</v>
      </c>
      <c r="P484">
        <v>55.353954397878901</v>
      </c>
      <c r="Q484" t="s">
        <v>47</v>
      </c>
      <c r="R484" t="s">
        <v>350</v>
      </c>
      <c r="S484" t="s">
        <v>343</v>
      </c>
      <c r="T484" t="s">
        <v>343</v>
      </c>
    </row>
    <row r="485" spans="2:20" x14ac:dyDescent="0.25">
      <c r="B485">
        <v>480</v>
      </c>
      <c r="C485" t="s">
        <v>823</v>
      </c>
      <c r="D485" s="10">
        <v>0.25333900241554552</v>
      </c>
      <c r="E485" s="10">
        <v>0.47629325894464558</v>
      </c>
      <c r="F485" s="10">
        <v>0.45310342650327928</v>
      </c>
      <c r="G485" s="10">
        <v>0.32101064161538301</v>
      </c>
      <c r="H485" s="6">
        <v>0.24761646159600051</v>
      </c>
      <c r="I485" s="10">
        <v>3.9204179835385711</v>
      </c>
      <c r="J485" s="7">
        <v>1.302230814621962E-2</v>
      </c>
      <c r="K485" s="5">
        <v>0.145975246534956</v>
      </c>
      <c r="L485">
        <v>64.853655062981858</v>
      </c>
      <c r="M485" s="10">
        <v>-0.8901486442324239</v>
      </c>
      <c r="N485" s="24" t="s">
        <v>343</v>
      </c>
      <c r="O485" s="24">
        <v>0</v>
      </c>
      <c r="P485">
        <v>55.603251192941329</v>
      </c>
      <c r="Q485" t="s">
        <v>47</v>
      </c>
      <c r="R485" t="s">
        <v>350</v>
      </c>
      <c r="S485" t="s">
        <v>343</v>
      </c>
      <c r="T485" t="s">
        <v>343</v>
      </c>
    </row>
    <row r="486" spans="2:20" x14ac:dyDescent="0.25">
      <c r="B486">
        <v>481</v>
      </c>
      <c r="C486" t="s">
        <v>824</v>
      </c>
      <c r="D486" s="10">
        <v>0.31394760775592673</v>
      </c>
      <c r="E486" s="10">
        <v>0.56088444942845606</v>
      </c>
      <c r="F486" s="10">
        <v>0.564888809817779</v>
      </c>
      <c r="G486" s="10">
        <v>0.43035769040899718</v>
      </c>
      <c r="H486" s="6">
        <v>0.25907893106461738</v>
      </c>
      <c r="I486" s="10">
        <v>11.852715798449109</v>
      </c>
      <c r="J486" s="7">
        <v>4.1064632546004183E-2</v>
      </c>
      <c r="K486" s="5">
        <v>0.14418227729992489</v>
      </c>
      <c r="L486">
        <v>278.10594588877291</v>
      </c>
      <c r="M486" s="10">
        <v>-0.52893456547302864</v>
      </c>
      <c r="N486" s="24" t="s">
        <v>343</v>
      </c>
      <c r="O486" s="24">
        <v>19.263926071618279</v>
      </c>
      <c r="P486">
        <v>51.253760071161892</v>
      </c>
      <c r="Q486" t="s">
        <v>47</v>
      </c>
      <c r="R486" t="s">
        <v>350</v>
      </c>
      <c r="S486" t="s">
        <v>343</v>
      </c>
      <c r="T486" t="s">
        <v>343</v>
      </c>
    </row>
    <row r="487" spans="2:20" x14ac:dyDescent="0.25">
      <c r="B487">
        <v>482</v>
      </c>
      <c r="C487" t="s">
        <v>825</v>
      </c>
      <c r="D487" s="10">
        <v>0.21997929272379271</v>
      </c>
      <c r="E487" s="10">
        <v>1.061690029365701</v>
      </c>
      <c r="F487" s="10">
        <v>0.47853696854891431</v>
      </c>
      <c r="G487" s="10">
        <v>0.25631738873251558</v>
      </c>
      <c r="H487" s="6">
        <v>0.13743524707159799</v>
      </c>
      <c r="I487" s="10">
        <v>8.3509668735422942</v>
      </c>
      <c r="J487" s="7">
        <v>1.612586530142137E-2</v>
      </c>
      <c r="K487" s="5">
        <v>0.18890351435530461</v>
      </c>
      <c r="L487">
        <v>137.18665579755421</v>
      </c>
      <c r="M487" s="10">
        <v>-0.76762851503209895</v>
      </c>
      <c r="N487" s="24" t="s">
        <v>343</v>
      </c>
      <c r="O487" s="24">
        <v>4.9422890980740632</v>
      </c>
      <c r="P487">
        <v>55.090769845930552</v>
      </c>
      <c r="Q487" t="s">
        <v>47</v>
      </c>
      <c r="R487" t="s">
        <v>350</v>
      </c>
      <c r="S487" t="s">
        <v>343</v>
      </c>
      <c r="T487" t="s">
        <v>343</v>
      </c>
    </row>
    <row r="488" spans="2:20" x14ac:dyDescent="0.25">
      <c r="B488">
        <v>483</v>
      </c>
      <c r="C488" t="s">
        <v>826</v>
      </c>
      <c r="D488" s="10">
        <v>0.2057139338050977</v>
      </c>
      <c r="E488" s="10">
        <v>1.1577371608070339</v>
      </c>
      <c r="F488" s="10">
        <v>0.55263684514623967</v>
      </c>
      <c r="G488" s="10">
        <v>0.32243877624231432</v>
      </c>
      <c r="H488" s="6">
        <v>0.2366940950933365</v>
      </c>
      <c r="I488" s="10">
        <v>4.7433796481582551</v>
      </c>
      <c r="J488" s="7">
        <v>4.4295577814803942E-2</v>
      </c>
      <c r="K488" s="5">
        <v>0.16874788318086981</v>
      </c>
      <c r="L488">
        <v>103.4804761348183</v>
      </c>
      <c r="M488" s="10">
        <v>-0.82472120364157253</v>
      </c>
      <c r="N488" s="24" t="s">
        <v>343</v>
      </c>
      <c r="O488" s="24">
        <v>1.5167277815056439</v>
      </c>
      <c r="P488">
        <v>55.277998483911162</v>
      </c>
      <c r="Q488" t="s">
        <v>47</v>
      </c>
      <c r="R488" t="s">
        <v>350</v>
      </c>
      <c r="S488" t="s">
        <v>343</v>
      </c>
      <c r="T488" t="s">
        <v>343</v>
      </c>
    </row>
    <row r="489" spans="2:20" x14ac:dyDescent="0.25">
      <c r="B489">
        <v>484</v>
      </c>
      <c r="C489" t="s">
        <v>827</v>
      </c>
      <c r="D489" s="10">
        <v>0.29897586051031372</v>
      </c>
      <c r="E489" s="10">
        <v>0.56293953746478675</v>
      </c>
      <c r="F489" s="10">
        <v>0.63497852973864699</v>
      </c>
      <c r="G489" s="10">
        <v>0.313797549430052</v>
      </c>
      <c r="H489" s="6">
        <v>0.20673406773247949</v>
      </c>
      <c r="I489" s="10">
        <v>10.905468401688699</v>
      </c>
      <c r="J489" s="7">
        <v>4.4596381683047602E-2</v>
      </c>
      <c r="K489" s="5">
        <v>0.1137573826980756</v>
      </c>
      <c r="L489">
        <v>171.91625303483389</v>
      </c>
      <c r="M489" s="10">
        <v>-0.70880232646844654</v>
      </c>
      <c r="N489" s="24" t="s">
        <v>343</v>
      </c>
      <c r="O489" s="24">
        <v>8.4718604118932106</v>
      </c>
      <c r="P489">
        <v>51.829296234678111</v>
      </c>
      <c r="Q489" t="s">
        <v>47</v>
      </c>
      <c r="R489" t="s">
        <v>350</v>
      </c>
      <c r="S489" t="s">
        <v>343</v>
      </c>
      <c r="T489" t="s">
        <v>343</v>
      </c>
    </row>
    <row r="490" spans="2:20" x14ac:dyDescent="0.25">
      <c r="B490">
        <v>485</v>
      </c>
      <c r="C490" t="s">
        <v>828</v>
      </c>
      <c r="D490" s="10">
        <v>0.19577533416311241</v>
      </c>
      <c r="E490" s="10">
        <v>0.58266573928919785</v>
      </c>
      <c r="F490" s="10">
        <v>0.55929136134277291</v>
      </c>
      <c r="G490" s="10">
        <v>0.45849454840961779</v>
      </c>
      <c r="H490" s="6">
        <v>0.207825413649673</v>
      </c>
      <c r="I490" s="10">
        <v>6.6428683362717562</v>
      </c>
      <c r="J490" s="7">
        <v>2.3943546443440308E-2</v>
      </c>
      <c r="K490" s="5">
        <v>0.14151216614461021</v>
      </c>
      <c r="L490">
        <v>142.91098390358081</v>
      </c>
      <c r="M490" s="10">
        <v>-0.75793245082885874</v>
      </c>
      <c r="N490" s="24" t="s">
        <v>343</v>
      </c>
      <c r="O490" s="24">
        <v>5.5240529502684694</v>
      </c>
      <c r="P490">
        <v>57.700918850930343</v>
      </c>
      <c r="Q490" t="s">
        <v>47</v>
      </c>
      <c r="R490" t="s">
        <v>350</v>
      </c>
      <c r="S490" t="s">
        <v>343</v>
      </c>
      <c r="T490" t="s">
        <v>343</v>
      </c>
    </row>
    <row r="491" spans="2:20" x14ac:dyDescent="0.25">
      <c r="B491">
        <v>486</v>
      </c>
      <c r="C491" t="s">
        <v>829</v>
      </c>
      <c r="D491" s="10">
        <v>0.31411560631049779</v>
      </c>
      <c r="E491" s="10">
        <v>0.63783276435926695</v>
      </c>
      <c r="F491" s="10">
        <v>0.48249728833504102</v>
      </c>
      <c r="G491" s="10">
        <v>0.45682077887571759</v>
      </c>
      <c r="H491" s="6">
        <v>0.236917818284374</v>
      </c>
      <c r="I491" s="10">
        <v>4.2595726413611832</v>
      </c>
      <c r="J491" s="7">
        <v>4.4573737542129198E-2</v>
      </c>
      <c r="K491" s="5">
        <v>0.1273953599893797</v>
      </c>
      <c r="L491">
        <v>229.78072871669471</v>
      </c>
      <c r="M491" s="10">
        <v>-0.61078948357995666</v>
      </c>
      <c r="N491" s="24" t="s">
        <v>343</v>
      </c>
      <c r="O491" s="24">
        <v>14.3526309852026</v>
      </c>
      <c r="P491">
        <v>49.98599076533344</v>
      </c>
      <c r="Q491" t="s">
        <v>346</v>
      </c>
      <c r="R491" t="s">
        <v>347</v>
      </c>
      <c r="S491" t="s">
        <v>343</v>
      </c>
      <c r="T491" t="s">
        <v>343</v>
      </c>
    </row>
    <row r="492" spans="2:20" x14ac:dyDescent="0.25">
      <c r="B492">
        <v>487</v>
      </c>
      <c r="C492" t="s">
        <v>830</v>
      </c>
      <c r="D492" s="10">
        <v>0.1619447159503706</v>
      </c>
      <c r="E492" s="10">
        <v>0.95782020132030032</v>
      </c>
      <c r="F492" s="10">
        <v>0.50550059629272703</v>
      </c>
      <c r="G492" s="10">
        <v>0.28175687090660528</v>
      </c>
      <c r="H492" s="6">
        <v>0.1534267030178936</v>
      </c>
      <c r="I492" s="10">
        <v>8.0718120749301221</v>
      </c>
      <c r="J492" s="7">
        <v>4.0417398104825419E-2</v>
      </c>
      <c r="K492" s="5">
        <v>0.1937525224843655</v>
      </c>
      <c r="L492">
        <v>97.616669304985095</v>
      </c>
      <c r="M492" s="10">
        <v>-0.83465352171355778</v>
      </c>
      <c r="N492" s="24" t="s">
        <v>343</v>
      </c>
      <c r="O492" s="24">
        <v>0.92078869718653067</v>
      </c>
      <c r="P492">
        <v>51.341495036326847</v>
      </c>
      <c r="Q492" t="s">
        <v>47</v>
      </c>
      <c r="R492" t="s">
        <v>350</v>
      </c>
      <c r="S492" t="s">
        <v>343</v>
      </c>
      <c r="T492" t="s">
        <v>343</v>
      </c>
    </row>
    <row r="493" spans="2:20" x14ac:dyDescent="0.25">
      <c r="B493">
        <v>488</v>
      </c>
      <c r="C493" t="s">
        <v>831</v>
      </c>
      <c r="D493" s="10">
        <v>0.31518061227322219</v>
      </c>
      <c r="E493" s="10">
        <v>0.48899779613140459</v>
      </c>
      <c r="F493" s="10">
        <v>0.53556029304956743</v>
      </c>
      <c r="G493" s="10">
        <v>0.37858833135363462</v>
      </c>
      <c r="H493" s="6">
        <v>0.19965674519624371</v>
      </c>
      <c r="I493" s="10">
        <v>5.5877125858068624</v>
      </c>
      <c r="J493" s="7">
        <v>1.28850596931333E-2</v>
      </c>
      <c r="K493" s="5">
        <v>0.1394625920997522</v>
      </c>
      <c r="L493">
        <v>99.698409031019906</v>
      </c>
      <c r="M493" s="10">
        <v>-0.83112739922997436</v>
      </c>
      <c r="N493" s="24" t="s">
        <v>343</v>
      </c>
      <c r="O493" s="24">
        <v>1.132356046201537</v>
      </c>
      <c r="P493">
        <v>24.602525702640051</v>
      </c>
      <c r="Q493" t="s">
        <v>348</v>
      </c>
      <c r="R493" t="s">
        <v>353</v>
      </c>
      <c r="S493" t="s">
        <v>343</v>
      </c>
      <c r="T493" t="s">
        <v>343</v>
      </c>
    </row>
    <row r="494" spans="2:20" x14ac:dyDescent="0.25">
      <c r="B494">
        <v>489</v>
      </c>
      <c r="C494" t="s">
        <v>832</v>
      </c>
      <c r="D494" s="10">
        <v>0.1669055859120922</v>
      </c>
      <c r="E494" s="10">
        <v>0.41466751877325531</v>
      </c>
      <c r="F494" s="10">
        <v>0.45808590770646779</v>
      </c>
      <c r="G494" s="10">
        <v>0.35781427238040692</v>
      </c>
      <c r="H494" s="6">
        <v>0.1679028923176214</v>
      </c>
      <c r="I494" s="10">
        <v>13.452440193111871</v>
      </c>
      <c r="J494" s="7">
        <v>4.3156499727001633E-2</v>
      </c>
      <c r="K494" s="5">
        <v>0.1064476597878293</v>
      </c>
      <c r="L494">
        <v>211.85088962107719</v>
      </c>
      <c r="M494" s="10">
        <v>-0.64115966289267712</v>
      </c>
      <c r="N494" s="24" t="s">
        <v>343</v>
      </c>
      <c r="O494" s="24">
        <v>12.53042022643938</v>
      </c>
      <c r="P494">
        <v>18.914556602843049</v>
      </c>
      <c r="Q494" t="s">
        <v>348</v>
      </c>
      <c r="R494" t="s">
        <v>355</v>
      </c>
      <c r="S494" t="s">
        <v>343</v>
      </c>
      <c r="T494" t="s">
        <v>343</v>
      </c>
    </row>
    <row r="495" spans="2:20" x14ac:dyDescent="0.25">
      <c r="B495">
        <v>490</v>
      </c>
      <c r="C495" t="s">
        <v>833</v>
      </c>
      <c r="D495" s="10">
        <v>0.30258289819169137</v>
      </c>
      <c r="E495" s="10">
        <v>1.0467504979940649</v>
      </c>
      <c r="F495" s="10">
        <v>0.5919277853810917</v>
      </c>
      <c r="G495" s="10">
        <v>0.27396216807296248</v>
      </c>
      <c r="H495" s="6">
        <v>0.1341768517464772</v>
      </c>
      <c r="I495" s="10">
        <v>6.9749782358745502</v>
      </c>
      <c r="J495" s="7">
        <v>1.14880035066608E-2</v>
      </c>
      <c r="K495" s="5">
        <v>0.1390651401389664</v>
      </c>
      <c r="L495">
        <v>232.37076923942189</v>
      </c>
      <c r="M495" s="10">
        <v>-0.60640238369116506</v>
      </c>
      <c r="N495" s="24" t="s">
        <v>343</v>
      </c>
      <c r="O495" s="24">
        <v>14.6158569785301</v>
      </c>
      <c r="P495">
        <v>23.727536535768689</v>
      </c>
      <c r="Q495" t="s">
        <v>348</v>
      </c>
      <c r="R495" t="s">
        <v>375</v>
      </c>
      <c r="S495" t="s">
        <v>343</v>
      </c>
      <c r="T495" t="s">
        <v>343</v>
      </c>
    </row>
    <row r="496" spans="2:20" x14ac:dyDescent="0.25">
      <c r="B496">
        <v>491</v>
      </c>
      <c r="C496" t="s">
        <v>834</v>
      </c>
      <c r="D496" s="10">
        <v>0.24443217745380799</v>
      </c>
      <c r="E496" s="10">
        <v>1.1570077337724869</v>
      </c>
      <c r="F496" s="10">
        <v>0.597958785732293</v>
      </c>
      <c r="G496" s="10">
        <v>0.27691153534297308</v>
      </c>
      <c r="H496" s="6">
        <v>0.13576191683349059</v>
      </c>
      <c r="I496" s="10">
        <v>9.2969819566115</v>
      </c>
      <c r="J496" s="7">
        <v>1.6367000280868751E-2</v>
      </c>
      <c r="K496" s="5">
        <v>0.13052827665756389</v>
      </c>
      <c r="L496">
        <v>152.03183527512991</v>
      </c>
      <c r="M496" s="10">
        <v>-0.74248323847612074</v>
      </c>
      <c r="N496" s="24" t="s">
        <v>343</v>
      </c>
      <c r="O496" s="24">
        <v>6.451005691432762</v>
      </c>
      <c r="P496">
        <v>56.575383962204668</v>
      </c>
      <c r="Q496" t="s">
        <v>47</v>
      </c>
      <c r="R496" t="s">
        <v>350</v>
      </c>
      <c r="S496" t="s">
        <v>343</v>
      </c>
      <c r="T496" t="s">
        <v>343</v>
      </c>
    </row>
    <row r="497" spans="2:20" x14ac:dyDescent="0.25">
      <c r="B497">
        <v>492</v>
      </c>
      <c r="C497" t="s">
        <v>835</v>
      </c>
      <c r="D497" s="10">
        <v>0.31887436737908798</v>
      </c>
      <c r="E497" s="10">
        <v>0.85102234485815598</v>
      </c>
      <c r="F497" s="10">
        <v>0.45615950105446762</v>
      </c>
      <c r="G497" s="10">
        <v>0.45763538026550199</v>
      </c>
      <c r="H497" s="6">
        <v>0.14047072059377261</v>
      </c>
      <c r="I497" s="10">
        <v>13.43197098302768</v>
      </c>
      <c r="J497" s="7">
        <v>3.0460843929633601E-2</v>
      </c>
      <c r="K497" s="5">
        <v>0.15696035147243351</v>
      </c>
      <c r="L497">
        <v>247.21490252071021</v>
      </c>
      <c r="M497" s="10">
        <v>-0.58125887921850983</v>
      </c>
      <c r="N497" s="24" t="s">
        <v>343</v>
      </c>
      <c r="O497" s="24">
        <v>16.124467246889409</v>
      </c>
      <c r="P497">
        <v>9.4605960888460601</v>
      </c>
      <c r="Q497" t="s">
        <v>348</v>
      </c>
      <c r="R497" t="s">
        <v>371</v>
      </c>
      <c r="S497" t="s">
        <v>343</v>
      </c>
      <c r="T497" t="s">
        <v>343</v>
      </c>
    </row>
    <row r="498" spans="2:20" x14ac:dyDescent="0.25">
      <c r="B498">
        <v>493</v>
      </c>
      <c r="C498" t="s">
        <v>836</v>
      </c>
      <c r="D498" s="10">
        <v>0.17180745035766379</v>
      </c>
      <c r="E498" s="10">
        <v>0.70021598129522378</v>
      </c>
      <c r="F498" s="10">
        <v>0.5446009435052821</v>
      </c>
      <c r="G498" s="10">
        <v>0.33960059859660519</v>
      </c>
      <c r="H498" s="6">
        <v>0.21223497733572569</v>
      </c>
      <c r="I498" s="10">
        <v>7.3309330522475671</v>
      </c>
      <c r="J498" s="7">
        <v>1.2825801244000481E-2</v>
      </c>
      <c r="K498" s="5">
        <v>0.1214774266467578</v>
      </c>
      <c r="L498">
        <v>137.28247961720521</v>
      </c>
      <c r="M498" s="10">
        <v>-0.76746620534433707</v>
      </c>
      <c r="N498" s="24" t="s">
        <v>343</v>
      </c>
      <c r="O498" s="24">
        <v>4.9520276793397713</v>
      </c>
      <c r="P498">
        <v>60.672600275621498</v>
      </c>
      <c r="Q498" t="s">
        <v>47</v>
      </c>
      <c r="R498" t="s">
        <v>350</v>
      </c>
      <c r="S498" t="s">
        <v>343</v>
      </c>
      <c r="T498" t="s">
        <v>343</v>
      </c>
    </row>
    <row r="499" spans="2:20" x14ac:dyDescent="0.25">
      <c r="B499">
        <v>494</v>
      </c>
      <c r="C499" t="s">
        <v>837</v>
      </c>
      <c r="D499" s="10">
        <v>0.24861668550421129</v>
      </c>
      <c r="E499" s="10">
        <v>0.77524698487912391</v>
      </c>
      <c r="F499" s="10">
        <v>0.54764017755002847</v>
      </c>
      <c r="G499" s="10">
        <v>0.26767628424001622</v>
      </c>
      <c r="H499" s="6">
        <v>0.1358745297565965</v>
      </c>
      <c r="I499" s="10">
        <v>6.9393956115355104</v>
      </c>
      <c r="J499" s="7">
        <v>1.566047149462791E-2</v>
      </c>
      <c r="K499" s="5">
        <v>0.10341749672144129</v>
      </c>
      <c r="L499">
        <v>228.2074387613801</v>
      </c>
      <c r="M499" s="10">
        <v>-0.61345437632099009</v>
      </c>
      <c r="N499" s="24" t="s">
        <v>343</v>
      </c>
      <c r="O499" s="24">
        <v>14.192737420740601</v>
      </c>
      <c r="P499">
        <v>60.716842039079189</v>
      </c>
      <c r="Q499" t="s">
        <v>47</v>
      </c>
      <c r="R499" t="s">
        <v>350</v>
      </c>
      <c r="S499" t="s">
        <v>343</v>
      </c>
      <c r="T499" t="s">
        <v>343</v>
      </c>
    </row>
    <row r="500" spans="2:20" x14ac:dyDescent="0.25">
      <c r="B500">
        <v>495</v>
      </c>
      <c r="C500" t="s">
        <v>838</v>
      </c>
      <c r="D500" s="10">
        <v>0.31508840569905577</v>
      </c>
      <c r="E500" s="10">
        <v>0.72724861725914702</v>
      </c>
      <c r="F500" s="10">
        <v>0.52679308782367629</v>
      </c>
      <c r="G500" s="10">
        <v>0.28725380852263588</v>
      </c>
      <c r="H500" s="6">
        <v>0.20551557638852599</v>
      </c>
      <c r="I500" s="10">
        <v>4.7864620443260364</v>
      </c>
      <c r="J500" s="7">
        <v>4.3372212548928347E-2</v>
      </c>
      <c r="K500" s="5">
        <v>0.10910863564009469</v>
      </c>
      <c r="L500">
        <v>102.3961427996142</v>
      </c>
      <c r="M500" s="10">
        <v>-0.82655788481028181</v>
      </c>
      <c r="N500" s="24" t="s">
        <v>343</v>
      </c>
      <c r="O500" s="24">
        <v>1.406526911383096</v>
      </c>
      <c r="P500">
        <v>50.904867374523533</v>
      </c>
      <c r="Q500" t="s">
        <v>47</v>
      </c>
      <c r="R500" t="s">
        <v>350</v>
      </c>
      <c r="S500" t="s">
        <v>343</v>
      </c>
      <c r="T500" t="s">
        <v>343</v>
      </c>
    </row>
    <row r="501" spans="2:20" x14ac:dyDescent="0.25">
      <c r="B501">
        <v>496</v>
      </c>
      <c r="C501" t="s">
        <v>839</v>
      </c>
      <c r="D501" s="10">
        <v>0.24369565506722379</v>
      </c>
      <c r="E501" s="10">
        <v>1.3559833990614429</v>
      </c>
      <c r="F501" s="10">
        <v>0.58501233248608908</v>
      </c>
      <c r="G501" s="10">
        <v>0.29903657479468088</v>
      </c>
      <c r="H501" s="6">
        <v>0.208244558696589</v>
      </c>
      <c r="I501" s="10">
        <v>13.321339210223419</v>
      </c>
      <c r="J501" s="7">
        <v>4.4814075971066278E-2</v>
      </c>
      <c r="K501" s="5">
        <v>0.1268990210057647</v>
      </c>
      <c r="L501">
        <v>569.63959351675601</v>
      </c>
      <c r="M501" s="10">
        <v>-3.5124827028839407E-2</v>
      </c>
      <c r="N501" s="24" t="s">
        <v>345</v>
      </c>
      <c r="O501" s="24">
        <v>85.652565729041029</v>
      </c>
      <c r="P501">
        <v>11.00750922096854</v>
      </c>
      <c r="Q501" t="s">
        <v>348</v>
      </c>
      <c r="R501" t="s">
        <v>375</v>
      </c>
      <c r="S501" t="s">
        <v>343</v>
      </c>
      <c r="T501" t="s">
        <v>343</v>
      </c>
    </row>
    <row r="502" spans="2:20" x14ac:dyDescent="0.25">
      <c r="B502">
        <v>497</v>
      </c>
      <c r="C502" t="s">
        <v>840</v>
      </c>
      <c r="D502" s="10">
        <v>0.26070378210164202</v>
      </c>
      <c r="E502" s="10">
        <v>1.144898895741054</v>
      </c>
      <c r="F502" s="10">
        <v>0.52994894741562903</v>
      </c>
      <c r="G502" s="10">
        <v>0.35240179793009618</v>
      </c>
      <c r="H502" s="6">
        <v>0.25558447651828359</v>
      </c>
      <c r="I502" s="10">
        <v>11.808192561808619</v>
      </c>
      <c r="J502" s="7">
        <v>3.79347789623104E-2</v>
      </c>
      <c r="K502" s="5">
        <v>0.13309064999564521</v>
      </c>
      <c r="L502">
        <v>260.11457736197258</v>
      </c>
      <c r="M502" s="10">
        <v>-0.55940896545655738</v>
      </c>
      <c r="N502" s="24" t="s">
        <v>343</v>
      </c>
      <c r="O502" s="24">
        <v>17.435462072606558</v>
      </c>
      <c r="P502">
        <v>53.675190300163948</v>
      </c>
      <c r="Q502" t="s">
        <v>47</v>
      </c>
      <c r="R502" t="s">
        <v>350</v>
      </c>
      <c r="S502" t="s">
        <v>343</v>
      </c>
      <c r="T502" t="s">
        <v>343</v>
      </c>
    </row>
    <row r="503" spans="2:20" x14ac:dyDescent="0.25">
      <c r="B503">
        <v>498</v>
      </c>
      <c r="C503" t="s">
        <v>841</v>
      </c>
      <c r="D503" s="10">
        <v>0.27131979023753883</v>
      </c>
      <c r="E503" s="10">
        <v>0.52889593633512133</v>
      </c>
      <c r="F503" s="10">
        <v>0.5482664126642296</v>
      </c>
      <c r="G503" s="10">
        <v>0.31382058849138811</v>
      </c>
      <c r="H503" s="6">
        <v>0.21395648944882709</v>
      </c>
      <c r="I503" s="10">
        <v>5.4311208792408134</v>
      </c>
      <c r="J503" s="7">
        <v>2.8032328701264601E-2</v>
      </c>
      <c r="K503" s="5">
        <v>0.17927280130424961</v>
      </c>
      <c r="L503">
        <v>56.116858644473453</v>
      </c>
      <c r="M503" s="10">
        <v>-0.90494733107137537</v>
      </c>
      <c r="N503" s="24" t="s">
        <v>343</v>
      </c>
      <c r="O503" s="24">
        <v>0</v>
      </c>
      <c r="P503">
        <v>61.045423576658067</v>
      </c>
      <c r="Q503" t="s">
        <v>47</v>
      </c>
      <c r="R503" t="s">
        <v>350</v>
      </c>
      <c r="S503" t="s">
        <v>343</v>
      </c>
      <c r="T503" t="s">
        <v>343</v>
      </c>
    </row>
    <row r="504" spans="2:20" x14ac:dyDescent="0.25">
      <c r="B504">
        <v>499</v>
      </c>
      <c r="C504" t="s">
        <v>842</v>
      </c>
      <c r="D504" s="10">
        <v>0.23272657036284369</v>
      </c>
      <c r="E504" s="10">
        <v>0.72260806725937798</v>
      </c>
      <c r="F504" s="10">
        <v>0.64735612233481743</v>
      </c>
      <c r="G504" s="10">
        <v>0.3401025928957826</v>
      </c>
      <c r="H504" s="6">
        <v>0.26783817613222521</v>
      </c>
      <c r="I504" s="10">
        <v>6.6594187052316514</v>
      </c>
      <c r="J504" s="7">
        <v>4.1510532749208642E-2</v>
      </c>
      <c r="K504" s="5">
        <v>0.1256566199813666</v>
      </c>
      <c r="L504">
        <v>175.98693323973151</v>
      </c>
      <c r="M504" s="10">
        <v>-0.70190726806395132</v>
      </c>
      <c r="N504" s="24" t="s">
        <v>343</v>
      </c>
      <c r="O504" s="24">
        <v>8.8855639161629192</v>
      </c>
      <c r="P504">
        <v>61.588584390903733</v>
      </c>
      <c r="Q504" t="s">
        <v>47</v>
      </c>
      <c r="R504" t="s">
        <v>350</v>
      </c>
      <c r="S504" t="s">
        <v>343</v>
      </c>
      <c r="T504" t="s">
        <v>343</v>
      </c>
    </row>
    <row r="505" spans="2:20" x14ac:dyDescent="0.25">
      <c r="B505">
        <v>500</v>
      </c>
      <c r="C505" t="s">
        <v>843</v>
      </c>
      <c r="D505" s="10">
        <v>0.26040929281345021</v>
      </c>
      <c r="E505" s="10">
        <v>0.8984135204994208</v>
      </c>
      <c r="F505" s="10">
        <v>0.48214843241185229</v>
      </c>
      <c r="G505" s="10">
        <v>0.2766299012422998</v>
      </c>
      <c r="H505" s="6">
        <v>0.1246488869911252</v>
      </c>
      <c r="I505" s="10">
        <v>13.064029558901471</v>
      </c>
      <c r="J505" s="7">
        <v>1.3916456980924899E-2</v>
      </c>
      <c r="K505" s="5">
        <v>0.1029918400802244</v>
      </c>
      <c r="L505">
        <v>270.68689514874148</v>
      </c>
      <c r="M505" s="10">
        <v>-0.54150120927297207</v>
      </c>
      <c r="N505" s="24" t="s">
        <v>343</v>
      </c>
      <c r="O505" s="24">
        <v>18.509927443621681</v>
      </c>
      <c r="P505">
        <v>14.231038263965059</v>
      </c>
      <c r="Q505" t="s">
        <v>348</v>
      </c>
      <c r="R505" t="s">
        <v>371</v>
      </c>
      <c r="S505" t="s">
        <v>343</v>
      </c>
      <c r="T505" t="s">
        <v>343</v>
      </c>
    </row>
    <row r="506" spans="2:20" x14ac:dyDescent="0.25">
      <c r="B506">
        <v>501</v>
      </c>
      <c r="C506" t="s">
        <v>844</v>
      </c>
      <c r="D506" s="10">
        <v>0.25349028990769612</v>
      </c>
      <c r="E506" s="10">
        <v>0.97428444827005722</v>
      </c>
      <c r="F506" s="10">
        <v>0.60096982077888939</v>
      </c>
      <c r="G506" s="10">
        <v>0.31188031192925142</v>
      </c>
      <c r="H506" s="6">
        <v>0.22562192049676791</v>
      </c>
      <c r="I506" s="10">
        <v>8.9100755538860756</v>
      </c>
      <c r="J506" s="7">
        <v>4.3001215423575309E-2</v>
      </c>
      <c r="K506" s="5">
        <v>0.17416968090427121</v>
      </c>
      <c r="L506">
        <v>147.7226921560233</v>
      </c>
      <c r="M506" s="10">
        <v>-0.74978221358200614</v>
      </c>
      <c r="N506" s="24" t="s">
        <v>343</v>
      </c>
      <c r="O506" s="24">
        <v>6.0130671850796347</v>
      </c>
      <c r="P506">
        <v>53.227128367843171</v>
      </c>
      <c r="Q506" t="s">
        <v>47</v>
      </c>
      <c r="R506" t="s">
        <v>350</v>
      </c>
      <c r="S506" t="s">
        <v>343</v>
      </c>
      <c r="T506" t="s">
        <v>343</v>
      </c>
    </row>
    <row r="507" spans="2:20" x14ac:dyDescent="0.25">
      <c r="B507">
        <v>502</v>
      </c>
      <c r="C507" t="s">
        <v>845</v>
      </c>
      <c r="D507" s="10">
        <v>0.30418528167855818</v>
      </c>
      <c r="E507" s="10">
        <v>0.81500228563164367</v>
      </c>
      <c r="F507" s="10">
        <v>0.57145454443961985</v>
      </c>
      <c r="G507" s="10">
        <v>0.25546965039790592</v>
      </c>
      <c r="H507" s="6">
        <v>0.12397201170795651</v>
      </c>
      <c r="I507" s="10">
        <v>9.1196771526646785</v>
      </c>
      <c r="J507" s="7">
        <v>2.2304352460940129E-2</v>
      </c>
      <c r="K507" s="5">
        <v>0.18254716915845151</v>
      </c>
      <c r="L507">
        <v>156.5022466501793</v>
      </c>
      <c r="M507" s="10">
        <v>-0.7349111016411024</v>
      </c>
      <c r="N507" s="24" t="s">
        <v>343</v>
      </c>
      <c r="O507" s="24">
        <v>6.905333901533858</v>
      </c>
      <c r="P507">
        <v>58.163168565367307</v>
      </c>
      <c r="Q507" t="s">
        <v>47</v>
      </c>
      <c r="R507" t="s">
        <v>350</v>
      </c>
      <c r="S507" t="s">
        <v>343</v>
      </c>
      <c r="T507" t="s">
        <v>343</v>
      </c>
    </row>
    <row r="508" spans="2:20" x14ac:dyDescent="0.25">
      <c r="B508">
        <v>503</v>
      </c>
      <c r="C508" t="s">
        <v>846</v>
      </c>
      <c r="D508" s="10">
        <v>0.16727142085463331</v>
      </c>
      <c r="E508" s="10">
        <v>1.191139298513155</v>
      </c>
      <c r="F508" s="10">
        <v>0.51931862574463072</v>
      </c>
      <c r="G508" s="10">
        <v>0.43573626016468681</v>
      </c>
      <c r="H508" s="6">
        <v>0.22940663668120551</v>
      </c>
      <c r="I508" s="10">
        <v>10.12958930146517</v>
      </c>
      <c r="J508" s="7">
        <v>4.0152128693161801E-2</v>
      </c>
      <c r="K508" s="5">
        <v>0.14676909255305021</v>
      </c>
      <c r="L508">
        <v>211.79853796286619</v>
      </c>
      <c r="M508" s="10">
        <v>-0.64124833793536484</v>
      </c>
      <c r="N508" s="24" t="s">
        <v>343</v>
      </c>
      <c r="O508" s="24">
        <v>12.52509972387811</v>
      </c>
      <c r="P508">
        <v>56.138244246187647</v>
      </c>
      <c r="Q508" t="s">
        <v>47</v>
      </c>
      <c r="R508" t="s">
        <v>350</v>
      </c>
      <c r="S508" t="s">
        <v>343</v>
      </c>
      <c r="T508" t="s">
        <v>343</v>
      </c>
    </row>
    <row r="509" spans="2:20" x14ac:dyDescent="0.25">
      <c r="B509">
        <v>504</v>
      </c>
      <c r="C509" t="s">
        <v>847</v>
      </c>
      <c r="D509" s="10">
        <v>0.20495411033475691</v>
      </c>
      <c r="E509" s="10">
        <v>1.1443666214040551</v>
      </c>
      <c r="F509" s="10">
        <v>0.62915901068750679</v>
      </c>
      <c r="G509" s="10">
        <v>0.28372554497708719</v>
      </c>
      <c r="H509" s="6">
        <v>0.1778775313806053</v>
      </c>
      <c r="I509" s="10">
        <v>11.383801996985779</v>
      </c>
      <c r="J509" s="7">
        <v>3.3393069209488681E-2</v>
      </c>
      <c r="K509" s="5">
        <v>0.12706808692186469</v>
      </c>
      <c r="L509">
        <v>348.57798574167538</v>
      </c>
      <c r="M509" s="10">
        <v>-0.40956659594178207</v>
      </c>
      <c r="N509" s="24" t="s">
        <v>343</v>
      </c>
      <c r="O509" s="24">
        <v>26.426004243493079</v>
      </c>
      <c r="P509">
        <v>53.828084950927213</v>
      </c>
      <c r="Q509" t="s">
        <v>47</v>
      </c>
      <c r="R509" t="s">
        <v>350</v>
      </c>
      <c r="S509" t="s">
        <v>343</v>
      </c>
      <c r="T509" t="s">
        <v>343</v>
      </c>
    </row>
    <row r="510" spans="2:20" x14ac:dyDescent="0.25">
      <c r="B510">
        <v>505</v>
      </c>
      <c r="C510" t="s">
        <v>848</v>
      </c>
      <c r="D510" s="10">
        <v>0.31206583745224942</v>
      </c>
      <c r="E510" s="10">
        <v>0.85567371049098329</v>
      </c>
      <c r="F510" s="10">
        <v>0.58330897348069843</v>
      </c>
      <c r="G510" s="10">
        <v>0.40651802979432261</v>
      </c>
      <c r="H510" s="6">
        <v>0.21169616480888839</v>
      </c>
      <c r="I510" s="10">
        <v>13.33214100230763</v>
      </c>
      <c r="J510" s="7">
        <v>4.3609600641950269E-2</v>
      </c>
      <c r="K510" s="5">
        <v>0.17335328861124949</v>
      </c>
      <c r="L510">
        <v>289.9840207475288</v>
      </c>
      <c r="M510" s="10">
        <v>-0.50881507296522888</v>
      </c>
      <c r="N510" s="24" t="s">
        <v>343</v>
      </c>
      <c r="O510" s="24">
        <v>20.471095622086271</v>
      </c>
      <c r="P510">
        <v>50.929667990804987</v>
      </c>
      <c r="Q510" t="s">
        <v>47</v>
      </c>
      <c r="R510" t="s">
        <v>350</v>
      </c>
      <c r="S510" t="s">
        <v>343</v>
      </c>
      <c r="T510" t="s">
        <v>343</v>
      </c>
    </row>
    <row r="511" spans="2:20" x14ac:dyDescent="0.25">
      <c r="B511">
        <v>506</v>
      </c>
      <c r="C511" t="s">
        <v>849</v>
      </c>
      <c r="D511" s="10">
        <v>0.30244220542254657</v>
      </c>
      <c r="E511" s="10">
        <v>1.2398723254599029</v>
      </c>
      <c r="F511" s="10">
        <v>0.56411399700978082</v>
      </c>
      <c r="G511" s="10">
        <v>0.31690139340473611</v>
      </c>
      <c r="H511" s="6">
        <v>0.1664307108132507</v>
      </c>
      <c r="I511" s="10">
        <v>11.824475808170281</v>
      </c>
      <c r="J511" s="7">
        <v>4.0263728172853633E-2</v>
      </c>
      <c r="K511" s="5">
        <v>0.1008453486347891</v>
      </c>
      <c r="L511">
        <v>518.09619989422333</v>
      </c>
      <c r="M511" s="10">
        <v>-0.1224308033041682</v>
      </c>
      <c r="N511" s="24" t="s">
        <v>343</v>
      </c>
      <c r="O511" s="24">
        <v>54.738147372208047</v>
      </c>
      <c r="P511">
        <v>51.785961794473387</v>
      </c>
      <c r="Q511" t="s">
        <v>47</v>
      </c>
      <c r="R511" t="s">
        <v>350</v>
      </c>
      <c r="S511" t="s">
        <v>343</v>
      </c>
      <c r="T511" t="s">
        <v>343</v>
      </c>
    </row>
    <row r="512" spans="2:20" x14ac:dyDescent="0.25">
      <c r="B512">
        <v>507</v>
      </c>
      <c r="C512" t="s">
        <v>850</v>
      </c>
      <c r="D512" s="10">
        <v>0.23290508044571409</v>
      </c>
      <c r="E512" s="10">
        <v>1.1261984834866241</v>
      </c>
      <c r="F512" s="10">
        <v>0.61359402184051204</v>
      </c>
      <c r="G512" s="10">
        <v>0.34436741016675448</v>
      </c>
      <c r="H512" s="6">
        <v>0.14386575587289729</v>
      </c>
      <c r="I512" s="10">
        <v>13.280041183104229</v>
      </c>
      <c r="J512" s="7">
        <v>4.1076423474281712E-2</v>
      </c>
      <c r="K512" s="5">
        <v>0.18778268176525001</v>
      </c>
      <c r="L512">
        <v>306.27639382576001</v>
      </c>
      <c r="M512" s="10">
        <v>-0.48121849001895128</v>
      </c>
      <c r="N512" s="24" t="s">
        <v>343</v>
      </c>
      <c r="O512" s="24">
        <v>22.126890598862921</v>
      </c>
      <c r="P512">
        <v>51.100718699064451</v>
      </c>
      <c r="Q512" t="s">
        <v>47</v>
      </c>
      <c r="R512" t="s">
        <v>350</v>
      </c>
      <c r="S512" t="s">
        <v>343</v>
      </c>
      <c r="T512" t="s">
        <v>343</v>
      </c>
    </row>
    <row r="513" spans="2:20" x14ac:dyDescent="0.25">
      <c r="B513">
        <v>508</v>
      </c>
      <c r="C513" t="s">
        <v>851</v>
      </c>
      <c r="D513" s="10">
        <v>0.25922121564824591</v>
      </c>
      <c r="E513" s="10">
        <v>1.156440033592707</v>
      </c>
      <c r="F513" s="10">
        <v>0.64859548007515377</v>
      </c>
      <c r="G513" s="10">
        <v>0.30407742868146992</v>
      </c>
      <c r="H513" s="6">
        <v>0.22852687771339239</v>
      </c>
      <c r="I513" s="10">
        <v>12.026707339674591</v>
      </c>
      <c r="J513" s="7">
        <v>3.2111402464201057E-2</v>
      </c>
      <c r="K513" s="5">
        <v>0.18222550626334461</v>
      </c>
      <c r="L513">
        <v>236.2747029314489</v>
      </c>
      <c r="M513" s="10">
        <v>-0.59978976627616487</v>
      </c>
      <c r="N513" s="24" t="s">
        <v>343</v>
      </c>
      <c r="O513" s="24">
        <v>15.01261402343011</v>
      </c>
      <c r="P513">
        <v>50.092957276325627</v>
      </c>
      <c r="Q513" t="s">
        <v>47</v>
      </c>
      <c r="R513" t="s">
        <v>350</v>
      </c>
      <c r="S513" t="s">
        <v>343</v>
      </c>
      <c r="T513" t="s">
        <v>343</v>
      </c>
    </row>
    <row r="514" spans="2:20" x14ac:dyDescent="0.25">
      <c r="B514">
        <v>509</v>
      </c>
      <c r="C514" t="s">
        <v>852</v>
      </c>
      <c r="D514" s="10">
        <v>0.2043809892769812</v>
      </c>
      <c r="E514" s="10">
        <v>1.3520408573767579</v>
      </c>
      <c r="F514" s="10">
        <v>0.69289388540872976</v>
      </c>
      <c r="G514" s="10">
        <v>0.3932170796436214</v>
      </c>
      <c r="H514" s="6">
        <v>0.25569305704051298</v>
      </c>
      <c r="I514" s="10">
        <v>3.5107746667613302</v>
      </c>
      <c r="J514" s="7">
        <v>3.9160548584169647E-2</v>
      </c>
      <c r="K514" s="5">
        <v>0.15175915494570941</v>
      </c>
      <c r="L514">
        <v>208.685941723653</v>
      </c>
      <c r="M514" s="10">
        <v>-0.64652056070372799</v>
      </c>
      <c r="N514" s="24" t="s">
        <v>343</v>
      </c>
      <c r="O514" s="24">
        <v>12.208766357776319</v>
      </c>
      <c r="P514">
        <v>52.709674433647741</v>
      </c>
      <c r="Q514" t="s">
        <v>47</v>
      </c>
      <c r="R514" t="s">
        <v>350</v>
      </c>
      <c r="S514" t="s">
        <v>343</v>
      </c>
      <c r="T514" t="s">
        <v>343</v>
      </c>
    </row>
    <row r="515" spans="2:20" x14ac:dyDescent="0.25">
      <c r="B515">
        <v>510</v>
      </c>
      <c r="C515" t="s">
        <v>853</v>
      </c>
      <c r="D515" s="10">
        <v>0.1900993855558018</v>
      </c>
      <c r="E515" s="10">
        <v>0.59311363533012296</v>
      </c>
      <c r="F515" s="10">
        <v>0.60363109577785712</v>
      </c>
      <c r="G515" s="10">
        <v>0.42580021224043563</v>
      </c>
      <c r="H515" s="6">
        <v>0.14753736655500521</v>
      </c>
      <c r="I515" s="10">
        <v>4.2928808259063622</v>
      </c>
      <c r="J515" s="7">
        <v>3.6499590276646843E-2</v>
      </c>
      <c r="K515" s="5">
        <v>0.12637021285142991</v>
      </c>
      <c r="L515">
        <v>170.46473063918091</v>
      </c>
      <c r="M515" s="10">
        <v>-0.71126096512088055</v>
      </c>
      <c r="N515" s="24" t="s">
        <v>343</v>
      </c>
      <c r="O515" s="24">
        <v>8.3243420927471661</v>
      </c>
      <c r="P515">
        <v>67.9562652045487</v>
      </c>
      <c r="Q515" t="s">
        <v>47</v>
      </c>
      <c r="R515" t="s">
        <v>350</v>
      </c>
      <c r="S515" t="s">
        <v>343</v>
      </c>
      <c r="T515" t="s">
        <v>343</v>
      </c>
    </row>
    <row r="516" spans="2:20" x14ac:dyDescent="0.25">
      <c r="B516">
        <v>511</v>
      </c>
      <c r="C516" t="s">
        <v>854</v>
      </c>
      <c r="D516" s="10">
        <v>0.23419174479039709</v>
      </c>
      <c r="E516" s="10">
        <v>0.59441297860353404</v>
      </c>
      <c r="F516" s="10">
        <v>0.66735439620409953</v>
      </c>
      <c r="G516" s="10">
        <v>0.30297944064270937</v>
      </c>
      <c r="H516" s="6">
        <v>0.2581054501805401</v>
      </c>
      <c r="I516" s="10">
        <v>12.73382218210967</v>
      </c>
      <c r="J516" s="7">
        <v>1.5656809581636049E-2</v>
      </c>
      <c r="K516" s="5">
        <v>0.1031202638611548</v>
      </c>
      <c r="L516">
        <v>223.72956571524941</v>
      </c>
      <c r="M516" s="10">
        <v>-0.62103915199161097</v>
      </c>
      <c r="N516" s="24" t="s">
        <v>343</v>
      </c>
      <c r="O516" s="24">
        <v>13.73765088050334</v>
      </c>
      <c r="P516">
        <v>45.283576621923693</v>
      </c>
      <c r="Q516" t="s">
        <v>346</v>
      </c>
      <c r="R516" t="s">
        <v>347</v>
      </c>
      <c r="S516" t="s">
        <v>343</v>
      </c>
      <c r="T516" t="s">
        <v>343</v>
      </c>
    </row>
    <row r="517" spans="2:20" x14ac:dyDescent="0.25">
      <c r="B517">
        <v>512</v>
      </c>
      <c r="C517" t="s">
        <v>855</v>
      </c>
      <c r="D517" s="10">
        <v>0.2165363564841685</v>
      </c>
      <c r="E517" s="10">
        <v>1.277847481259704</v>
      </c>
      <c r="F517" s="10">
        <v>0.44028380066596878</v>
      </c>
      <c r="G517" s="10">
        <v>0.29328788160599029</v>
      </c>
      <c r="H517" s="6">
        <v>0.14102731638068161</v>
      </c>
      <c r="I517" s="10">
        <v>3.3046609394978268</v>
      </c>
      <c r="J517" s="7">
        <v>3.2700891197363503E-2</v>
      </c>
      <c r="K517" s="5">
        <v>0.19498325626870189</v>
      </c>
      <c r="L517">
        <v>72.451390071766383</v>
      </c>
      <c r="M517" s="10">
        <v>-0.8772793388607032</v>
      </c>
      <c r="N517" s="24" t="s">
        <v>343</v>
      </c>
      <c r="O517" s="24">
        <v>0</v>
      </c>
      <c r="P517">
        <v>55.870496519832741</v>
      </c>
      <c r="Q517" t="s">
        <v>47</v>
      </c>
      <c r="R517" t="s">
        <v>350</v>
      </c>
      <c r="S517" t="s">
        <v>343</v>
      </c>
      <c r="T517" t="s">
        <v>343</v>
      </c>
    </row>
    <row r="518" spans="2:20" x14ac:dyDescent="0.25">
      <c r="B518">
        <v>513</v>
      </c>
      <c r="C518" t="s">
        <v>856</v>
      </c>
      <c r="D518" s="10">
        <v>0.25338497789613962</v>
      </c>
      <c r="E518" s="10">
        <v>1.149449010724247</v>
      </c>
      <c r="F518" s="10">
        <v>0.57786128010873172</v>
      </c>
      <c r="G518" s="10">
        <v>0.38991685840205742</v>
      </c>
      <c r="H518" s="6">
        <v>0.23034928238242969</v>
      </c>
      <c r="I518" s="10">
        <v>11.73592113701924</v>
      </c>
      <c r="J518" s="7">
        <v>1.5186144128205551E-2</v>
      </c>
      <c r="K518" s="5">
        <v>0.172397003688675</v>
      </c>
      <c r="L518">
        <v>292.30056340008099</v>
      </c>
      <c r="M518" s="10">
        <v>-0.50489123319352835</v>
      </c>
      <c r="N518" s="24" t="s">
        <v>343</v>
      </c>
      <c r="O518" s="24">
        <v>20.706526008388298</v>
      </c>
      <c r="P518">
        <v>56.302566928376201</v>
      </c>
      <c r="Q518" t="s">
        <v>47</v>
      </c>
      <c r="R518" t="s">
        <v>350</v>
      </c>
      <c r="S518" t="s">
        <v>343</v>
      </c>
      <c r="T518" t="s">
        <v>343</v>
      </c>
    </row>
    <row r="519" spans="2:20" x14ac:dyDescent="0.25">
      <c r="B519">
        <v>514</v>
      </c>
      <c r="C519" t="s">
        <v>857</v>
      </c>
      <c r="D519" s="10">
        <v>0.17243754191439761</v>
      </c>
      <c r="E519" s="10">
        <v>1.31920009557919</v>
      </c>
      <c r="F519" s="10">
        <v>0.49580836268025152</v>
      </c>
      <c r="G519" s="10">
        <v>0.2829336733248986</v>
      </c>
      <c r="H519" s="6">
        <v>0.26391677372685091</v>
      </c>
      <c r="I519" s="10">
        <v>12.348281050938629</v>
      </c>
      <c r="J519" s="7">
        <v>4.0430964265993553E-2</v>
      </c>
      <c r="K519" s="5">
        <v>0.13217743820177499</v>
      </c>
      <c r="L519">
        <v>216.18008770864211</v>
      </c>
      <c r="M519" s="10">
        <v>-0.63382671799013357</v>
      </c>
      <c r="N519" s="24" t="s">
        <v>343</v>
      </c>
      <c r="O519" s="24">
        <v>12.970396920591989</v>
      </c>
      <c r="P519">
        <v>14.22119437853476</v>
      </c>
      <c r="Q519" t="s">
        <v>348</v>
      </c>
      <c r="R519" t="s">
        <v>371</v>
      </c>
      <c r="S519" t="s">
        <v>343</v>
      </c>
      <c r="T519" t="s">
        <v>343</v>
      </c>
    </row>
    <row r="520" spans="2:20" x14ac:dyDescent="0.25">
      <c r="B520">
        <v>515</v>
      </c>
      <c r="C520" t="s">
        <v>858</v>
      </c>
      <c r="D520" s="10">
        <v>0.31590316922658668</v>
      </c>
      <c r="E520" s="10">
        <v>0.36944317635689838</v>
      </c>
      <c r="F520" s="10">
        <v>0.46449003884161572</v>
      </c>
      <c r="G520" s="10">
        <v>0.38076474843414992</v>
      </c>
      <c r="H520" s="6">
        <v>0.14210563226343559</v>
      </c>
      <c r="I520" s="10">
        <v>7.5701101829069763</v>
      </c>
      <c r="J520" s="7">
        <v>1.2308242976898901E-2</v>
      </c>
      <c r="K520" s="5">
        <v>0.1018308373056845</v>
      </c>
      <c r="L520">
        <v>186.29202519422449</v>
      </c>
      <c r="M520" s="10">
        <v>-0.68445214820353273</v>
      </c>
      <c r="N520" s="24" t="s">
        <v>343</v>
      </c>
      <c r="O520" s="24">
        <v>9.9328711077880385</v>
      </c>
      <c r="P520">
        <v>52.414557302851883</v>
      </c>
      <c r="Q520" t="s">
        <v>47</v>
      </c>
      <c r="R520" t="s">
        <v>350</v>
      </c>
      <c r="S520" t="s">
        <v>343</v>
      </c>
      <c r="T520" t="s">
        <v>343</v>
      </c>
    </row>
    <row r="521" spans="2:20" x14ac:dyDescent="0.25">
      <c r="B521">
        <v>516</v>
      </c>
      <c r="C521" t="s">
        <v>859</v>
      </c>
      <c r="D521" s="10">
        <v>0.31779371911673648</v>
      </c>
      <c r="E521" s="10">
        <v>0.9905327849877561</v>
      </c>
      <c r="F521" s="10">
        <v>0.57831246443674189</v>
      </c>
      <c r="G521" s="10">
        <v>0.26077417753259979</v>
      </c>
      <c r="H521" s="6">
        <v>0.18526350701330299</v>
      </c>
      <c r="I521" s="10">
        <v>6.903402281055417</v>
      </c>
      <c r="J521" s="7">
        <v>4.4546633456764642E-2</v>
      </c>
      <c r="K521" s="5">
        <v>0.1607327142037733</v>
      </c>
      <c r="L521">
        <v>167.01811066456111</v>
      </c>
      <c r="M521" s="10">
        <v>-0.71709896880255297</v>
      </c>
      <c r="N521" s="24" t="s">
        <v>343</v>
      </c>
      <c r="O521" s="24">
        <v>7.9740618718468248</v>
      </c>
      <c r="P521">
        <v>17.614642426631931</v>
      </c>
      <c r="Q521" t="s">
        <v>348</v>
      </c>
      <c r="R521" t="s">
        <v>375</v>
      </c>
      <c r="S521" t="s">
        <v>343</v>
      </c>
      <c r="T521" t="s">
        <v>343</v>
      </c>
    </row>
    <row r="522" spans="2:20" x14ac:dyDescent="0.25">
      <c r="B522">
        <v>517</v>
      </c>
      <c r="C522" t="s">
        <v>860</v>
      </c>
      <c r="D522" s="10">
        <v>0.27170587424315917</v>
      </c>
      <c r="E522" s="10">
        <v>0.45909117193579219</v>
      </c>
      <c r="F522" s="10">
        <v>0.63417489159876439</v>
      </c>
      <c r="G522" s="10">
        <v>0.37643017519135119</v>
      </c>
      <c r="H522" s="6">
        <v>0.17061862235375991</v>
      </c>
      <c r="I522" s="10">
        <v>5.1384464102985454</v>
      </c>
      <c r="J522" s="7">
        <v>2.4021933314819902E-2</v>
      </c>
      <c r="K522" s="5">
        <v>0.1937558805464111</v>
      </c>
      <c r="L522">
        <v>133.7691732770011</v>
      </c>
      <c r="M522" s="10">
        <v>-0.77341716469001209</v>
      </c>
      <c r="N522" s="24" t="s">
        <v>343</v>
      </c>
      <c r="O522" s="24">
        <v>4.5949701185992708</v>
      </c>
      <c r="P522">
        <v>63.187018293009118</v>
      </c>
      <c r="Q522" t="s">
        <v>47</v>
      </c>
      <c r="R522" t="s">
        <v>350</v>
      </c>
      <c r="S522" t="s">
        <v>343</v>
      </c>
      <c r="T522" t="s">
        <v>343</v>
      </c>
    </row>
    <row r="523" spans="2:20" x14ac:dyDescent="0.25">
      <c r="B523">
        <v>518</v>
      </c>
      <c r="C523" t="s">
        <v>861</v>
      </c>
      <c r="D523" s="10">
        <v>0.24577541861505919</v>
      </c>
      <c r="E523" s="10">
        <v>0.85428691812184088</v>
      </c>
      <c r="F523" s="10">
        <v>0.54719085584333871</v>
      </c>
      <c r="G523" s="10">
        <v>0.35294948148229532</v>
      </c>
      <c r="H523" s="6">
        <v>0.1782716625276147</v>
      </c>
      <c r="I523" s="10">
        <v>3.538107588285992</v>
      </c>
      <c r="J523" s="7">
        <v>1.5972027379550249E-2</v>
      </c>
      <c r="K523" s="5">
        <v>0.1671719073201034</v>
      </c>
      <c r="L523">
        <v>111.4919450178669</v>
      </c>
      <c r="M523" s="10">
        <v>-0.81115110157657777</v>
      </c>
      <c r="N523" s="24" t="s">
        <v>343</v>
      </c>
      <c r="O523" s="24">
        <v>2.3309339054053311</v>
      </c>
      <c r="P523">
        <v>63.702555762038713</v>
      </c>
      <c r="Q523" t="s">
        <v>47</v>
      </c>
      <c r="R523" t="s">
        <v>350</v>
      </c>
      <c r="S523" t="s">
        <v>343</v>
      </c>
      <c r="T523" t="s">
        <v>343</v>
      </c>
    </row>
    <row r="524" spans="2:20" x14ac:dyDescent="0.25">
      <c r="B524">
        <v>519</v>
      </c>
      <c r="C524" t="s">
        <v>862</v>
      </c>
      <c r="D524" s="10">
        <v>0.20952441860581239</v>
      </c>
      <c r="E524" s="10">
        <v>0.47132162503878861</v>
      </c>
      <c r="F524" s="10">
        <v>0.61422793682955301</v>
      </c>
      <c r="G524" s="10">
        <v>0.26505925742678782</v>
      </c>
      <c r="H524" s="6">
        <v>0.23297096086976651</v>
      </c>
      <c r="I524" s="10">
        <v>11.19921251942093</v>
      </c>
      <c r="J524" s="7">
        <v>4.2748624428142798E-2</v>
      </c>
      <c r="K524" s="5">
        <v>0.10795286881413151</v>
      </c>
      <c r="L524">
        <v>134.48640201573531</v>
      </c>
      <c r="M524" s="10">
        <v>-0.77220229793702944</v>
      </c>
      <c r="N524" s="24" t="s">
        <v>343</v>
      </c>
      <c r="O524" s="24">
        <v>4.6678621237782352</v>
      </c>
      <c r="P524">
        <v>48.810202179815967</v>
      </c>
      <c r="Q524" t="s">
        <v>346</v>
      </c>
      <c r="R524" t="s">
        <v>347</v>
      </c>
      <c r="S524" t="s">
        <v>343</v>
      </c>
      <c r="T524" t="s">
        <v>343</v>
      </c>
    </row>
    <row r="525" spans="2:20" x14ac:dyDescent="0.25">
      <c r="B525">
        <v>520</v>
      </c>
      <c r="C525" t="s">
        <v>863</v>
      </c>
      <c r="D525" s="10">
        <v>0.29020720315311183</v>
      </c>
      <c r="E525" s="10">
        <v>0.44088635988336722</v>
      </c>
      <c r="F525" s="10">
        <v>0.56732700599864694</v>
      </c>
      <c r="G525" s="10">
        <v>0.38280279967021202</v>
      </c>
      <c r="H525" s="6">
        <v>0.21917833988333391</v>
      </c>
      <c r="I525" s="10">
        <v>3.8109979289212532</v>
      </c>
      <c r="J525" s="7">
        <v>1.1589909518044681E-2</v>
      </c>
      <c r="K525" s="5">
        <v>0.13821644535648789</v>
      </c>
      <c r="L525">
        <v>82.458054140266384</v>
      </c>
      <c r="M525" s="10">
        <v>-0.86032970643724305</v>
      </c>
      <c r="N525" s="24" t="s">
        <v>343</v>
      </c>
      <c r="O525" s="24">
        <v>0</v>
      </c>
      <c r="P525">
        <v>58.747502621742029</v>
      </c>
      <c r="Q525" t="s">
        <v>47</v>
      </c>
      <c r="R525" t="s">
        <v>350</v>
      </c>
      <c r="S525" t="s">
        <v>343</v>
      </c>
      <c r="T525" t="s">
        <v>343</v>
      </c>
    </row>
    <row r="526" spans="2:20" x14ac:dyDescent="0.25">
      <c r="B526">
        <v>521</v>
      </c>
      <c r="C526" t="s">
        <v>864</v>
      </c>
      <c r="D526" s="10">
        <v>0.26955698760862068</v>
      </c>
      <c r="E526" s="10">
        <v>0.31338517992023651</v>
      </c>
      <c r="F526" s="10">
        <v>0.55364232514945078</v>
      </c>
      <c r="G526" s="10">
        <v>0.33824257454749668</v>
      </c>
      <c r="H526" s="6">
        <v>0.26530304466942289</v>
      </c>
      <c r="I526" s="10">
        <v>13.39136590809813</v>
      </c>
      <c r="J526" s="7">
        <v>2.645369720781442E-2</v>
      </c>
      <c r="K526" s="5">
        <v>0.110372428959118</v>
      </c>
      <c r="L526">
        <v>180.10207485672331</v>
      </c>
      <c r="M526" s="10">
        <v>-0.694936899387535</v>
      </c>
      <c r="N526" s="24" t="s">
        <v>343</v>
      </c>
      <c r="O526" s="24">
        <v>9.3037860367479013</v>
      </c>
      <c r="P526">
        <v>48.010441605884942</v>
      </c>
      <c r="Q526" t="s">
        <v>346</v>
      </c>
      <c r="R526" t="s">
        <v>347</v>
      </c>
      <c r="S526" t="s">
        <v>343</v>
      </c>
      <c r="T526" t="s">
        <v>343</v>
      </c>
    </row>
    <row r="527" spans="2:20" x14ac:dyDescent="0.25">
      <c r="B527">
        <v>522</v>
      </c>
      <c r="C527" t="s">
        <v>865</v>
      </c>
      <c r="D527" s="10">
        <v>0.1860187102951826</v>
      </c>
      <c r="E527" s="10">
        <v>0.99326269362119479</v>
      </c>
      <c r="F527" s="10">
        <v>0.5154667265133237</v>
      </c>
      <c r="G527" s="10">
        <v>0.28776531117975879</v>
      </c>
      <c r="H527" s="6">
        <v>0.14782192550346329</v>
      </c>
      <c r="I527" s="10">
        <v>6.2641780905256814</v>
      </c>
      <c r="J527" s="7">
        <v>3.6957949477357588E-2</v>
      </c>
      <c r="K527" s="5">
        <v>0.18665525221209001</v>
      </c>
      <c r="L527">
        <v>94.307769515961581</v>
      </c>
      <c r="M527" s="10">
        <v>-0.84025825019910394</v>
      </c>
      <c r="N527" s="24" t="s">
        <v>343</v>
      </c>
      <c r="O527" s="24">
        <v>0.58450498805376583</v>
      </c>
      <c r="P527">
        <v>58.566182228078709</v>
      </c>
      <c r="Q527" t="s">
        <v>47</v>
      </c>
      <c r="R527" t="s">
        <v>350</v>
      </c>
      <c r="S527" t="s">
        <v>343</v>
      </c>
      <c r="T527" t="s">
        <v>343</v>
      </c>
    </row>
    <row r="528" spans="2:20" x14ac:dyDescent="0.25">
      <c r="B528">
        <v>523</v>
      </c>
      <c r="C528" t="s">
        <v>866</v>
      </c>
      <c r="D528" s="10">
        <v>0.30574834951901481</v>
      </c>
      <c r="E528" s="10">
        <v>0.69492487835909467</v>
      </c>
      <c r="F528" s="10">
        <v>0.53947431377026112</v>
      </c>
      <c r="G528" s="10">
        <v>0.31774451425447903</v>
      </c>
      <c r="H528" s="6">
        <v>0.201489130398882</v>
      </c>
      <c r="I528" s="10">
        <v>11.73668749353655</v>
      </c>
      <c r="J528" s="7">
        <v>2.1086266640109531E-2</v>
      </c>
      <c r="K528" s="5">
        <v>0.1313893747404952</v>
      </c>
      <c r="L528">
        <v>233.5695845178021</v>
      </c>
      <c r="M528" s="10">
        <v>-0.60437178906211808</v>
      </c>
      <c r="N528" s="24" t="s">
        <v>343</v>
      </c>
      <c r="O528" s="24">
        <v>14.73769265627292</v>
      </c>
      <c r="P528">
        <v>64.870777558651582</v>
      </c>
      <c r="Q528" t="s">
        <v>47</v>
      </c>
      <c r="R528" t="s">
        <v>350</v>
      </c>
      <c r="S528" t="s">
        <v>343</v>
      </c>
      <c r="T528" t="s">
        <v>343</v>
      </c>
    </row>
    <row r="529" spans="2:20" x14ac:dyDescent="0.25">
      <c r="B529">
        <v>524</v>
      </c>
      <c r="C529" t="s">
        <v>867</v>
      </c>
      <c r="D529" s="10">
        <v>0.29160595886770702</v>
      </c>
      <c r="E529" s="10">
        <v>0.41570711336686877</v>
      </c>
      <c r="F529" s="10">
        <v>0.53094686400655122</v>
      </c>
      <c r="G529" s="10">
        <v>0.34826246324056448</v>
      </c>
      <c r="H529" s="6">
        <v>0.187368921812854</v>
      </c>
      <c r="I529" s="10">
        <v>3.6565091614049181</v>
      </c>
      <c r="J529" s="7">
        <v>2.8509213446598038E-2</v>
      </c>
      <c r="K529" s="5">
        <v>0.1696707702873638</v>
      </c>
      <c r="L529">
        <v>45.877861849808653</v>
      </c>
      <c r="M529" s="10">
        <v>-0.92229049667247354</v>
      </c>
      <c r="N529" s="24" t="s">
        <v>343</v>
      </c>
      <c r="O529" s="24">
        <v>0</v>
      </c>
      <c r="P529">
        <v>58.922497060864153</v>
      </c>
      <c r="Q529" t="s">
        <v>47</v>
      </c>
      <c r="R529" t="s">
        <v>350</v>
      </c>
      <c r="S529" t="s">
        <v>343</v>
      </c>
      <c r="T529" t="s">
        <v>343</v>
      </c>
    </row>
    <row r="530" spans="2:20" x14ac:dyDescent="0.25">
      <c r="B530">
        <v>525</v>
      </c>
      <c r="C530" t="s">
        <v>868</v>
      </c>
      <c r="D530" s="10">
        <v>0.31196798612670779</v>
      </c>
      <c r="E530" s="10">
        <v>0.65512155550444073</v>
      </c>
      <c r="F530" s="10">
        <v>0.6080086678438692</v>
      </c>
      <c r="G530" s="10">
        <v>0.26014192999816399</v>
      </c>
      <c r="H530" s="6">
        <v>0.25782841633886239</v>
      </c>
      <c r="I530" s="10">
        <v>8.8990655311705922</v>
      </c>
      <c r="J530" s="7">
        <v>3.4514455570983073E-2</v>
      </c>
      <c r="K530" s="5">
        <v>0.1080455840108651</v>
      </c>
      <c r="L530">
        <v>213.1022465349655</v>
      </c>
      <c r="M530" s="10">
        <v>-0.63904007143085029</v>
      </c>
      <c r="N530" s="24" t="s">
        <v>343</v>
      </c>
      <c r="O530" s="24">
        <v>12.657595714148981</v>
      </c>
      <c r="P530">
        <v>52.630312169282888</v>
      </c>
      <c r="Q530" t="s">
        <v>47</v>
      </c>
      <c r="R530" t="s">
        <v>350</v>
      </c>
      <c r="S530" t="s">
        <v>343</v>
      </c>
      <c r="T530" t="s">
        <v>343</v>
      </c>
    </row>
    <row r="531" spans="2:20" x14ac:dyDescent="0.25">
      <c r="B531">
        <v>526</v>
      </c>
      <c r="C531" t="s">
        <v>869</v>
      </c>
      <c r="D531" s="10">
        <v>0.27611512134213761</v>
      </c>
      <c r="E531" s="10">
        <v>0.48583850059674338</v>
      </c>
      <c r="F531" s="10">
        <v>0.47016481293257628</v>
      </c>
      <c r="G531" s="10">
        <v>0.45067408628823802</v>
      </c>
      <c r="H531" s="6">
        <v>0.121592884871544</v>
      </c>
      <c r="I531" s="10">
        <v>6.8400949079960389</v>
      </c>
      <c r="J531" s="7">
        <v>4.3319174735046227E-2</v>
      </c>
      <c r="K531" s="5">
        <v>0.1121993961005668</v>
      </c>
      <c r="L531">
        <v>249.12066606426211</v>
      </c>
      <c r="M531" s="10">
        <v>-0.57803083125686017</v>
      </c>
      <c r="N531" s="24" t="s">
        <v>343</v>
      </c>
      <c r="O531" s="24">
        <v>16.318150124588389</v>
      </c>
      <c r="P531">
        <v>51.423567364399801</v>
      </c>
      <c r="Q531" t="s">
        <v>47</v>
      </c>
      <c r="R531" t="s">
        <v>350</v>
      </c>
      <c r="S531" t="s">
        <v>343</v>
      </c>
      <c r="T531" t="s">
        <v>343</v>
      </c>
    </row>
    <row r="532" spans="2:20" x14ac:dyDescent="0.25">
      <c r="B532">
        <v>527</v>
      </c>
      <c r="C532" t="s">
        <v>870</v>
      </c>
      <c r="D532" s="10">
        <v>0.25814643134972642</v>
      </c>
      <c r="E532" s="10">
        <v>1.335864314651825</v>
      </c>
      <c r="F532" s="10">
        <v>0.46408545585882949</v>
      </c>
      <c r="G532" s="10">
        <v>0.38642367436666669</v>
      </c>
      <c r="H532" s="6">
        <v>0.26837556011506408</v>
      </c>
      <c r="I532" s="10">
        <v>3.3300121569595049</v>
      </c>
      <c r="J532" s="7">
        <v>1.3594592374486051E-2</v>
      </c>
      <c r="K532" s="5">
        <v>0.16455132789481511</v>
      </c>
      <c r="L532">
        <v>140.32069096813291</v>
      </c>
      <c r="M532" s="10">
        <v>-0.7623199782630149</v>
      </c>
      <c r="N532" s="24" t="s">
        <v>343</v>
      </c>
      <c r="O532" s="24">
        <v>5.2608013042191084</v>
      </c>
      <c r="P532">
        <v>49.754672717117231</v>
      </c>
      <c r="Q532" t="s">
        <v>346</v>
      </c>
      <c r="R532" t="s">
        <v>347</v>
      </c>
      <c r="S532" t="s">
        <v>343</v>
      </c>
      <c r="T532" t="s">
        <v>343</v>
      </c>
    </row>
    <row r="533" spans="2:20" x14ac:dyDescent="0.25">
      <c r="B533">
        <v>528</v>
      </c>
      <c r="C533" t="s">
        <v>871</v>
      </c>
      <c r="D533" s="10">
        <v>0.22691888580649899</v>
      </c>
      <c r="E533" s="10">
        <v>0.65200537433748285</v>
      </c>
      <c r="F533" s="10">
        <v>0.61160337849419966</v>
      </c>
      <c r="G533" s="10">
        <v>0.26255769588329309</v>
      </c>
      <c r="H533" s="6">
        <v>0.19196014715587931</v>
      </c>
      <c r="I533" s="10">
        <v>10.213792898500889</v>
      </c>
      <c r="J533" s="7">
        <v>1.550293463002219E-2</v>
      </c>
      <c r="K533" s="5">
        <v>0.1801305950944061</v>
      </c>
      <c r="L533">
        <v>96.844097313089179</v>
      </c>
      <c r="M533" s="10">
        <v>-0.83596213077584436</v>
      </c>
      <c r="N533" s="24" t="s">
        <v>343</v>
      </c>
      <c r="O533" s="24">
        <v>0.84227215344934336</v>
      </c>
      <c r="P533">
        <v>60.12273395534023</v>
      </c>
      <c r="Q533" t="s">
        <v>47</v>
      </c>
      <c r="R533" t="s">
        <v>350</v>
      </c>
      <c r="S533" t="s">
        <v>343</v>
      </c>
      <c r="T533" t="s">
        <v>343</v>
      </c>
    </row>
    <row r="534" spans="2:20" x14ac:dyDescent="0.25">
      <c r="B534">
        <v>529</v>
      </c>
      <c r="C534" t="s">
        <v>872</v>
      </c>
      <c r="D534" s="10">
        <v>0.30923655733664213</v>
      </c>
      <c r="E534" s="10">
        <v>0.66734887561832879</v>
      </c>
      <c r="F534" s="10">
        <v>0.58203749816850903</v>
      </c>
      <c r="G534" s="10">
        <v>0.42102968055226109</v>
      </c>
      <c r="H534" s="6">
        <v>0.21383094708503961</v>
      </c>
      <c r="I534" s="10">
        <v>13.37478992999344</v>
      </c>
      <c r="J534" s="7">
        <v>2.7810481331792342E-2</v>
      </c>
      <c r="K534" s="5">
        <v>0.11913774585147149</v>
      </c>
      <c r="L534">
        <v>290.77501111057057</v>
      </c>
      <c r="M534" s="10">
        <v>-0.50747526623120831</v>
      </c>
      <c r="N534" s="24" t="s">
        <v>343</v>
      </c>
      <c r="O534" s="24">
        <v>20.5514840261275</v>
      </c>
      <c r="P534">
        <v>45.164450430852838</v>
      </c>
      <c r="Q534" t="s">
        <v>346</v>
      </c>
      <c r="R534" t="s">
        <v>347</v>
      </c>
      <c r="S534" t="s">
        <v>343</v>
      </c>
      <c r="T534" t="s">
        <v>343</v>
      </c>
    </row>
    <row r="535" spans="2:20" x14ac:dyDescent="0.25">
      <c r="B535">
        <v>530</v>
      </c>
      <c r="C535" t="s">
        <v>873</v>
      </c>
      <c r="D535" s="10">
        <v>0.29857022232006541</v>
      </c>
      <c r="E535" s="10">
        <v>1.223843803739544</v>
      </c>
      <c r="F535" s="10">
        <v>0.55185202515309095</v>
      </c>
      <c r="G535" s="10">
        <v>0.31096208480815202</v>
      </c>
      <c r="H535" s="6">
        <v>0.17400788337085729</v>
      </c>
      <c r="I535" s="10">
        <v>3.1182804392337231</v>
      </c>
      <c r="J535" s="7">
        <v>2.4646623640251639E-2</v>
      </c>
      <c r="K535" s="5">
        <v>0.13974203836972099</v>
      </c>
      <c r="L535">
        <v>118.7813363007559</v>
      </c>
      <c r="M535" s="10">
        <v>-0.7988040794331368</v>
      </c>
      <c r="N535" s="24" t="s">
        <v>343</v>
      </c>
      <c r="O535" s="24">
        <v>3.0717552340117891</v>
      </c>
      <c r="P535">
        <v>56.331496060457823</v>
      </c>
      <c r="Q535" t="s">
        <v>47</v>
      </c>
      <c r="R535" t="s">
        <v>350</v>
      </c>
      <c r="S535" t="s">
        <v>343</v>
      </c>
      <c r="T535" t="s">
        <v>343</v>
      </c>
    </row>
    <row r="536" spans="2:20" x14ac:dyDescent="0.25">
      <c r="B536">
        <v>531</v>
      </c>
      <c r="C536" t="s">
        <v>874</v>
      </c>
      <c r="D536" s="10">
        <v>0.16723498721699029</v>
      </c>
      <c r="E536" s="10">
        <v>1.012531337414605</v>
      </c>
      <c r="F536" s="10">
        <v>0.47963514994605488</v>
      </c>
      <c r="G536" s="10">
        <v>0.37129589807690039</v>
      </c>
      <c r="H536" s="6">
        <v>0.24787900045432479</v>
      </c>
      <c r="I536" s="10">
        <v>5.9748061879826446</v>
      </c>
      <c r="J536" s="7">
        <v>2.4377865623928321E-2</v>
      </c>
      <c r="K536" s="5">
        <v>0.15884461829679711</v>
      </c>
      <c r="L536">
        <v>183.7159922077463</v>
      </c>
      <c r="M536" s="10">
        <v>-0.68881552164473392</v>
      </c>
      <c r="N536" s="24" t="s">
        <v>343</v>
      </c>
      <c r="O536" s="24">
        <v>9.6710687013159671</v>
      </c>
      <c r="P536">
        <v>16.733686471936199</v>
      </c>
      <c r="Q536" t="s">
        <v>348</v>
      </c>
      <c r="R536" t="s">
        <v>375</v>
      </c>
      <c r="S536" t="s">
        <v>343</v>
      </c>
      <c r="T536" t="s">
        <v>343</v>
      </c>
    </row>
    <row r="537" spans="2:20" x14ac:dyDescent="0.25">
      <c r="B537">
        <v>532</v>
      </c>
      <c r="C537" t="s">
        <v>875</v>
      </c>
      <c r="D537" s="10">
        <v>0.1642187159195603</v>
      </c>
      <c r="E537" s="10">
        <v>1.081188768143301</v>
      </c>
      <c r="F537" s="10">
        <v>0.54686704908602102</v>
      </c>
      <c r="G537" s="10">
        <v>0.30097142514750608</v>
      </c>
      <c r="H537" s="6">
        <v>0.2042981917677574</v>
      </c>
      <c r="I537" s="10">
        <v>10.739663169673211</v>
      </c>
      <c r="J537" s="7">
        <v>2.039365260276536E-2</v>
      </c>
      <c r="K537" s="5">
        <v>0.17564625222972591</v>
      </c>
      <c r="L537">
        <v>286.59407834637608</v>
      </c>
      <c r="M537" s="10">
        <v>-0.51455707421988406</v>
      </c>
      <c r="N537" s="24" t="s">
        <v>343</v>
      </c>
      <c r="O537" s="24">
        <v>20.126575546806961</v>
      </c>
      <c r="P537">
        <v>64.430163175395649</v>
      </c>
      <c r="Q537" t="s">
        <v>47</v>
      </c>
      <c r="R537" t="s">
        <v>350</v>
      </c>
      <c r="S537" t="s">
        <v>343</v>
      </c>
      <c r="T537" t="s">
        <v>343</v>
      </c>
    </row>
    <row r="538" spans="2:20" x14ac:dyDescent="0.25">
      <c r="B538">
        <v>533</v>
      </c>
      <c r="C538" t="s">
        <v>876</v>
      </c>
      <c r="D538" s="10">
        <v>0.22023413870048791</v>
      </c>
      <c r="E538" s="10">
        <v>0.99960198438785652</v>
      </c>
      <c r="F538" s="10">
        <v>0.64533025846320302</v>
      </c>
      <c r="G538" s="10">
        <v>0.40134930788121359</v>
      </c>
      <c r="H538" s="6">
        <v>0.2194216404374647</v>
      </c>
      <c r="I538" s="10">
        <v>12.583790964457931</v>
      </c>
      <c r="J538" s="7">
        <v>2.9623967947813461E-2</v>
      </c>
      <c r="K538" s="5">
        <v>0.15967867798603169</v>
      </c>
      <c r="L538">
        <v>264.45412807583853</v>
      </c>
      <c r="M538" s="10">
        <v>-0.55205848491883935</v>
      </c>
      <c r="N538" s="24" t="s">
        <v>343</v>
      </c>
      <c r="O538" s="24">
        <v>17.876490904869641</v>
      </c>
      <c r="P538">
        <v>55.628836204383141</v>
      </c>
      <c r="Q538" t="s">
        <v>47</v>
      </c>
      <c r="R538" t="s">
        <v>350</v>
      </c>
      <c r="S538" t="s">
        <v>343</v>
      </c>
      <c r="T538" t="s">
        <v>343</v>
      </c>
    </row>
    <row r="539" spans="2:20" x14ac:dyDescent="0.25">
      <c r="B539">
        <v>534</v>
      </c>
      <c r="C539" t="s">
        <v>877</v>
      </c>
      <c r="D539" s="10">
        <v>0.28968853292509328</v>
      </c>
      <c r="E539" s="10">
        <v>1.340815912343422</v>
      </c>
      <c r="F539" s="10">
        <v>0.67130152130520682</v>
      </c>
      <c r="G539" s="10">
        <v>0.39906197450002251</v>
      </c>
      <c r="H539" s="6">
        <v>0.2173357062091015</v>
      </c>
      <c r="I539" s="10">
        <v>5.098570908500859</v>
      </c>
      <c r="J539" s="7">
        <v>4.0915091765800063E-2</v>
      </c>
      <c r="K539" s="5">
        <v>0.1090654624610448</v>
      </c>
      <c r="L539">
        <v>418.77616406962341</v>
      </c>
      <c r="M539" s="10">
        <v>-0.29066250249862358</v>
      </c>
      <c r="N539" s="24" t="s">
        <v>343</v>
      </c>
      <c r="O539" s="24">
        <v>33.560249850082577</v>
      </c>
      <c r="P539">
        <v>48.791408259828657</v>
      </c>
      <c r="Q539" t="s">
        <v>346</v>
      </c>
      <c r="R539" t="s">
        <v>347</v>
      </c>
      <c r="S539" t="s">
        <v>343</v>
      </c>
      <c r="T539" t="s">
        <v>343</v>
      </c>
    </row>
    <row r="540" spans="2:20" x14ac:dyDescent="0.25">
      <c r="B540">
        <v>535</v>
      </c>
      <c r="C540" t="s">
        <v>878</v>
      </c>
      <c r="D540" s="10">
        <v>0.31796418069039112</v>
      </c>
      <c r="E540" s="10">
        <v>0.52770091471384961</v>
      </c>
      <c r="F540" s="10">
        <v>0.62266990819069723</v>
      </c>
      <c r="G540" s="10">
        <v>0.36144956051193189</v>
      </c>
      <c r="H540" s="6">
        <v>0.17459732098465991</v>
      </c>
      <c r="I540" s="10">
        <v>3.777884629926457</v>
      </c>
      <c r="J540" s="7">
        <v>1.563235191882523E-2</v>
      </c>
      <c r="K540" s="5">
        <v>0.151567836191738</v>
      </c>
      <c r="L540">
        <v>88.679970488026328</v>
      </c>
      <c r="M540" s="10">
        <v>-0.84979081012353308</v>
      </c>
      <c r="N540" s="24" t="s">
        <v>343</v>
      </c>
      <c r="O540" s="24">
        <v>1.255139258802274E-2</v>
      </c>
      <c r="P540">
        <v>55.498134286149131</v>
      </c>
      <c r="Q540" t="s">
        <v>47</v>
      </c>
      <c r="R540" t="s">
        <v>350</v>
      </c>
      <c r="S540" t="s">
        <v>343</v>
      </c>
      <c r="T540" t="s">
        <v>343</v>
      </c>
    </row>
    <row r="541" spans="2:20" x14ac:dyDescent="0.25">
      <c r="B541">
        <v>536</v>
      </c>
      <c r="C541" t="s">
        <v>879</v>
      </c>
      <c r="D541" s="10">
        <v>0.18406670257656449</v>
      </c>
      <c r="E541" s="10">
        <v>1.387943165931375</v>
      </c>
      <c r="F541" s="10">
        <v>0.45557716572902901</v>
      </c>
      <c r="G541" s="10">
        <v>0.29300363034374721</v>
      </c>
      <c r="H541" s="6">
        <v>0.13139864937099241</v>
      </c>
      <c r="I541" s="10">
        <v>3.0950554037077791</v>
      </c>
      <c r="J541" s="7">
        <v>1.7535021532351518E-2</v>
      </c>
      <c r="K541" s="5">
        <v>0.18403763474027421</v>
      </c>
      <c r="L541">
        <v>136.39407128417349</v>
      </c>
      <c r="M541" s="10">
        <v>-0.76897102199289702</v>
      </c>
      <c r="N541" s="24" t="s">
        <v>343</v>
      </c>
      <c r="O541" s="24">
        <v>4.8617386804261864</v>
      </c>
      <c r="P541">
        <v>23.14170321311353</v>
      </c>
      <c r="Q541" t="s">
        <v>348</v>
      </c>
      <c r="R541" t="s">
        <v>353</v>
      </c>
      <c r="S541" t="s">
        <v>343</v>
      </c>
      <c r="T541" t="s">
        <v>343</v>
      </c>
    </row>
    <row r="542" spans="2:20" x14ac:dyDescent="0.25">
      <c r="B542">
        <v>537</v>
      </c>
      <c r="C542" t="s">
        <v>880</v>
      </c>
      <c r="D542" s="10">
        <v>0.2550609144563416</v>
      </c>
      <c r="E542" s="10">
        <v>1.2140517953121639</v>
      </c>
      <c r="F542" s="10">
        <v>0.61430654191629075</v>
      </c>
      <c r="G542" s="10">
        <v>0.29581483765267202</v>
      </c>
      <c r="H542" s="6">
        <v>0.2411559339141075</v>
      </c>
      <c r="I542" s="10">
        <v>5.3672706382180264</v>
      </c>
      <c r="J542" s="7">
        <v>3.3478822422985499E-2</v>
      </c>
      <c r="K542" s="5">
        <v>0.18246225349727849</v>
      </c>
      <c r="L542">
        <v>201.0741690103541</v>
      </c>
      <c r="M542" s="10">
        <v>-0.65941364362308685</v>
      </c>
      <c r="N542" s="24" t="s">
        <v>343</v>
      </c>
      <c r="O542" s="24">
        <v>11.43518138261479</v>
      </c>
      <c r="P542">
        <v>22.07881446721478</v>
      </c>
      <c r="Q542" t="s">
        <v>348</v>
      </c>
      <c r="R542" t="s">
        <v>375</v>
      </c>
      <c r="S542" t="s">
        <v>343</v>
      </c>
      <c r="T542" t="s">
        <v>343</v>
      </c>
    </row>
    <row r="543" spans="2:20" x14ac:dyDescent="0.25">
      <c r="B543">
        <v>538</v>
      </c>
      <c r="C543" t="s">
        <v>881</v>
      </c>
      <c r="D543" s="10">
        <v>0.22094253706096351</v>
      </c>
      <c r="E543" s="10">
        <v>0.9478698477639762</v>
      </c>
      <c r="F543" s="10">
        <v>0.50265625328203656</v>
      </c>
      <c r="G543" s="10">
        <v>0.32422981527288752</v>
      </c>
      <c r="H543" s="6">
        <v>0.1634573878776476</v>
      </c>
      <c r="I543" s="10">
        <v>3.7844902125967228</v>
      </c>
      <c r="J543" s="7">
        <v>1.196691790005565E-2</v>
      </c>
      <c r="K543" s="5">
        <v>0.15557648273634131</v>
      </c>
      <c r="L543">
        <v>66.464886314235272</v>
      </c>
      <c r="M543" s="10">
        <v>-0.88741948521689284</v>
      </c>
      <c r="N543" s="24" t="s">
        <v>343</v>
      </c>
      <c r="O543" s="24">
        <v>0</v>
      </c>
      <c r="P543">
        <v>56.987310859692478</v>
      </c>
      <c r="Q543" t="s">
        <v>47</v>
      </c>
      <c r="R543" t="s">
        <v>350</v>
      </c>
      <c r="S543" t="s">
        <v>343</v>
      </c>
      <c r="T543" t="s">
        <v>343</v>
      </c>
    </row>
    <row r="544" spans="2:20" x14ac:dyDescent="0.25">
      <c r="B544">
        <v>539</v>
      </c>
      <c r="C544" t="s">
        <v>882</v>
      </c>
      <c r="D544" s="10">
        <v>0.31518630365033651</v>
      </c>
      <c r="E544" s="10">
        <v>1.028608786835874</v>
      </c>
      <c r="F544" s="10">
        <v>0.52196532318686528</v>
      </c>
      <c r="G544" s="10">
        <v>0.27190267682718278</v>
      </c>
      <c r="H544" s="6">
        <v>0.2473395342716557</v>
      </c>
      <c r="I544" s="10">
        <v>6.9532029801285784</v>
      </c>
      <c r="J544" s="7">
        <v>3.3581746984705223E-2</v>
      </c>
      <c r="K544" s="5">
        <v>0.19459113964322969</v>
      </c>
      <c r="L544">
        <v>99.239919434688915</v>
      </c>
      <c r="M544" s="10">
        <v>-0.83190400470754344</v>
      </c>
      <c r="N544" s="24" t="s">
        <v>343</v>
      </c>
      <c r="O544" s="24">
        <v>1.0857597175473901</v>
      </c>
      <c r="P544">
        <v>50.820042998147997</v>
      </c>
      <c r="Q544" t="s">
        <v>47</v>
      </c>
      <c r="R544" t="s">
        <v>350</v>
      </c>
      <c r="S544" t="s">
        <v>343</v>
      </c>
      <c r="T544" t="s">
        <v>343</v>
      </c>
    </row>
    <row r="545" spans="2:20" x14ac:dyDescent="0.25">
      <c r="B545">
        <v>540</v>
      </c>
      <c r="C545" t="s">
        <v>883</v>
      </c>
      <c r="D545" s="10">
        <v>0.2947390277017134</v>
      </c>
      <c r="E545" s="10">
        <v>1.0137084641506751</v>
      </c>
      <c r="F545" s="10">
        <v>0.49092703406959598</v>
      </c>
      <c r="G545" s="10">
        <v>0.31428425690200318</v>
      </c>
      <c r="H545" s="6">
        <v>0.21129645131862401</v>
      </c>
      <c r="I545" s="10">
        <v>7.8413835244923158</v>
      </c>
      <c r="J545" s="7">
        <v>2.100596528021681E-2</v>
      </c>
      <c r="K545" s="5">
        <v>0.10998675362651381</v>
      </c>
      <c r="L545">
        <v>369.47934111694201</v>
      </c>
      <c r="M545" s="10">
        <v>-0.3741631599577474</v>
      </c>
      <c r="N545" s="24" t="s">
        <v>343</v>
      </c>
      <c r="O545" s="24">
        <v>28.550210402535161</v>
      </c>
      <c r="P545">
        <v>19.424077660354939</v>
      </c>
      <c r="Q545" t="s">
        <v>348</v>
      </c>
      <c r="R545" t="s">
        <v>375</v>
      </c>
      <c r="S545" t="s">
        <v>343</v>
      </c>
      <c r="T545" t="s">
        <v>343</v>
      </c>
    </row>
    <row r="546" spans="2:20" x14ac:dyDescent="0.25">
      <c r="B546">
        <v>541</v>
      </c>
      <c r="C546" t="s">
        <v>884</v>
      </c>
      <c r="D546" s="10">
        <v>0.29413259275378212</v>
      </c>
      <c r="E546" s="10">
        <v>0.36423584646506929</v>
      </c>
      <c r="F546" s="10">
        <v>0.64169650556125313</v>
      </c>
      <c r="G546" s="10">
        <v>0.39055801227462872</v>
      </c>
      <c r="H546" s="6">
        <v>0.1730555937146217</v>
      </c>
      <c r="I546" s="10">
        <v>8.2791618647042675</v>
      </c>
      <c r="J546" s="7">
        <v>2.252488759900052E-2</v>
      </c>
      <c r="K546" s="5">
        <v>0.145466558952207</v>
      </c>
      <c r="L546">
        <v>98.286088409140859</v>
      </c>
      <c r="M546" s="10">
        <v>-0.83351963656711825</v>
      </c>
      <c r="N546" s="24" t="s">
        <v>343</v>
      </c>
      <c r="O546" s="24">
        <v>0.98882180597290414</v>
      </c>
      <c r="P546">
        <v>62.137061839140017</v>
      </c>
      <c r="Q546" t="s">
        <v>47</v>
      </c>
      <c r="R546" t="s">
        <v>350</v>
      </c>
      <c r="S546" t="s">
        <v>343</v>
      </c>
      <c r="T546" t="s">
        <v>343</v>
      </c>
    </row>
    <row r="547" spans="2:20" x14ac:dyDescent="0.25">
      <c r="B547">
        <v>542</v>
      </c>
      <c r="C547" t="s">
        <v>885</v>
      </c>
      <c r="D547" s="10">
        <v>0.23499090556719529</v>
      </c>
      <c r="E547" s="10">
        <v>0.53981814838513242</v>
      </c>
      <c r="F547" s="10">
        <v>0.60863655188569254</v>
      </c>
      <c r="G547" s="10">
        <v>0.42278596161307269</v>
      </c>
      <c r="H547" s="6">
        <v>0.2091370723460434</v>
      </c>
      <c r="I547" s="10">
        <v>4.5656224126906837</v>
      </c>
      <c r="J547" s="7">
        <v>2.4194228083801509E-2</v>
      </c>
      <c r="K547" s="5">
        <v>0.17363674573851029</v>
      </c>
      <c r="L547">
        <v>164.6369382504954</v>
      </c>
      <c r="M547" s="10">
        <v>-0.72113228069141166</v>
      </c>
      <c r="N547" s="24" t="s">
        <v>343</v>
      </c>
      <c r="O547" s="24">
        <v>7.7320631585153023</v>
      </c>
      <c r="P547">
        <v>58.951465748170897</v>
      </c>
      <c r="Q547" t="s">
        <v>47</v>
      </c>
      <c r="R547" t="s">
        <v>350</v>
      </c>
      <c r="S547" t="s">
        <v>343</v>
      </c>
      <c r="T547" t="s">
        <v>343</v>
      </c>
    </row>
    <row r="548" spans="2:20" x14ac:dyDescent="0.25">
      <c r="B548">
        <v>543</v>
      </c>
      <c r="C548" t="s">
        <v>886</v>
      </c>
      <c r="D548" s="10">
        <v>0.2263711203740264</v>
      </c>
      <c r="E548" s="10">
        <v>1.357617972977224</v>
      </c>
      <c r="F548" s="10">
        <v>0.59907711419578702</v>
      </c>
      <c r="G548" s="10">
        <v>0.3131681039085395</v>
      </c>
      <c r="H548" s="6">
        <v>0.2168239038542156</v>
      </c>
      <c r="I548" s="10">
        <v>8.1038685370924846</v>
      </c>
      <c r="J548" s="7">
        <v>2.2235564652210021E-2</v>
      </c>
      <c r="K548" s="5">
        <v>0.1133986212208451</v>
      </c>
      <c r="L548">
        <v>297.02317929341461</v>
      </c>
      <c r="M548" s="10">
        <v>-0.49689190365460889</v>
      </c>
      <c r="N548" s="24" t="s">
        <v>343</v>
      </c>
      <c r="O548" s="24">
        <v>21.186485780723469</v>
      </c>
      <c r="P548">
        <v>18.618644019353791</v>
      </c>
      <c r="Q548" t="s">
        <v>348</v>
      </c>
      <c r="R548" t="s">
        <v>375</v>
      </c>
      <c r="S548" t="s">
        <v>343</v>
      </c>
      <c r="T548" t="s">
        <v>343</v>
      </c>
    </row>
    <row r="549" spans="2:20" x14ac:dyDescent="0.25">
      <c r="B549">
        <v>544</v>
      </c>
      <c r="C549" t="s">
        <v>887</v>
      </c>
      <c r="D549" s="10">
        <v>0.20374513150891299</v>
      </c>
      <c r="E549" s="10">
        <v>0.88780087174531719</v>
      </c>
      <c r="F549" s="10">
        <v>0.61367287851401175</v>
      </c>
      <c r="G549" s="10">
        <v>0.29138985681596008</v>
      </c>
      <c r="H549" s="6">
        <v>0.22600251116380091</v>
      </c>
      <c r="I549" s="10">
        <v>3.099568059314493</v>
      </c>
      <c r="J549" s="7">
        <v>3.9442336744783632E-2</v>
      </c>
      <c r="K549" s="5">
        <v>0.19241122734087121</v>
      </c>
      <c r="L549">
        <v>97.125579672986689</v>
      </c>
      <c r="M549" s="10">
        <v>-0.83548534625491988</v>
      </c>
      <c r="N549" s="24" t="s">
        <v>343</v>
      </c>
      <c r="O549" s="24">
        <v>0.87087922470480805</v>
      </c>
      <c r="P549">
        <v>58.653247684163013</v>
      </c>
      <c r="Q549" t="s">
        <v>47</v>
      </c>
      <c r="R549" t="s">
        <v>350</v>
      </c>
      <c r="S549" t="s">
        <v>343</v>
      </c>
      <c r="T549" t="s">
        <v>343</v>
      </c>
    </row>
    <row r="550" spans="2:20" x14ac:dyDescent="0.25">
      <c r="B550">
        <v>545</v>
      </c>
      <c r="C550" t="s">
        <v>888</v>
      </c>
      <c r="D550" s="10">
        <v>0.16902007946414829</v>
      </c>
      <c r="E550" s="10">
        <v>0.71618896358810313</v>
      </c>
      <c r="F550" s="10">
        <v>0.50156078796501491</v>
      </c>
      <c r="G550" s="10">
        <v>0.42318136723372962</v>
      </c>
      <c r="H550" s="6">
        <v>0.24335072017606069</v>
      </c>
      <c r="I550" s="10">
        <v>5.6336319693425034</v>
      </c>
      <c r="J550" s="7">
        <v>4.3112396009010817E-2</v>
      </c>
      <c r="K550" s="5">
        <v>0.13363442179244631</v>
      </c>
      <c r="L550">
        <v>88.015961839298484</v>
      </c>
      <c r="M550" s="10">
        <v>-0.85091553085412741</v>
      </c>
      <c r="N550" s="24" t="s">
        <v>343</v>
      </c>
      <c r="O550" s="24">
        <v>0</v>
      </c>
      <c r="P550">
        <v>52.741136129283447</v>
      </c>
      <c r="Q550" t="s">
        <v>47</v>
      </c>
      <c r="R550" t="s">
        <v>350</v>
      </c>
      <c r="S550" t="s">
        <v>343</v>
      </c>
      <c r="T550" t="s">
        <v>343</v>
      </c>
    </row>
    <row r="551" spans="2:20" x14ac:dyDescent="0.25">
      <c r="B551">
        <v>546</v>
      </c>
      <c r="C551" t="s">
        <v>889</v>
      </c>
      <c r="D551" s="10">
        <v>0.29835558020080849</v>
      </c>
      <c r="E551" s="10">
        <v>1.1382423097279819</v>
      </c>
      <c r="F551" s="10">
        <v>0.55560754772459398</v>
      </c>
      <c r="G551" s="10">
        <v>0.43595488602490268</v>
      </c>
      <c r="H551" s="6">
        <v>0.14396324133269769</v>
      </c>
      <c r="I551" s="10">
        <v>7.0599465424025194</v>
      </c>
      <c r="J551" s="7">
        <v>2.91804016360666E-2</v>
      </c>
      <c r="K551" s="5">
        <v>0.13326327662796611</v>
      </c>
      <c r="L551">
        <v>370.35892610146408</v>
      </c>
      <c r="M551" s="10">
        <v>-0.37267328860094062</v>
      </c>
      <c r="N551" s="24" t="s">
        <v>343</v>
      </c>
      <c r="O551" s="24">
        <v>28.639602683943561</v>
      </c>
      <c r="P551">
        <v>57.817108315172497</v>
      </c>
      <c r="Q551" t="s">
        <v>47</v>
      </c>
      <c r="R551" t="s">
        <v>350</v>
      </c>
      <c r="S551" t="s">
        <v>343</v>
      </c>
      <c r="T551" t="s">
        <v>343</v>
      </c>
    </row>
    <row r="552" spans="2:20" x14ac:dyDescent="0.25">
      <c r="B552">
        <v>547</v>
      </c>
      <c r="C552" t="s">
        <v>890</v>
      </c>
      <c r="D552" s="10">
        <v>0.29006416146081238</v>
      </c>
      <c r="E552" s="10">
        <v>0.87697083692139044</v>
      </c>
      <c r="F552" s="10">
        <v>0.60464596760273714</v>
      </c>
      <c r="G552" s="10">
        <v>0.33020473512865423</v>
      </c>
      <c r="H552" s="6">
        <v>0.2616216577152925</v>
      </c>
      <c r="I552" s="10">
        <v>4.3018673353792316</v>
      </c>
      <c r="J552" s="7">
        <v>3.036574745922287E-2</v>
      </c>
      <c r="K552" s="5">
        <v>0.1202534586084146</v>
      </c>
      <c r="L552">
        <v>126.9164015312772</v>
      </c>
      <c r="M552" s="10">
        <v>-0.78502462561572939</v>
      </c>
      <c r="N552" s="24" t="s">
        <v>343</v>
      </c>
      <c r="O552" s="24">
        <v>3.898522463056231</v>
      </c>
      <c r="P552">
        <v>57.050534275242462</v>
      </c>
      <c r="Q552" t="s">
        <v>47</v>
      </c>
      <c r="R552" t="s">
        <v>350</v>
      </c>
      <c r="S552" t="s">
        <v>343</v>
      </c>
      <c r="T552" t="s">
        <v>343</v>
      </c>
    </row>
    <row r="553" spans="2:20" x14ac:dyDescent="0.25">
      <c r="B553">
        <v>548</v>
      </c>
      <c r="C553" t="s">
        <v>891</v>
      </c>
      <c r="D553" s="10">
        <v>0.31995482772578088</v>
      </c>
      <c r="E553" s="10">
        <v>0.31447904857508729</v>
      </c>
      <c r="F553" s="10">
        <v>0.60551444718075809</v>
      </c>
      <c r="G553" s="10">
        <v>0.24591891384691941</v>
      </c>
      <c r="H553" s="6">
        <v>0.18162609216412659</v>
      </c>
      <c r="I553" s="10">
        <v>11.954050570490489</v>
      </c>
      <c r="J553" s="7">
        <v>1.2466908780470231E-2</v>
      </c>
      <c r="K553" s="5">
        <v>0.12736165908632649</v>
      </c>
      <c r="L553">
        <v>97.562529986862728</v>
      </c>
      <c r="M553" s="10">
        <v>-0.83474522475620505</v>
      </c>
      <c r="N553" s="24" t="s">
        <v>343</v>
      </c>
      <c r="O553" s="24">
        <v>0.91528651462769517</v>
      </c>
      <c r="P553">
        <v>47.303645171334267</v>
      </c>
      <c r="Q553" t="s">
        <v>346</v>
      </c>
      <c r="R553" t="s">
        <v>347</v>
      </c>
      <c r="S553" t="s">
        <v>343</v>
      </c>
      <c r="T553" t="s">
        <v>343</v>
      </c>
    </row>
    <row r="554" spans="2:20" x14ac:dyDescent="0.25">
      <c r="B554">
        <v>549</v>
      </c>
      <c r="C554" t="s">
        <v>892</v>
      </c>
      <c r="D554" s="10">
        <v>0.31946189393182489</v>
      </c>
      <c r="E554" s="10">
        <v>1.10986135638663</v>
      </c>
      <c r="F554" s="10">
        <v>0.64588148431633385</v>
      </c>
      <c r="G554" s="10">
        <v>0.39289155659671338</v>
      </c>
      <c r="H554" s="6">
        <v>0.24906754475645659</v>
      </c>
      <c r="I554" s="10">
        <v>5.2133363153896957</v>
      </c>
      <c r="J554" s="7">
        <v>3.4961717492635019E-2</v>
      </c>
      <c r="K554" s="5">
        <v>0.15487094550694419</v>
      </c>
      <c r="L554">
        <v>255.06100918409851</v>
      </c>
      <c r="M554" s="10">
        <v>-0.56796887337946833</v>
      </c>
      <c r="N554" s="24" t="s">
        <v>343</v>
      </c>
      <c r="O554" s="24">
        <v>16.921867597231898</v>
      </c>
      <c r="P554">
        <v>50.48339596910364</v>
      </c>
      <c r="Q554" t="s">
        <v>47</v>
      </c>
      <c r="R554" t="s">
        <v>350</v>
      </c>
      <c r="S554" t="s">
        <v>343</v>
      </c>
      <c r="T554" t="s">
        <v>343</v>
      </c>
    </row>
    <row r="555" spans="2:20" x14ac:dyDescent="0.25">
      <c r="B555">
        <v>550</v>
      </c>
      <c r="C555" t="s">
        <v>893</v>
      </c>
      <c r="D555" s="10">
        <v>0.24886907289642041</v>
      </c>
      <c r="E555" s="10">
        <v>1.105439316058147</v>
      </c>
      <c r="F555" s="10">
        <v>0.51464703133890877</v>
      </c>
      <c r="G555" s="10">
        <v>0.41248731196028848</v>
      </c>
      <c r="H555" s="6">
        <v>0.1530719393051678</v>
      </c>
      <c r="I555" s="10">
        <v>11.303786828108951</v>
      </c>
      <c r="J555" s="7">
        <v>3.0443460553742939E-2</v>
      </c>
      <c r="K555" s="5">
        <v>0.1407886574598407</v>
      </c>
      <c r="L555">
        <v>312.79878239698172</v>
      </c>
      <c r="M555" s="10">
        <v>-0.47017064349903143</v>
      </c>
      <c r="N555" s="24" t="s">
        <v>343</v>
      </c>
      <c r="O555" s="24">
        <v>22.789761390058121</v>
      </c>
      <c r="P555">
        <v>56.594413122277381</v>
      </c>
      <c r="Q555" t="s">
        <v>47</v>
      </c>
      <c r="R555" t="s">
        <v>350</v>
      </c>
      <c r="S555" t="s">
        <v>343</v>
      </c>
      <c r="T555" t="s">
        <v>343</v>
      </c>
    </row>
    <row r="556" spans="2:20" x14ac:dyDescent="0.25">
      <c r="B556">
        <v>551</v>
      </c>
      <c r="C556" t="s">
        <v>894</v>
      </c>
      <c r="D556" s="10">
        <v>0.28303798642888173</v>
      </c>
      <c r="E556" s="10">
        <v>0.48166358332097181</v>
      </c>
      <c r="F556" s="10">
        <v>0.64028739164117376</v>
      </c>
      <c r="G556" s="10">
        <v>0.24396533569617679</v>
      </c>
      <c r="H556" s="6">
        <v>0.1243543458307072</v>
      </c>
      <c r="I556" s="10">
        <v>8.2128234340141013</v>
      </c>
      <c r="J556" s="7">
        <v>1.1763808333266009E-2</v>
      </c>
      <c r="K556" s="5">
        <v>0.1183709269410394</v>
      </c>
      <c r="L556">
        <v>122.5068501329792</v>
      </c>
      <c r="M556" s="10">
        <v>-0.79249367572492424</v>
      </c>
      <c r="N556" s="24" t="s">
        <v>343</v>
      </c>
      <c r="O556" s="24">
        <v>3.45037945650455</v>
      </c>
      <c r="P556">
        <v>53.107329257389942</v>
      </c>
      <c r="Q556" t="s">
        <v>47</v>
      </c>
      <c r="R556" t="s">
        <v>350</v>
      </c>
      <c r="S556" t="s">
        <v>343</v>
      </c>
      <c r="T556" t="s">
        <v>343</v>
      </c>
    </row>
    <row r="557" spans="2:20" x14ac:dyDescent="0.25">
      <c r="B557">
        <v>552</v>
      </c>
      <c r="C557" t="s">
        <v>895</v>
      </c>
      <c r="D557" s="10">
        <v>0.3111625167811885</v>
      </c>
      <c r="E557" s="10">
        <v>1.3523260972666351</v>
      </c>
      <c r="F557" s="10">
        <v>0.55444796496040327</v>
      </c>
      <c r="G557" s="10">
        <v>0.37090678773513291</v>
      </c>
      <c r="H557" s="6">
        <v>0.20600160654342761</v>
      </c>
      <c r="I557" s="10">
        <v>8.2771740245968086</v>
      </c>
      <c r="J557" s="7">
        <v>1.6944898347509611E-2</v>
      </c>
      <c r="K557" s="5">
        <v>0.1768682943300646</v>
      </c>
      <c r="L557">
        <v>232.16814074171839</v>
      </c>
      <c r="M557" s="10">
        <v>-0.60674560282304368</v>
      </c>
      <c r="N557" s="24" t="s">
        <v>343</v>
      </c>
      <c r="O557" s="24">
        <v>14.59526383061738</v>
      </c>
      <c r="P557">
        <v>57.12746229092987</v>
      </c>
      <c r="Q557" t="s">
        <v>47</v>
      </c>
      <c r="R557" t="s">
        <v>350</v>
      </c>
      <c r="S557" t="s">
        <v>343</v>
      </c>
      <c r="T557" t="s">
        <v>343</v>
      </c>
    </row>
    <row r="558" spans="2:20" x14ac:dyDescent="0.25">
      <c r="B558">
        <v>553</v>
      </c>
      <c r="C558" t="s">
        <v>896</v>
      </c>
      <c r="D558" s="10">
        <v>0.29594358250838582</v>
      </c>
      <c r="E558" s="10">
        <v>0.54629894469522577</v>
      </c>
      <c r="F558" s="10">
        <v>0.61424489993532305</v>
      </c>
      <c r="G558" s="10">
        <v>0.36944112681371849</v>
      </c>
      <c r="H558" s="6">
        <v>0.16869994186086579</v>
      </c>
      <c r="I558" s="10">
        <v>10.097137697161889</v>
      </c>
      <c r="J558" s="7">
        <v>1.70680197137397E-2</v>
      </c>
      <c r="K558" s="5">
        <v>0.10591273417678571</v>
      </c>
      <c r="L558">
        <v>236.29145294055999</v>
      </c>
      <c r="M558" s="10">
        <v>-0.59976139453353627</v>
      </c>
      <c r="N558" s="24" t="s">
        <v>343</v>
      </c>
      <c r="O558" s="24">
        <v>15.014316327987819</v>
      </c>
      <c r="P558">
        <v>62.45292852206417</v>
      </c>
      <c r="Q558" t="s">
        <v>47</v>
      </c>
      <c r="R558" t="s">
        <v>350</v>
      </c>
      <c r="S558" t="s">
        <v>343</v>
      </c>
      <c r="T558" t="s">
        <v>343</v>
      </c>
    </row>
    <row r="559" spans="2:20" x14ac:dyDescent="0.25">
      <c r="B559">
        <v>554</v>
      </c>
      <c r="C559" t="s">
        <v>897</v>
      </c>
      <c r="D559" s="10">
        <v>0.19957569627891161</v>
      </c>
      <c r="E559" s="10">
        <v>0.8035243041204192</v>
      </c>
      <c r="F559" s="10">
        <v>0.55848703881697459</v>
      </c>
      <c r="G559" s="10">
        <v>0.3233157399245411</v>
      </c>
      <c r="H559" s="6">
        <v>0.26766930074219242</v>
      </c>
      <c r="I559" s="10">
        <v>3.4870548279629858</v>
      </c>
      <c r="J559" s="7">
        <v>1.5983878318017571E-2</v>
      </c>
      <c r="K559" s="5">
        <v>0.17929201072752579</v>
      </c>
      <c r="L559">
        <v>93.041176828241362</v>
      </c>
      <c r="M559" s="10">
        <v>-0.84240364853966376</v>
      </c>
      <c r="N559" s="24" t="s">
        <v>343</v>
      </c>
      <c r="O559" s="24">
        <v>0.45578108762017422</v>
      </c>
      <c r="P559">
        <v>61.744657153668747</v>
      </c>
      <c r="Q559" t="s">
        <v>47</v>
      </c>
      <c r="R559" t="s">
        <v>350</v>
      </c>
      <c r="S559" t="s">
        <v>343</v>
      </c>
      <c r="T559" t="s">
        <v>343</v>
      </c>
    </row>
    <row r="560" spans="2:20" x14ac:dyDescent="0.25">
      <c r="B560">
        <v>555</v>
      </c>
      <c r="C560" t="s">
        <v>898</v>
      </c>
      <c r="D560" s="10">
        <v>0.23208706164961501</v>
      </c>
      <c r="E560" s="10">
        <v>0.42620955738700611</v>
      </c>
      <c r="F560" s="10">
        <v>0.68663864414564524</v>
      </c>
      <c r="G560" s="10">
        <v>0.40494881168718427</v>
      </c>
      <c r="H560" s="6">
        <v>0.13566801820730751</v>
      </c>
      <c r="I560" s="10">
        <v>3.8663527400015711</v>
      </c>
      <c r="J560" s="7">
        <v>3.3052608411797198E-2</v>
      </c>
      <c r="K560" s="5">
        <v>0.12611917884155169</v>
      </c>
      <c r="L560">
        <v>124.6921076141607</v>
      </c>
      <c r="M560" s="10">
        <v>-0.78879221130050736</v>
      </c>
      <c r="N560" s="24" t="s">
        <v>343</v>
      </c>
      <c r="O560" s="24">
        <v>3.6724673219695632</v>
      </c>
      <c r="P560">
        <v>59.656894715755968</v>
      </c>
      <c r="Q560" t="s">
        <v>47</v>
      </c>
      <c r="R560" t="s">
        <v>350</v>
      </c>
      <c r="S560" t="s">
        <v>343</v>
      </c>
      <c r="T560" t="s">
        <v>343</v>
      </c>
    </row>
    <row r="561" spans="2:20" x14ac:dyDescent="0.25">
      <c r="B561">
        <v>556</v>
      </c>
      <c r="C561" t="s">
        <v>899</v>
      </c>
      <c r="D561" s="10">
        <v>0.1806655064242392</v>
      </c>
      <c r="E561" s="10">
        <v>0.96361055139564722</v>
      </c>
      <c r="F561" s="10">
        <v>0.48661858883282749</v>
      </c>
      <c r="G561" s="10">
        <v>0.33419938838515928</v>
      </c>
      <c r="H561" s="6">
        <v>0.12709542990052819</v>
      </c>
      <c r="I561" s="10">
        <v>6.5952783874976548</v>
      </c>
      <c r="J561" s="7">
        <v>4.2495386537451912E-2</v>
      </c>
      <c r="K561" s="5">
        <v>0.14711081664411729</v>
      </c>
      <c r="L561">
        <v>212.03823242097121</v>
      </c>
      <c r="M561" s="10">
        <v>-0.64084233520248512</v>
      </c>
      <c r="N561" s="24" t="s">
        <v>343</v>
      </c>
      <c r="O561" s="24">
        <v>12.54945988785089</v>
      </c>
      <c r="P561">
        <v>63.407456960818593</v>
      </c>
      <c r="Q561" t="s">
        <v>47</v>
      </c>
      <c r="R561" t="s">
        <v>350</v>
      </c>
      <c r="S561" t="s">
        <v>343</v>
      </c>
      <c r="T561" t="s">
        <v>343</v>
      </c>
    </row>
    <row r="562" spans="2:20" x14ac:dyDescent="0.25">
      <c r="B562">
        <v>557</v>
      </c>
      <c r="C562" t="s">
        <v>900</v>
      </c>
      <c r="D562" s="10">
        <v>0.31264816436139559</v>
      </c>
      <c r="E562" s="10">
        <v>0.71299623206293372</v>
      </c>
      <c r="F562" s="10">
        <v>0.61550132303141281</v>
      </c>
      <c r="G562" s="10">
        <v>0.38889070939410009</v>
      </c>
      <c r="H562" s="6">
        <v>0.12675267278297001</v>
      </c>
      <c r="I562" s="10">
        <v>7.5850475055189444</v>
      </c>
      <c r="J562" s="7">
        <v>3.6704136387542573E-2</v>
      </c>
      <c r="K562" s="5">
        <v>0.13620113116589719</v>
      </c>
      <c r="L562">
        <v>303.19150626706352</v>
      </c>
      <c r="M562" s="10">
        <v>-0.48644377886942919</v>
      </c>
      <c r="N562" s="24" t="s">
        <v>343</v>
      </c>
      <c r="O562" s="24">
        <v>21.813373267834251</v>
      </c>
      <c r="P562">
        <v>58.317538505451239</v>
      </c>
      <c r="Q562" t="s">
        <v>47</v>
      </c>
      <c r="R562" t="s">
        <v>350</v>
      </c>
      <c r="S562" t="s">
        <v>343</v>
      </c>
      <c r="T562" t="s">
        <v>343</v>
      </c>
    </row>
    <row r="563" spans="2:20" x14ac:dyDescent="0.25">
      <c r="B563">
        <v>558</v>
      </c>
      <c r="C563" t="s">
        <v>901</v>
      </c>
      <c r="D563" s="10">
        <v>0.25698794151214083</v>
      </c>
      <c r="E563" s="10">
        <v>0.688490808430676</v>
      </c>
      <c r="F563" s="10">
        <v>0.58989910019972125</v>
      </c>
      <c r="G563" s="10">
        <v>0.35376580701973342</v>
      </c>
      <c r="H563" s="6">
        <v>0.1525310542835692</v>
      </c>
      <c r="I563" s="10">
        <v>7.7293487691430167</v>
      </c>
      <c r="J563" s="7">
        <v>2.670807198248696E-2</v>
      </c>
      <c r="K563" s="5">
        <v>0.15420720077202291</v>
      </c>
      <c r="L563">
        <v>129.03676442599561</v>
      </c>
      <c r="M563" s="10">
        <v>-0.78143308187809624</v>
      </c>
      <c r="N563" s="24" t="s">
        <v>343</v>
      </c>
      <c r="O563" s="24">
        <v>4.1140150873142289</v>
      </c>
      <c r="P563">
        <v>57.76333488754463</v>
      </c>
      <c r="Q563" t="s">
        <v>47</v>
      </c>
      <c r="R563" t="s">
        <v>350</v>
      </c>
      <c r="S563" t="s">
        <v>343</v>
      </c>
      <c r="T563" t="s">
        <v>343</v>
      </c>
    </row>
    <row r="564" spans="2:20" x14ac:dyDescent="0.25">
      <c r="B564">
        <v>559</v>
      </c>
      <c r="C564" t="s">
        <v>902</v>
      </c>
      <c r="D564" s="10">
        <v>0.19658284888055411</v>
      </c>
      <c r="E564" s="10">
        <v>1.209674564943042</v>
      </c>
      <c r="F564" s="10">
        <v>0.48491007064641362</v>
      </c>
      <c r="G564" s="10">
        <v>0.29466221303462559</v>
      </c>
      <c r="H564" s="6">
        <v>0.2068786674548008</v>
      </c>
      <c r="I564" s="10">
        <v>10.44575843908015</v>
      </c>
      <c r="J564" s="7">
        <v>2.414179542945687E-2</v>
      </c>
      <c r="K564" s="5">
        <v>0.1756190495383167</v>
      </c>
      <c r="L564">
        <v>179.20200972818651</v>
      </c>
      <c r="M564" s="10">
        <v>-0.69646146071800852</v>
      </c>
      <c r="N564" s="24" t="s">
        <v>343</v>
      </c>
      <c r="O564" s="24">
        <v>9.2123123569194902</v>
      </c>
      <c r="P564">
        <v>21.43284720969773</v>
      </c>
      <c r="Q564" t="s">
        <v>348</v>
      </c>
      <c r="R564" t="s">
        <v>371</v>
      </c>
      <c r="S564" t="s">
        <v>343</v>
      </c>
      <c r="T564" t="s">
        <v>343</v>
      </c>
    </row>
    <row r="565" spans="2:20" x14ac:dyDescent="0.25">
      <c r="B565">
        <v>560</v>
      </c>
      <c r="C565" t="s">
        <v>903</v>
      </c>
      <c r="D565" s="10">
        <v>0.26747210950493711</v>
      </c>
      <c r="E565" s="10">
        <v>0.31051788413552611</v>
      </c>
      <c r="F565" s="10">
        <v>0.45716164731103359</v>
      </c>
      <c r="G565" s="10">
        <v>0.37343018986222898</v>
      </c>
      <c r="H565" s="6">
        <v>0.1958345060467038</v>
      </c>
      <c r="I565" s="10">
        <v>3.0077551301976739</v>
      </c>
      <c r="J565" s="7">
        <v>2.3526033685822789E-2</v>
      </c>
      <c r="K565" s="5">
        <v>0.19398538038009611</v>
      </c>
      <c r="L565">
        <v>50.136491247479917</v>
      </c>
      <c r="M565" s="10">
        <v>-0.91507708344863081</v>
      </c>
      <c r="N565" s="24" t="s">
        <v>343</v>
      </c>
      <c r="O565" s="24">
        <v>0</v>
      </c>
      <c r="P565">
        <v>52.952070085630602</v>
      </c>
      <c r="Q565" t="s">
        <v>47</v>
      </c>
      <c r="R565" t="s">
        <v>350</v>
      </c>
      <c r="S565" t="s">
        <v>343</v>
      </c>
      <c r="T565" t="s">
        <v>343</v>
      </c>
    </row>
    <row r="566" spans="2:20" x14ac:dyDescent="0.25">
      <c r="B566">
        <v>561</v>
      </c>
      <c r="C566" t="s">
        <v>904</v>
      </c>
      <c r="D566" s="10">
        <v>0.25890051847326329</v>
      </c>
      <c r="E566" s="10">
        <v>1.177741447981665</v>
      </c>
      <c r="F566" s="10">
        <v>0.64777754113263253</v>
      </c>
      <c r="G566" s="10">
        <v>0.40211986886608519</v>
      </c>
      <c r="H566" s="6">
        <v>0.1725113707250342</v>
      </c>
      <c r="I566" s="10">
        <v>13.550156012876579</v>
      </c>
      <c r="J566" s="7">
        <v>3.1043643519353879E-2</v>
      </c>
      <c r="K566" s="5">
        <v>0.12907561883712071</v>
      </c>
      <c r="L566">
        <v>550.3076780337459</v>
      </c>
      <c r="M566" s="10">
        <v>-6.7869891641319777E-2</v>
      </c>
      <c r="N566" s="24" t="s">
        <v>343</v>
      </c>
      <c r="O566" s="24">
        <v>72.209441176298483</v>
      </c>
      <c r="P566">
        <v>49.521132221126337</v>
      </c>
      <c r="Q566" t="s">
        <v>346</v>
      </c>
      <c r="R566" t="s">
        <v>347</v>
      </c>
      <c r="S566" t="s">
        <v>343</v>
      </c>
      <c r="T566" t="s">
        <v>343</v>
      </c>
    </row>
    <row r="567" spans="2:20" x14ac:dyDescent="0.25">
      <c r="B567">
        <v>562</v>
      </c>
      <c r="C567" t="s">
        <v>905</v>
      </c>
      <c r="D567" s="10">
        <v>0.21730603488525449</v>
      </c>
      <c r="E567" s="10">
        <v>0.92859342232288644</v>
      </c>
      <c r="F567" s="10">
        <v>0.48093734674802902</v>
      </c>
      <c r="G567" s="10">
        <v>0.45425924815614083</v>
      </c>
      <c r="H567" s="6">
        <v>0.13331896611253641</v>
      </c>
      <c r="I567" s="10">
        <v>4.9193615207463939</v>
      </c>
      <c r="J567" s="7">
        <v>2.2572723063058769E-2</v>
      </c>
      <c r="K567" s="5">
        <v>0.15261141917453569</v>
      </c>
      <c r="L567">
        <v>171.37787205928831</v>
      </c>
      <c r="M567" s="10">
        <v>-0.709714254717143</v>
      </c>
      <c r="N567" s="24" t="s">
        <v>343</v>
      </c>
      <c r="O567" s="24">
        <v>8.4171447169714249</v>
      </c>
      <c r="P567">
        <v>24.59763494713204</v>
      </c>
      <c r="Q567" t="s">
        <v>348</v>
      </c>
      <c r="R567" t="s">
        <v>353</v>
      </c>
      <c r="S567" t="s">
        <v>343</v>
      </c>
      <c r="T567" t="s">
        <v>343</v>
      </c>
    </row>
    <row r="568" spans="2:20" x14ac:dyDescent="0.25">
      <c r="B568">
        <v>563</v>
      </c>
      <c r="C568" t="s">
        <v>906</v>
      </c>
      <c r="D568" s="10">
        <v>0.17816921475194061</v>
      </c>
      <c r="E568" s="10">
        <v>1.384708364828219</v>
      </c>
      <c r="F568" s="10">
        <v>0.48849173752430181</v>
      </c>
      <c r="G568" s="10">
        <v>0.32362396829653101</v>
      </c>
      <c r="H568" s="6">
        <v>0.1550605642191478</v>
      </c>
      <c r="I568" s="10">
        <v>5.7349484393576038</v>
      </c>
      <c r="J568" s="7">
        <v>1.7914268991605101E-2</v>
      </c>
      <c r="K568" s="5">
        <v>0.1442707171336248</v>
      </c>
      <c r="L568">
        <v>242.58697076880259</v>
      </c>
      <c r="M568" s="10">
        <v>-0.58909782949591749</v>
      </c>
      <c r="N568" s="24" t="s">
        <v>343</v>
      </c>
      <c r="O568" s="24">
        <v>15.654130230244951</v>
      </c>
      <c r="P568">
        <v>24.284458285648231</v>
      </c>
      <c r="Q568" t="s">
        <v>348</v>
      </c>
      <c r="R568" t="s">
        <v>375</v>
      </c>
      <c r="S568" t="s">
        <v>343</v>
      </c>
      <c r="T568" t="s">
        <v>343</v>
      </c>
    </row>
    <row r="569" spans="2:20" x14ac:dyDescent="0.25">
      <c r="B569">
        <v>564</v>
      </c>
      <c r="C569" t="s">
        <v>907</v>
      </c>
      <c r="D569" s="10">
        <v>0.26745171129484802</v>
      </c>
      <c r="E569" s="10">
        <v>0.94838754266467373</v>
      </c>
      <c r="F569" s="10">
        <v>0.69439289823715011</v>
      </c>
      <c r="G569" s="10">
        <v>0.25418395982659719</v>
      </c>
      <c r="H569" s="6">
        <v>0.1476220597177075</v>
      </c>
      <c r="I569" s="10">
        <v>12.9618990297768</v>
      </c>
      <c r="J569" s="7">
        <v>3.1099501730145401E-2</v>
      </c>
      <c r="K569" s="5">
        <v>0.1948981751347465</v>
      </c>
      <c r="L569">
        <v>249.51858752242069</v>
      </c>
      <c r="M569" s="10">
        <v>-0.57735681817887274</v>
      </c>
      <c r="N569" s="24" t="s">
        <v>343</v>
      </c>
      <c r="O569" s="24">
        <v>16.35859090926764</v>
      </c>
      <c r="P569">
        <v>52.884276741327689</v>
      </c>
      <c r="Q569" t="s">
        <v>47</v>
      </c>
      <c r="R569" t="s">
        <v>350</v>
      </c>
      <c r="S569" t="s">
        <v>343</v>
      </c>
      <c r="T569" t="s">
        <v>343</v>
      </c>
    </row>
    <row r="570" spans="2:20" x14ac:dyDescent="0.25">
      <c r="B570">
        <v>565</v>
      </c>
      <c r="C570" t="s">
        <v>908</v>
      </c>
      <c r="D570" s="10">
        <v>0.24324923214460689</v>
      </c>
      <c r="E570" s="10">
        <v>0.36091704756275372</v>
      </c>
      <c r="F570" s="10">
        <v>0.626487821383924</v>
      </c>
      <c r="G570" s="10">
        <v>0.45735366866869742</v>
      </c>
      <c r="H570" s="6">
        <v>0.23185002557340731</v>
      </c>
      <c r="I570" s="10">
        <v>3.060405409565075</v>
      </c>
      <c r="J570" s="7">
        <v>2.3674689469965059E-2</v>
      </c>
      <c r="K570" s="5">
        <v>0.17684679489744759</v>
      </c>
      <c r="L570">
        <v>85.041242388340137</v>
      </c>
      <c r="M570" s="10">
        <v>-0.85595421316738496</v>
      </c>
      <c r="N570" s="24" t="s">
        <v>343</v>
      </c>
      <c r="O570" s="24">
        <v>0</v>
      </c>
      <c r="P570">
        <v>60.320532633610497</v>
      </c>
      <c r="Q570" t="s">
        <v>47</v>
      </c>
      <c r="R570" t="s">
        <v>350</v>
      </c>
      <c r="S570" t="s">
        <v>343</v>
      </c>
      <c r="T570" t="s">
        <v>343</v>
      </c>
    </row>
    <row r="571" spans="2:20" x14ac:dyDescent="0.25">
      <c r="B571">
        <v>566</v>
      </c>
      <c r="C571" t="s">
        <v>909</v>
      </c>
      <c r="D571" s="10">
        <v>0.28357094267770228</v>
      </c>
      <c r="E571" s="10">
        <v>0.35570985908809888</v>
      </c>
      <c r="F571" s="10">
        <v>0.50512657881631784</v>
      </c>
      <c r="G571" s="10">
        <v>0.37723746507361799</v>
      </c>
      <c r="H571" s="6">
        <v>0.2369919574501971</v>
      </c>
      <c r="I571" s="10">
        <v>13.90436689714849</v>
      </c>
      <c r="J571" s="7">
        <v>1.0494369020034181E-2</v>
      </c>
      <c r="K571" s="5">
        <v>0.13772296656511829</v>
      </c>
      <c r="L571">
        <v>133.808157483428</v>
      </c>
      <c r="M571" s="10">
        <v>-0.77335113189779159</v>
      </c>
      <c r="N571" s="24" t="s">
        <v>343</v>
      </c>
      <c r="O571" s="24">
        <v>4.5989320861325069</v>
      </c>
      <c r="P571">
        <v>48.186511449351293</v>
      </c>
      <c r="Q571" t="s">
        <v>346</v>
      </c>
      <c r="R571" t="s">
        <v>347</v>
      </c>
      <c r="S571" t="s">
        <v>343</v>
      </c>
      <c r="T571" t="s">
        <v>343</v>
      </c>
    </row>
    <row r="572" spans="2:20" x14ac:dyDescent="0.25">
      <c r="B572">
        <v>567</v>
      </c>
      <c r="C572" t="s">
        <v>910</v>
      </c>
      <c r="D572" s="10">
        <v>0.2432261601779189</v>
      </c>
      <c r="E572" s="10">
        <v>1.2714682850090151</v>
      </c>
      <c r="F572" s="10">
        <v>0.59364672963941634</v>
      </c>
      <c r="G572" s="10">
        <v>0.44821910079536931</v>
      </c>
      <c r="H572" s="6">
        <v>0.23655210195927301</v>
      </c>
      <c r="I572" s="10">
        <v>3.3955306918981369</v>
      </c>
      <c r="J572" s="7">
        <v>1.077808897483711E-2</v>
      </c>
      <c r="K572" s="5">
        <v>0.14530351028272639</v>
      </c>
      <c r="L572">
        <v>237.57596047960911</v>
      </c>
      <c r="M572" s="10">
        <v>-0.59758565140045949</v>
      </c>
      <c r="N572" s="24" t="s">
        <v>343</v>
      </c>
      <c r="O572" s="24">
        <v>15.14486091597243</v>
      </c>
      <c r="P572">
        <v>58.995941466787343</v>
      </c>
      <c r="Q572" t="s">
        <v>47</v>
      </c>
      <c r="R572" t="s">
        <v>350</v>
      </c>
      <c r="S572" t="s">
        <v>343</v>
      </c>
      <c r="T572" t="s">
        <v>343</v>
      </c>
    </row>
    <row r="573" spans="2:20" x14ac:dyDescent="0.25">
      <c r="B573">
        <v>568</v>
      </c>
      <c r="C573" t="s">
        <v>911</v>
      </c>
      <c r="D573" s="10">
        <v>0.29634904005096641</v>
      </c>
      <c r="E573" s="10">
        <v>1.225335560062158</v>
      </c>
      <c r="F573" s="10">
        <v>0.57886907798465348</v>
      </c>
      <c r="G573" s="10">
        <v>0.26284195892244627</v>
      </c>
      <c r="H573" s="6">
        <v>0.26535608166212232</v>
      </c>
      <c r="I573" s="10">
        <v>4.3260007144291563</v>
      </c>
      <c r="J573" s="7">
        <v>1.9594781390404641E-2</v>
      </c>
      <c r="K573" s="5">
        <v>0.12336587647052639</v>
      </c>
      <c r="L573">
        <v>141.94752282165649</v>
      </c>
      <c r="M573" s="10">
        <v>-0.75956439440977019</v>
      </c>
      <c r="N573" s="24" t="s">
        <v>343</v>
      </c>
      <c r="O573" s="24">
        <v>5.4261363354137941</v>
      </c>
      <c r="P573">
        <v>12.844762294917601</v>
      </c>
      <c r="Q573" t="s">
        <v>348</v>
      </c>
      <c r="R573" t="s">
        <v>353</v>
      </c>
      <c r="S573" t="s">
        <v>343</v>
      </c>
      <c r="T573" t="s">
        <v>343</v>
      </c>
    </row>
    <row r="574" spans="2:20" x14ac:dyDescent="0.25">
      <c r="B574">
        <v>569</v>
      </c>
      <c r="C574" t="s">
        <v>912</v>
      </c>
      <c r="D574" s="10">
        <v>0.24830509420391769</v>
      </c>
      <c r="E574" s="10">
        <v>0.68047908314022543</v>
      </c>
      <c r="F574" s="10">
        <v>0.65956304955360034</v>
      </c>
      <c r="G574" s="10">
        <v>0.31524744477150068</v>
      </c>
      <c r="H574" s="6">
        <v>0.25263569195010482</v>
      </c>
      <c r="I574" s="10">
        <v>5.6411738380377692</v>
      </c>
      <c r="J574" s="7">
        <v>2.7934776982740231E-2</v>
      </c>
      <c r="K574" s="5">
        <v>0.17174849537613851</v>
      </c>
      <c r="L574">
        <v>80.449106951658067</v>
      </c>
      <c r="M574" s="10">
        <v>-0.86373253041254205</v>
      </c>
      <c r="N574" s="24" t="s">
        <v>343</v>
      </c>
      <c r="O574" s="24">
        <v>0</v>
      </c>
      <c r="P574">
        <v>20.183278193360621</v>
      </c>
      <c r="Q574" t="s">
        <v>348</v>
      </c>
      <c r="R574" t="s">
        <v>353</v>
      </c>
      <c r="S574" t="s">
        <v>343</v>
      </c>
      <c r="T574" t="s">
        <v>343</v>
      </c>
    </row>
    <row r="575" spans="2:20" x14ac:dyDescent="0.25">
      <c r="B575">
        <v>570</v>
      </c>
      <c r="C575" t="s">
        <v>913</v>
      </c>
      <c r="D575" s="10">
        <v>0.2497500754456618</v>
      </c>
      <c r="E575" s="10">
        <v>0.97983573259925083</v>
      </c>
      <c r="F575" s="10">
        <v>0.6296233944364823</v>
      </c>
      <c r="G575" s="10">
        <v>0.26946607375199932</v>
      </c>
      <c r="H575" s="6">
        <v>0.19467071207677569</v>
      </c>
      <c r="I575" s="10">
        <v>7.8259380412419812</v>
      </c>
      <c r="J575" s="7">
        <v>2.2398382768379601E-2</v>
      </c>
      <c r="K575" s="5">
        <v>0.18029511970595199</v>
      </c>
      <c r="L575">
        <v>98.668089029215253</v>
      </c>
      <c r="M575" s="10">
        <v>-0.83287259075330133</v>
      </c>
      <c r="N575" s="24" t="s">
        <v>343</v>
      </c>
      <c r="O575" s="24">
        <v>1.027644554801924</v>
      </c>
      <c r="P575">
        <v>22.339057130996551</v>
      </c>
      <c r="Q575" t="s">
        <v>348</v>
      </c>
      <c r="R575" t="s">
        <v>375</v>
      </c>
      <c r="S575" t="s">
        <v>343</v>
      </c>
      <c r="T575" t="s">
        <v>343</v>
      </c>
    </row>
    <row r="576" spans="2:20" x14ac:dyDescent="0.25">
      <c r="B576">
        <v>571</v>
      </c>
      <c r="C576" t="s">
        <v>914</v>
      </c>
      <c r="D576" s="10">
        <v>0.30026457642533522</v>
      </c>
      <c r="E576" s="10">
        <v>0.83855049276116023</v>
      </c>
      <c r="F576" s="10">
        <v>0.65624749262822824</v>
      </c>
      <c r="G576" s="10">
        <v>0.42381223400805312</v>
      </c>
      <c r="H576" s="6">
        <v>0.1822404031363748</v>
      </c>
      <c r="I576" s="10">
        <v>8.7029668708715153</v>
      </c>
      <c r="J576" s="7">
        <v>1.084193033356432E-2</v>
      </c>
      <c r="K576" s="5">
        <v>0.19167374824417741</v>
      </c>
      <c r="L576">
        <v>145.23046458791049</v>
      </c>
      <c r="M576" s="10">
        <v>-0.75400363451769037</v>
      </c>
      <c r="N576" s="24" t="s">
        <v>343</v>
      </c>
      <c r="O576" s="24">
        <v>5.7597819289385734</v>
      </c>
      <c r="P576">
        <v>45.23470921251522</v>
      </c>
      <c r="Q576" t="s">
        <v>346</v>
      </c>
      <c r="R576" t="s">
        <v>347</v>
      </c>
      <c r="S576" t="s">
        <v>343</v>
      </c>
      <c r="T576" t="s">
        <v>343</v>
      </c>
    </row>
    <row r="577" spans="2:20" x14ac:dyDescent="0.25">
      <c r="B577">
        <v>572</v>
      </c>
      <c r="C577" t="s">
        <v>915</v>
      </c>
      <c r="D577" s="10">
        <v>0.22455725859398351</v>
      </c>
      <c r="E577" s="10">
        <v>1.3638804606496571</v>
      </c>
      <c r="F577" s="10">
        <v>0.49499171287411431</v>
      </c>
      <c r="G577" s="10">
        <v>0.43367540311444958</v>
      </c>
      <c r="H577" s="6">
        <v>0.25736527765641931</v>
      </c>
      <c r="I577" s="10">
        <v>4.1519031828553121</v>
      </c>
      <c r="J577" s="7">
        <v>1.781031173136341E-2</v>
      </c>
      <c r="K577" s="5">
        <v>0.15375374519769069</v>
      </c>
      <c r="L577">
        <v>291.75173601868522</v>
      </c>
      <c r="M577" s="10">
        <v>-0.50582085592443138</v>
      </c>
      <c r="N577" s="24" t="s">
        <v>343</v>
      </c>
      <c r="O577" s="24">
        <v>20.650748644534119</v>
      </c>
      <c r="P577">
        <v>55.898383691300843</v>
      </c>
      <c r="Q577" t="s">
        <v>47</v>
      </c>
      <c r="R577" t="s">
        <v>350</v>
      </c>
      <c r="S577" t="s">
        <v>343</v>
      </c>
      <c r="T577" t="s">
        <v>343</v>
      </c>
    </row>
    <row r="578" spans="2:20" x14ac:dyDescent="0.25">
      <c r="B578">
        <v>573</v>
      </c>
      <c r="C578" t="s">
        <v>916</v>
      </c>
      <c r="D578" s="10">
        <v>0.18144243655210249</v>
      </c>
      <c r="E578" s="10">
        <v>1.3449569909645811</v>
      </c>
      <c r="F578" s="10">
        <v>0.60645699313542134</v>
      </c>
      <c r="G578" s="10">
        <v>0.35028857397250451</v>
      </c>
      <c r="H578" s="6">
        <v>0.211683787807222</v>
      </c>
      <c r="I578" s="10">
        <v>3.8104128848313179</v>
      </c>
      <c r="J578" s="7">
        <v>1.337467580361156E-2</v>
      </c>
      <c r="K578" s="5">
        <v>0.16371488521255681</v>
      </c>
      <c r="L578">
        <v>169.04741728457921</v>
      </c>
      <c r="M578" s="10">
        <v>-0.71366165932075709</v>
      </c>
      <c r="N578" s="24" t="s">
        <v>343</v>
      </c>
      <c r="O578" s="24">
        <v>8.1803004407545785</v>
      </c>
      <c r="P578">
        <v>59.329109912628802</v>
      </c>
      <c r="Q578" t="s">
        <v>47</v>
      </c>
      <c r="R578" t="s">
        <v>350</v>
      </c>
      <c r="S578" t="s">
        <v>343</v>
      </c>
      <c r="T578" t="s">
        <v>343</v>
      </c>
    </row>
    <row r="579" spans="2:20" x14ac:dyDescent="0.25">
      <c r="B579">
        <v>574</v>
      </c>
      <c r="C579" t="s">
        <v>917</v>
      </c>
      <c r="D579" s="10">
        <v>0.16460522821013421</v>
      </c>
      <c r="E579" s="10">
        <v>1.3822229093948519</v>
      </c>
      <c r="F579" s="10">
        <v>0.45046262318877889</v>
      </c>
      <c r="G579" s="10">
        <v>0.28105336788564672</v>
      </c>
      <c r="H579" s="6">
        <v>0.16415980005383929</v>
      </c>
      <c r="I579" s="10">
        <v>3.350449400463448</v>
      </c>
      <c r="J579" s="7">
        <v>4.3202120047649582E-2</v>
      </c>
      <c r="K579" s="5">
        <v>0.14237558900859859</v>
      </c>
      <c r="L579">
        <v>102.72385821748171</v>
      </c>
      <c r="M579" s="10">
        <v>-0.82600278914260172</v>
      </c>
      <c r="N579" s="24" t="s">
        <v>343</v>
      </c>
      <c r="O579" s="24">
        <v>1.439832651443901</v>
      </c>
      <c r="P579">
        <v>51.715931829739461</v>
      </c>
      <c r="Q579" t="s">
        <v>47</v>
      </c>
      <c r="R579" t="s">
        <v>350</v>
      </c>
      <c r="S579" t="s">
        <v>343</v>
      </c>
      <c r="T579" t="s">
        <v>343</v>
      </c>
    </row>
    <row r="580" spans="2:20" x14ac:dyDescent="0.25">
      <c r="B580">
        <v>575</v>
      </c>
      <c r="C580" t="s">
        <v>918</v>
      </c>
      <c r="D580" s="10">
        <v>0.28082196090777911</v>
      </c>
      <c r="E580" s="10">
        <v>1.2530936586976911</v>
      </c>
      <c r="F580" s="10">
        <v>0.45792455919259722</v>
      </c>
      <c r="G580" s="10">
        <v>0.26796617318873589</v>
      </c>
      <c r="H580" s="6">
        <v>0.20466960415727509</v>
      </c>
      <c r="I580" s="10">
        <v>5.8242577074162343</v>
      </c>
      <c r="J580" s="7">
        <v>2.0949192646998429E-2</v>
      </c>
      <c r="K580" s="5">
        <v>0.15786720848207619</v>
      </c>
      <c r="L580">
        <v>156.0918528178203</v>
      </c>
      <c r="M580" s="10">
        <v>-0.73560624085630177</v>
      </c>
      <c r="N580" s="24" t="s">
        <v>343</v>
      </c>
      <c r="O580" s="24">
        <v>6.86362554862189</v>
      </c>
      <c r="P580">
        <v>53.676671242843511</v>
      </c>
      <c r="Q580" t="s">
        <v>47</v>
      </c>
      <c r="R580" t="s">
        <v>350</v>
      </c>
      <c r="S580" t="s">
        <v>343</v>
      </c>
      <c r="T580" t="s">
        <v>343</v>
      </c>
    </row>
    <row r="581" spans="2:20" x14ac:dyDescent="0.25">
      <c r="B581">
        <v>576</v>
      </c>
      <c r="C581" t="s">
        <v>919</v>
      </c>
      <c r="D581" s="10">
        <v>0.25924952821655428</v>
      </c>
      <c r="E581" s="10">
        <v>1.3005067498526111</v>
      </c>
      <c r="F581" s="10">
        <v>0.62551702850319524</v>
      </c>
      <c r="G581" s="10">
        <v>0.36939610421764552</v>
      </c>
      <c r="H581" s="6">
        <v>0.26882241340441893</v>
      </c>
      <c r="I581" s="10">
        <v>13.136862709547669</v>
      </c>
      <c r="J581" s="7">
        <v>1.0516823005842359E-2</v>
      </c>
      <c r="K581" s="5">
        <v>0.13313115787281241</v>
      </c>
      <c r="L581">
        <v>545.7653552279146</v>
      </c>
      <c r="M581" s="10">
        <v>-7.5563834535825422E-2</v>
      </c>
      <c r="N581" s="24" t="s">
        <v>343</v>
      </c>
      <c r="O581" s="24">
        <v>69.285742876386337</v>
      </c>
      <c r="P581">
        <v>46.519619492687873</v>
      </c>
      <c r="Q581" t="s">
        <v>346</v>
      </c>
      <c r="R581" t="s">
        <v>347</v>
      </c>
      <c r="S581" t="s">
        <v>343</v>
      </c>
      <c r="T581" t="s">
        <v>343</v>
      </c>
    </row>
    <row r="582" spans="2:20" x14ac:dyDescent="0.25">
      <c r="B582">
        <v>577</v>
      </c>
      <c r="C582" t="s">
        <v>920</v>
      </c>
      <c r="D582" s="10">
        <v>0.27265276289587581</v>
      </c>
      <c r="E582" s="10">
        <v>0.53900665664385006</v>
      </c>
      <c r="F582" s="10">
        <v>0.44634922668742222</v>
      </c>
      <c r="G582" s="10">
        <v>0.35140279140876612</v>
      </c>
      <c r="H582" s="6">
        <v>0.24742050902285431</v>
      </c>
      <c r="I582" s="10">
        <v>7.2882677077669342</v>
      </c>
      <c r="J582" s="7">
        <v>3.3119713819498221E-2</v>
      </c>
      <c r="K582" s="5">
        <v>0.1700804660694607</v>
      </c>
      <c r="L582">
        <v>90.116968212706681</v>
      </c>
      <c r="M582" s="10">
        <v>-0.84735677385930464</v>
      </c>
      <c r="N582" s="24" t="s">
        <v>343</v>
      </c>
      <c r="O582" s="24">
        <v>0.1585935684417166</v>
      </c>
      <c r="P582">
        <v>57.736691261567238</v>
      </c>
      <c r="Q582" t="s">
        <v>47</v>
      </c>
      <c r="R582" t="s">
        <v>350</v>
      </c>
      <c r="S582" t="s">
        <v>343</v>
      </c>
      <c r="T582" t="s">
        <v>343</v>
      </c>
    </row>
    <row r="583" spans="2:20" x14ac:dyDescent="0.25">
      <c r="B583">
        <v>578</v>
      </c>
      <c r="C583" t="s">
        <v>921</v>
      </c>
      <c r="D583" s="10">
        <v>0.1940742658414257</v>
      </c>
      <c r="E583" s="10">
        <v>1.214107467888752</v>
      </c>
      <c r="F583" s="10">
        <v>0.5907389023141324</v>
      </c>
      <c r="G583" s="10">
        <v>0.39285360252088691</v>
      </c>
      <c r="H583" s="6">
        <v>0.16219195740893119</v>
      </c>
      <c r="I583" s="10">
        <v>11.40408131304004</v>
      </c>
      <c r="J583" s="7">
        <v>1.81356779177736E-2</v>
      </c>
      <c r="K583" s="5">
        <v>0.1021565347466659</v>
      </c>
      <c r="L583">
        <v>328.50336199015157</v>
      </c>
      <c r="M583" s="10">
        <v>-0.44356968541279651</v>
      </c>
      <c r="N583" s="24" t="s">
        <v>343</v>
      </c>
      <c r="O583" s="24">
        <v>24.385818875232211</v>
      </c>
      <c r="P583">
        <v>54.853904237522137</v>
      </c>
      <c r="Q583" t="s">
        <v>47</v>
      </c>
      <c r="R583" t="s">
        <v>350</v>
      </c>
      <c r="S583" t="s">
        <v>343</v>
      </c>
      <c r="T583" t="s">
        <v>343</v>
      </c>
    </row>
    <row r="584" spans="2:20" x14ac:dyDescent="0.25">
      <c r="B584">
        <v>579</v>
      </c>
      <c r="C584" t="s">
        <v>922</v>
      </c>
      <c r="D584" s="10">
        <v>0.18181943609388321</v>
      </c>
      <c r="E584" s="10">
        <v>1.079742824524702</v>
      </c>
      <c r="F584" s="10">
        <v>0.65850532559557773</v>
      </c>
      <c r="G584" s="10">
        <v>0.30714559777639799</v>
      </c>
      <c r="H584" s="6">
        <v>0.26294316388758249</v>
      </c>
      <c r="I584" s="10">
        <v>5.0920701399284578</v>
      </c>
      <c r="J584" s="7">
        <v>2.9835768926085141E-2</v>
      </c>
      <c r="K584" s="5">
        <v>0.1027034007207384</v>
      </c>
      <c r="L584">
        <v>307.86346308202587</v>
      </c>
      <c r="M584" s="10">
        <v>-0.47853025742313948</v>
      </c>
      <c r="N584" s="24" t="s">
        <v>343</v>
      </c>
      <c r="O584" s="24">
        <v>22.288184554611629</v>
      </c>
      <c r="P584">
        <v>19.86669382125319</v>
      </c>
      <c r="Q584" t="s">
        <v>348</v>
      </c>
      <c r="R584" t="s">
        <v>923</v>
      </c>
      <c r="S584" t="s">
        <v>343</v>
      </c>
      <c r="T584" t="s">
        <v>343</v>
      </c>
    </row>
    <row r="585" spans="2:20" x14ac:dyDescent="0.25">
      <c r="B585">
        <v>580</v>
      </c>
      <c r="C585" t="s">
        <v>924</v>
      </c>
      <c r="D585" s="10">
        <v>0.16232714650686109</v>
      </c>
      <c r="E585" s="10">
        <v>1.3590651597108769</v>
      </c>
      <c r="F585" s="10">
        <v>0.53878487018868748</v>
      </c>
      <c r="G585" s="10">
        <v>0.32852095890535971</v>
      </c>
      <c r="H585" s="6">
        <v>0.26721931672186738</v>
      </c>
      <c r="I585" s="10">
        <v>3.7114714829926458</v>
      </c>
      <c r="J585" s="7">
        <v>1.527609091133207E-2</v>
      </c>
      <c r="K585" s="5">
        <v>0.16803148456772679</v>
      </c>
      <c r="L585">
        <v>85.683985312950028</v>
      </c>
      <c r="M585" s="10">
        <v>-0.85486551305310698</v>
      </c>
      <c r="N585" s="24" t="s">
        <v>343</v>
      </c>
      <c r="O585" s="24">
        <v>0</v>
      </c>
      <c r="P585">
        <v>55.326069242326007</v>
      </c>
      <c r="Q585" t="s">
        <v>47</v>
      </c>
      <c r="R585" t="s">
        <v>350</v>
      </c>
      <c r="S585" t="s">
        <v>343</v>
      </c>
      <c r="T585" t="s">
        <v>343</v>
      </c>
    </row>
    <row r="586" spans="2:20" x14ac:dyDescent="0.25">
      <c r="B586">
        <v>581</v>
      </c>
      <c r="C586" t="s">
        <v>925</v>
      </c>
      <c r="D586" s="10">
        <v>0.21609400940905549</v>
      </c>
      <c r="E586" s="10">
        <v>0.9283880112868812</v>
      </c>
      <c r="F586" s="10">
        <v>0.45165851357837727</v>
      </c>
      <c r="G586" s="10">
        <v>0.2446994362472546</v>
      </c>
      <c r="H586" s="6">
        <v>0.15467504391231229</v>
      </c>
      <c r="I586" s="10">
        <v>9.0970776733202907</v>
      </c>
      <c r="J586" s="7">
        <v>4.4440463229286263E-2</v>
      </c>
      <c r="K586" s="5">
        <v>0.1884148662968908</v>
      </c>
      <c r="L586">
        <v>102.41845948164109</v>
      </c>
      <c r="M586" s="10">
        <v>-0.82652008404524391</v>
      </c>
      <c r="N586" s="24" t="s">
        <v>343</v>
      </c>
      <c r="O586" s="24">
        <v>1.408794957285366</v>
      </c>
      <c r="P586">
        <v>55.199445192112499</v>
      </c>
      <c r="Q586" t="s">
        <v>47</v>
      </c>
      <c r="R586" t="s">
        <v>350</v>
      </c>
      <c r="S586" t="s">
        <v>343</v>
      </c>
      <c r="T586" t="s">
        <v>343</v>
      </c>
    </row>
    <row r="587" spans="2:20" x14ac:dyDescent="0.25">
      <c r="B587">
        <v>582</v>
      </c>
      <c r="C587" t="s">
        <v>926</v>
      </c>
      <c r="D587" s="10">
        <v>0.25438682989674127</v>
      </c>
      <c r="E587" s="10">
        <v>0.39368388338161198</v>
      </c>
      <c r="F587" s="10">
        <v>0.62560033690346895</v>
      </c>
      <c r="G587" s="10">
        <v>0.37423146991661638</v>
      </c>
      <c r="H587" s="6">
        <v>0.25433881777520118</v>
      </c>
      <c r="I587" s="10">
        <v>12.043016404075519</v>
      </c>
      <c r="J587" s="7">
        <v>4.3959071529786647E-2</v>
      </c>
      <c r="K587" s="5">
        <v>0.1600636487714624</v>
      </c>
      <c r="L587">
        <v>82.522444968013303</v>
      </c>
      <c r="M587" s="10">
        <v>-0.86022063903433221</v>
      </c>
      <c r="N587" s="24" t="s">
        <v>343</v>
      </c>
      <c r="O587" s="24">
        <v>0</v>
      </c>
      <c r="P587">
        <v>47.697441508315173</v>
      </c>
      <c r="Q587" t="s">
        <v>346</v>
      </c>
      <c r="R587" t="s">
        <v>347</v>
      </c>
      <c r="S587" t="s">
        <v>343</v>
      </c>
      <c r="T587" t="s">
        <v>343</v>
      </c>
    </row>
    <row r="588" spans="2:20" x14ac:dyDescent="0.25">
      <c r="B588">
        <v>583</v>
      </c>
      <c r="C588" t="s">
        <v>927</v>
      </c>
      <c r="D588" s="10">
        <v>0.22275904721595721</v>
      </c>
      <c r="E588" s="10">
        <v>0.95713878030586819</v>
      </c>
      <c r="F588" s="10">
        <v>0.68171847764067917</v>
      </c>
      <c r="G588" s="10">
        <v>0.33309157469622508</v>
      </c>
      <c r="H588" s="6">
        <v>0.25248040765482482</v>
      </c>
      <c r="I588" s="10">
        <v>12.883059083299001</v>
      </c>
      <c r="J588" s="7">
        <v>3.2959417309160702E-2</v>
      </c>
      <c r="K588" s="5">
        <v>0.16902018840535121</v>
      </c>
      <c r="L588">
        <v>226.66935591589271</v>
      </c>
      <c r="M588" s="10">
        <v>-0.61605963404617992</v>
      </c>
      <c r="N588" s="24" t="s">
        <v>343</v>
      </c>
      <c r="O588" s="24">
        <v>14.03642195722921</v>
      </c>
      <c r="P588">
        <v>15.530792348765839</v>
      </c>
      <c r="Q588" t="s">
        <v>348</v>
      </c>
      <c r="R588" t="s">
        <v>375</v>
      </c>
      <c r="S588" t="s">
        <v>343</v>
      </c>
      <c r="T588" t="s">
        <v>343</v>
      </c>
    </row>
    <row r="589" spans="2:20" x14ac:dyDescent="0.25">
      <c r="B589">
        <v>584</v>
      </c>
      <c r="C589" t="s">
        <v>928</v>
      </c>
      <c r="D589" s="10">
        <v>0.22999598752379671</v>
      </c>
      <c r="E589" s="10">
        <v>1.0552390208234159</v>
      </c>
      <c r="F589" s="10">
        <v>0.62646456193514966</v>
      </c>
      <c r="G589" s="10">
        <v>0.44234821943895852</v>
      </c>
      <c r="H589" s="6">
        <v>0.12596303598510611</v>
      </c>
      <c r="I589" s="10">
        <v>9.0082506388861106</v>
      </c>
      <c r="J589" s="7">
        <v>3.4752091763772121E-2</v>
      </c>
      <c r="K589" s="5">
        <v>0.17827375766572601</v>
      </c>
      <c r="L589">
        <v>234.26602607850319</v>
      </c>
      <c r="M589" s="10">
        <v>-0.60319213234760294</v>
      </c>
      <c r="N589" s="24" t="s">
        <v>343</v>
      </c>
      <c r="O589" s="24">
        <v>14.808472059143821</v>
      </c>
      <c r="P589">
        <v>56.405262302105839</v>
      </c>
      <c r="Q589" t="s">
        <v>47</v>
      </c>
      <c r="R589" t="s">
        <v>350</v>
      </c>
      <c r="S589" t="s">
        <v>343</v>
      </c>
      <c r="T589" t="s">
        <v>343</v>
      </c>
    </row>
    <row r="590" spans="2:20" x14ac:dyDescent="0.25">
      <c r="B590">
        <v>585</v>
      </c>
      <c r="C590" t="s">
        <v>929</v>
      </c>
      <c r="D590" s="10">
        <v>0.30466539111899982</v>
      </c>
      <c r="E590" s="10">
        <v>0.54235313158367116</v>
      </c>
      <c r="F590" s="10">
        <v>0.59039628318072157</v>
      </c>
      <c r="G590" s="10">
        <v>0.38119298549505709</v>
      </c>
      <c r="H590" s="6">
        <v>0.2204533789592531</v>
      </c>
      <c r="I590" s="10">
        <v>6.2343551243413406</v>
      </c>
      <c r="J590" s="7">
        <v>2.49057611952078E-2</v>
      </c>
      <c r="K590" s="5">
        <v>0.13435905512404009</v>
      </c>
      <c r="L590">
        <v>143.88885221841869</v>
      </c>
      <c r="M590" s="10">
        <v>-0.75627610378037269</v>
      </c>
      <c r="N590" s="24" t="s">
        <v>343</v>
      </c>
      <c r="O590" s="24">
        <v>5.6234337731776378</v>
      </c>
      <c r="P590">
        <v>63.379301048384782</v>
      </c>
      <c r="Q590" t="s">
        <v>47</v>
      </c>
      <c r="R590" t="s">
        <v>350</v>
      </c>
      <c r="S590" t="s">
        <v>343</v>
      </c>
      <c r="T590" t="s">
        <v>343</v>
      </c>
    </row>
    <row r="591" spans="2:20" x14ac:dyDescent="0.25">
      <c r="B591">
        <v>586</v>
      </c>
      <c r="C591" t="s">
        <v>930</v>
      </c>
      <c r="D591" s="10">
        <v>0.21572087472372811</v>
      </c>
      <c r="E591" s="10">
        <v>0.73352472186400119</v>
      </c>
      <c r="F591" s="10">
        <v>0.4998074957685556</v>
      </c>
      <c r="G591" s="10">
        <v>0.32771278811893267</v>
      </c>
      <c r="H591" s="6">
        <v>0.16579210695467539</v>
      </c>
      <c r="I591" s="10">
        <v>4.2046291976098686</v>
      </c>
      <c r="J591" s="7">
        <v>4.3676277089635909E-2</v>
      </c>
      <c r="K591" s="5">
        <v>0.11027079746814381</v>
      </c>
      <c r="L591">
        <v>112.0593889135879</v>
      </c>
      <c r="M591" s="10">
        <v>-0.81018994555219559</v>
      </c>
      <c r="N591" s="24" t="s">
        <v>343</v>
      </c>
      <c r="O591" s="24">
        <v>2.388603266868266</v>
      </c>
      <c r="P591">
        <v>60.666202565524173</v>
      </c>
      <c r="Q591" t="s">
        <v>47</v>
      </c>
      <c r="R591" t="s">
        <v>350</v>
      </c>
      <c r="S591" t="s">
        <v>343</v>
      </c>
      <c r="T591" t="s">
        <v>343</v>
      </c>
    </row>
    <row r="592" spans="2:20" x14ac:dyDescent="0.25">
      <c r="B592">
        <v>587</v>
      </c>
      <c r="C592" t="s">
        <v>931</v>
      </c>
      <c r="D592" s="10">
        <v>0.24223831826556971</v>
      </c>
      <c r="E592" s="10">
        <v>0.95835375545684776</v>
      </c>
      <c r="F592" s="10">
        <v>0.44399766225156923</v>
      </c>
      <c r="G592" s="10">
        <v>0.29798961979213712</v>
      </c>
      <c r="H592" s="6">
        <v>0.22119189397378139</v>
      </c>
      <c r="I592" s="10">
        <v>10.346051396624929</v>
      </c>
      <c r="J592" s="7">
        <v>2.483088671299203E-2</v>
      </c>
      <c r="K592" s="5">
        <v>0.18864376728875909</v>
      </c>
      <c r="L592">
        <v>106.0336405104286</v>
      </c>
      <c r="M592" s="10">
        <v>-0.82039656584149945</v>
      </c>
      <c r="N592" s="24" t="s">
        <v>343</v>
      </c>
      <c r="O592" s="24">
        <v>1.7762060495100369</v>
      </c>
      <c r="P592">
        <v>22.5927707721501</v>
      </c>
      <c r="Q592" t="s">
        <v>348</v>
      </c>
      <c r="R592" t="s">
        <v>371</v>
      </c>
      <c r="S592" t="s">
        <v>343</v>
      </c>
      <c r="T592" t="s">
        <v>343</v>
      </c>
    </row>
    <row r="593" spans="2:20" x14ac:dyDescent="0.25">
      <c r="B593">
        <v>588</v>
      </c>
      <c r="C593" t="s">
        <v>932</v>
      </c>
      <c r="D593" s="10">
        <v>0.28538448203858291</v>
      </c>
      <c r="E593" s="10">
        <v>0.71151631104815605</v>
      </c>
      <c r="F593" s="10">
        <v>0.62061474820455387</v>
      </c>
      <c r="G593" s="10">
        <v>0.43916268737368058</v>
      </c>
      <c r="H593" s="6">
        <v>0.25703380412853649</v>
      </c>
      <c r="I593" s="10">
        <v>6.0848049882989379</v>
      </c>
      <c r="J593" s="7">
        <v>1.8381379909282111E-2</v>
      </c>
      <c r="K593" s="5">
        <v>0.18916420367523179</v>
      </c>
      <c r="L593">
        <v>160.500654218509</v>
      </c>
      <c r="M593" s="10">
        <v>-0.72813846111890224</v>
      </c>
      <c r="N593" s="24" t="s">
        <v>343</v>
      </c>
      <c r="O593" s="24">
        <v>7.3116923328658707</v>
      </c>
      <c r="P593">
        <v>58.308277065490039</v>
      </c>
      <c r="Q593" t="s">
        <v>47</v>
      </c>
      <c r="R593" t="s">
        <v>350</v>
      </c>
      <c r="S593" t="s">
        <v>343</v>
      </c>
      <c r="T593" t="s">
        <v>343</v>
      </c>
    </row>
    <row r="594" spans="2:20" x14ac:dyDescent="0.25">
      <c r="B594">
        <v>589</v>
      </c>
      <c r="C594" t="s">
        <v>933</v>
      </c>
      <c r="D594" s="10">
        <v>0.2234468451714032</v>
      </c>
      <c r="E594" s="10">
        <v>0.71244248896253026</v>
      </c>
      <c r="F594" s="10">
        <v>0.50006680571951612</v>
      </c>
      <c r="G594" s="10">
        <v>0.24357831630583751</v>
      </c>
      <c r="H594" s="6">
        <v>0.1948168871984278</v>
      </c>
      <c r="I594" s="10">
        <v>12.28358666893017</v>
      </c>
      <c r="J594" s="7">
        <v>1.4038251336136639E-2</v>
      </c>
      <c r="K594" s="5">
        <v>0.14197485277934749</v>
      </c>
      <c r="L594">
        <v>164.58375659128961</v>
      </c>
      <c r="M594" s="10">
        <v>-0.72122236161838582</v>
      </c>
      <c r="N594" s="24" t="s">
        <v>343</v>
      </c>
      <c r="O594" s="24">
        <v>7.7266583028968547</v>
      </c>
      <c r="P594">
        <v>59.244954446810013</v>
      </c>
      <c r="Q594" t="s">
        <v>47</v>
      </c>
      <c r="R594" t="s">
        <v>350</v>
      </c>
      <c r="S594" t="s">
        <v>343</v>
      </c>
      <c r="T594" t="s">
        <v>343</v>
      </c>
    </row>
    <row r="595" spans="2:20" x14ac:dyDescent="0.25">
      <c r="B595">
        <v>590</v>
      </c>
      <c r="C595" t="s">
        <v>934</v>
      </c>
      <c r="D595" s="10">
        <v>0.25953387203645978</v>
      </c>
      <c r="E595" s="10">
        <v>0.44639530309007708</v>
      </c>
      <c r="F595" s="10">
        <v>0.66312229606741291</v>
      </c>
      <c r="G595" s="10">
        <v>0.31192074279552628</v>
      </c>
      <c r="H595" s="6">
        <v>0.18216192461829789</v>
      </c>
      <c r="I595" s="10">
        <v>9.6563323029861685</v>
      </c>
      <c r="J595" s="7">
        <v>1.7284385511003499E-2</v>
      </c>
      <c r="K595" s="5">
        <v>0.1206311174144883</v>
      </c>
      <c r="L595">
        <v>138.778775583254</v>
      </c>
      <c r="M595" s="10">
        <v>-0.76493172767549344</v>
      </c>
      <c r="N595" s="24" t="s">
        <v>343</v>
      </c>
      <c r="O595" s="24">
        <v>5.104096339470388</v>
      </c>
      <c r="P595">
        <v>55.708936452252352</v>
      </c>
      <c r="Q595" t="s">
        <v>47</v>
      </c>
      <c r="R595" t="s">
        <v>350</v>
      </c>
      <c r="S595" t="s">
        <v>343</v>
      </c>
      <c r="T595" t="s">
        <v>343</v>
      </c>
    </row>
    <row r="596" spans="2:20" x14ac:dyDescent="0.25">
      <c r="B596">
        <v>591</v>
      </c>
      <c r="C596" t="s">
        <v>935</v>
      </c>
      <c r="D596" s="10">
        <v>0.29797819339947917</v>
      </c>
      <c r="E596" s="10">
        <v>1.3348213953854331</v>
      </c>
      <c r="F596" s="10">
        <v>0.56125467089647896</v>
      </c>
      <c r="G596" s="10">
        <v>0.44757122843336772</v>
      </c>
      <c r="H596" s="6">
        <v>0.25822969067811258</v>
      </c>
      <c r="I596" s="10">
        <v>12.447664196901981</v>
      </c>
      <c r="J596" s="7">
        <v>3.002747263750527E-2</v>
      </c>
      <c r="K596" s="5">
        <v>0.18477366636314899</v>
      </c>
      <c r="L596">
        <v>475.11690548622391</v>
      </c>
      <c r="M596" s="10">
        <v>-0.19523061321569091</v>
      </c>
      <c r="N596" s="24" t="s">
        <v>343</v>
      </c>
      <c r="O596" s="24">
        <v>40.906183489018737</v>
      </c>
      <c r="P596">
        <v>46.612265899471581</v>
      </c>
      <c r="Q596" t="s">
        <v>346</v>
      </c>
      <c r="R596" t="s">
        <v>347</v>
      </c>
      <c r="S596" t="s">
        <v>343</v>
      </c>
      <c r="T596" t="s">
        <v>343</v>
      </c>
    </row>
    <row r="597" spans="2:20" x14ac:dyDescent="0.25">
      <c r="B597">
        <v>592</v>
      </c>
      <c r="C597" t="s">
        <v>936</v>
      </c>
      <c r="D597" s="10">
        <v>0.31192329978522271</v>
      </c>
      <c r="E597" s="10">
        <v>1.125543822944606</v>
      </c>
      <c r="F597" s="10">
        <v>0.57796525141683863</v>
      </c>
      <c r="G597" s="10">
        <v>0.38388726153594632</v>
      </c>
      <c r="H597" s="6">
        <v>0.26611723766077988</v>
      </c>
      <c r="I597" s="10">
        <v>9.2331831100566646</v>
      </c>
      <c r="J597" s="7">
        <v>1.8578210127875461E-2</v>
      </c>
      <c r="K597" s="5">
        <v>0.16730053622309901</v>
      </c>
      <c r="L597">
        <v>215.6883091340614</v>
      </c>
      <c r="M597" s="10">
        <v>-0.63465970948618222</v>
      </c>
      <c r="N597" s="24" t="s">
        <v>343</v>
      </c>
      <c r="O597" s="24">
        <v>12.920417430829071</v>
      </c>
      <c r="P597">
        <v>49.225044143991497</v>
      </c>
      <c r="Q597" t="s">
        <v>346</v>
      </c>
      <c r="R597" t="s">
        <v>347</v>
      </c>
      <c r="S597" t="s">
        <v>343</v>
      </c>
      <c r="T597" t="s">
        <v>343</v>
      </c>
    </row>
    <row r="598" spans="2:20" x14ac:dyDescent="0.25">
      <c r="B598">
        <v>593</v>
      </c>
      <c r="C598" t="s">
        <v>937</v>
      </c>
      <c r="D598" s="10">
        <v>0.1835317569486461</v>
      </c>
      <c r="E598" s="10">
        <v>0.3013677827527122</v>
      </c>
      <c r="F598" s="10">
        <v>0.63602350150925524</v>
      </c>
      <c r="G598" s="10">
        <v>0.3571981956823258</v>
      </c>
      <c r="H598" s="6">
        <v>0.12933544916907039</v>
      </c>
      <c r="I598" s="10">
        <v>11.48916598974888</v>
      </c>
      <c r="J598" s="7">
        <v>3.2898729995664067E-2</v>
      </c>
      <c r="K598" s="5">
        <v>0.10078169330196141</v>
      </c>
      <c r="L598">
        <v>210.7297250209464</v>
      </c>
      <c r="M598" s="10">
        <v>-0.64305873012710479</v>
      </c>
      <c r="N598" s="24" t="s">
        <v>343</v>
      </c>
      <c r="O598" s="24">
        <v>12.416476192373709</v>
      </c>
      <c r="P598">
        <v>54.830676007038619</v>
      </c>
      <c r="Q598" t="s">
        <v>47</v>
      </c>
      <c r="R598" t="s">
        <v>350</v>
      </c>
      <c r="S598" t="s">
        <v>343</v>
      </c>
      <c r="T598" t="s">
        <v>343</v>
      </c>
    </row>
    <row r="599" spans="2:20" x14ac:dyDescent="0.25">
      <c r="B599">
        <v>594</v>
      </c>
      <c r="C599" t="s">
        <v>938</v>
      </c>
      <c r="D599" s="10">
        <v>0.30825402002583913</v>
      </c>
      <c r="E599" s="10">
        <v>1.1421746124243819</v>
      </c>
      <c r="F599" s="10">
        <v>0.64265195802886921</v>
      </c>
      <c r="G599" s="10">
        <v>0.28477763794249411</v>
      </c>
      <c r="H599" s="6">
        <v>0.2584272103722311</v>
      </c>
      <c r="I599" s="10">
        <v>6.2373566600220851</v>
      </c>
      <c r="J599" s="7">
        <v>2.337645819597663E-2</v>
      </c>
      <c r="K599" s="5">
        <v>0.1102333716386128</v>
      </c>
      <c r="L599">
        <v>290.4366816456137</v>
      </c>
      <c r="M599" s="10">
        <v>-0.50804834033760282</v>
      </c>
      <c r="N599" s="24" t="s">
        <v>343</v>
      </c>
      <c r="O599" s="24">
        <v>20.517099579743832</v>
      </c>
      <c r="P599">
        <v>13.74634096112133</v>
      </c>
      <c r="Q599" t="s">
        <v>348</v>
      </c>
      <c r="R599" t="s">
        <v>375</v>
      </c>
      <c r="S599" t="s">
        <v>343</v>
      </c>
      <c r="T599" t="s">
        <v>343</v>
      </c>
    </row>
    <row r="600" spans="2:20" x14ac:dyDescent="0.25">
      <c r="B600">
        <v>595</v>
      </c>
      <c r="C600" t="s">
        <v>939</v>
      </c>
      <c r="D600" s="10">
        <v>0.23873860689272611</v>
      </c>
      <c r="E600" s="10">
        <v>1.113774491923645</v>
      </c>
      <c r="F600" s="10">
        <v>0.60708921660094772</v>
      </c>
      <c r="G600" s="10">
        <v>0.42334245033596518</v>
      </c>
      <c r="H600" s="6">
        <v>0.13241528002828329</v>
      </c>
      <c r="I600" s="10">
        <v>8.5336466942083966</v>
      </c>
      <c r="J600" s="7">
        <v>4.1040551689603549E-2</v>
      </c>
      <c r="K600" s="5">
        <v>0.1934039660633157</v>
      </c>
      <c r="L600">
        <v>234.89898681211011</v>
      </c>
      <c r="M600" s="10">
        <v>-0.6021200016455347</v>
      </c>
      <c r="N600" s="24" t="s">
        <v>343</v>
      </c>
      <c r="O600" s="24">
        <v>14.87279990126792</v>
      </c>
      <c r="P600">
        <v>18.516454811476869</v>
      </c>
      <c r="Q600" t="s">
        <v>348</v>
      </c>
      <c r="R600" t="s">
        <v>375</v>
      </c>
      <c r="S600" t="s">
        <v>343</v>
      </c>
      <c r="T600" t="s">
        <v>343</v>
      </c>
    </row>
    <row r="601" spans="2:20" x14ac:dyDescent="0.25">
      <c r="B601">
        <v>596</v>
      </c>
      <c r="C601" t="s">
        <v>940</v>
      </c>
      <c r="D601" s="10">
        <v>0.2013191021278333</v>
      </c>
      <c r="E601" s="10">
        <v>0.31070405617107533</v>
      </c>
      <c r="F601" s="10">
        <v>0.68399227200731316</v>
      </c>
      <c r="G601" s="10">
        <v>0.28492379377041072</v>
      </c>
      <c r="H601" s="6">
        <v>0.17059293200753839</v>
      </c>
      <c r="I601" s="10">
        <v>3.2134701019320091</v>
      </c>
      <c r="J601" s="7">
        <v>2.9546732361295212E-2</v>
      </c>
      <c r="K601" s="5">
        <v>0.1036221769867738</v>
      </c>
      <c r="L601">
        <v>62.605388572597107</v>
      </c>
      <c r="M601" s="10">
        <v>-0.89395683548788551</v>
      </c>
      <c r="N601" s="24" t="s">
        <v>343</v>
      </c>
      <c r="O601" s="24">
        <v>0</v>
      </c>
      <c r="P601">
        <v>52.722142395292913</v>
      </c>
      <c r="Q601" t="s">
        <v>47</v>
      </c>
      <c r="R601" t="s">
        <v>350</v>
      </c>
      <c r="S601" t="s">
        <v>343</v>
      </c>
      <c r="T601" t="s">
        <v>343</v>
      </c>
    </row>
    <row r="602" spans="2:20" x14ac:dyDescent="0.25">
      <c r="B602">
        <v>597</v>
      </c>
      <c r="C602" t="s">
        <v>941</v>
      </c>
      <c r="D602" s="10">
        <v>0.23346172099812179</v>
      </c>
      <c r="E602" s="10">
        <v>0.70656472737514098</v>
      </c>
      <c r="F602" s="10">
        <v>0.69539759344330898</v>
      </c>
      <c r="G602" s="10">
        <v>0.294615776934675</v>
      </c>
      <c r="H602" s="6">
        <v>0.23438611836454901</v>
      </c>
      <c r="I602" s="10">
        <v>9.6861491765591126</v>
      </c>
      <c r="J602" s="7">
        <v>3.1791141858544661E-2</v>
      </c>
      <c r="K602" s="5">
        <v>0.1268427259845441</v>
      </c>
      <c r="L602">
        <v>115.13217090269021</v>
      </c>
      <c r="M602" s="10">
        <v>-0.80498516153264765</v>
      </c>
      <c r="N602" s="24" t="s">
        <v>343</v>
      </c>
      <c r="O602" s="24">
        <v>2.7008903080411462</v>
      </c>
      <c r="P602">
        <v>54.953197315787477</v>
      </c>
      <c r="Q602" t="s">
        <v>47</v>
      </c>
      <c r="R602" t="s">
        <v>350</v>
      </c>
      <c r="S602" t="s">
        <v>343</v>
      </c>
      <c r="T602" t="s">
        <v>343</v>
      </c>
    </row>
    <row r="603" spans="2:20" x14ac:dyDescent="0.25">
      <c r="B603">
        <v>598</v>
      </c>
      <c r="C603" t="s">
        <v>942</v>
      </c>
      <c r="D603" s="10">
        <v>0.31680521204567641</v>
      </c>
      <c r="E603" s="10">
        <v>0.96742245935808358</v>
      </c>
      <c r="F603" s="10">
        <v>0.68619021553740034</v>
      </c>
      <c r="G603" s="10">
        <v>0.28220725143180808</v>
      </c>
      <c r="H603" s="6">
        <v>0.23655554729095429</v>
      </c>
      <c r="I603" s="10">
        <v>8.8711328231649844</v>
      </c>
      <c r="J603" s="7">
        <v>2.9479593104743702E-2</v>
      </c>
      <c r="K603" s="5">
        <v>0.152107152747083</v>
      </c>
      <c r="L603">
        <v>148.4368621466642</v>
      </c>
      <c r="M603" s="10">
        <v>-0.74857252784194672</v>
      </c>
      <c r="N603" s="24" t="s">
        <v>343</v>
      </c>
      <c r="O603" s="24">
        <v>6.0856483294831989</v>
      </c>
      <c r="P603">
        <v>48.646887637102147</v>
      </c>
      <c r="Q603" t="s">
        <v>346</v>
      </c>
      <c r="R603" t="s">
        <v>347</v>
      </c>
      <c r="S603" t="s">
        <v>343</v>
      </c>
      <c r="T603" t="s">
        <v>343</v>
      </c>
    </row>
    <row r="604" spans="2:20" x14ac:dyDescent="0.25">
      <c r="B604">
        <v>599</v>
      </c>
      <c r="C604" t="s">
        <v>943</v>
      </c>
      <c r="D604" s="10">
        <v>0.23881889503885911</v>
      </c>
      <c r="E604" s="10">
        <v>0.7980257170438394</v>
      </c>
      <c r="F604" s="10">
        <v>0.65428658818942531</v>
      </c>
      <c r="G604" s="10">
        <v>0.27479288132529478</v>
      </c>
      <c r="H604" s="6">
        <v>0.22887328360187489</v>
      </c>
      <c r="I604" s="10">
        <v>11.308105546732239</v>
      </c>
      <c r="J604" s="7">
        <v>4.0994907096685837E-2</v>
      </c>
      <c r="K604" s="5">
        <v>0.11751378353952679</v>
      </c>
      <c r="L604">
        <v>159.28453380576349</v>
      </c>
      <c r="M604" s="10">
        <v>-0.73019836778086256</v>
      </c>
      <c r="N604" s="24" t="s">
        <v>343</v>
      </c>
      <c r="O604" s="24">
        <v>7.1880979331482422</v>
      </c>
      <c r="P604">
        <v>51.900500173949737</v>
      </c>
      <c r="Q604" t="s">
        <v>47</v>
      </c>
      <c r="R604" t="s">
        <v>350</v>
      </c>
      <c r="S604" t="s">
        <v>343</v>
      </c>
      <c r="T604" t="s">
        <v>343</v>
      </c>
    </row>
    <row r="605" spans="2:20" x14ac:dyDescent="0.25">
      <c r="B605">
        <v>600</v>
      </c>
      <c r="C605" t="s">
        <v>944</v>
      </c>
      <c r="D605" s="10">
        <v>0.21260025764600129</v>
      </c>
      <c r="E605" s="10">
        <v>1.1557847305925579</v>
      </c>
      <c r="F605" s="10">
        <v>0.6234625572635053</v>
      </c>
      <c r="G605" s="10">
        <v>0.44972874911533672</v>
      </c>
      <c r="H605" s="6">
        <v>0.12586687320916029</v>
      </c>
      <c r="I605" s="10">
        <v>11.01851562034672</v>
      </c>
      <c r="J605" s="7">
        <v>1.2219684877521699E-2</v>
      </c>
      <c r="K605" s="5">
        <v>0.1220451382044811</v>
      </c>
      <c r="L605">
        <v>492.72223859689342</v>
      </c>
      <c r="M605" s="10">
        <v>-0.16541009332257631</v>
      </c>
      <c r="N605" s="24" t="s">
        <v>343</v>
      </c>
      <c r="O605" s="24">
        <v>46.572082268710517</v>
      </c>
      <c r="P605">
        <v>52.531394078214007</v>
      </c>
      <c r="Q605" t="s">
        <v>47</v>
      </c>
      <c r="R605" t="s">
        <v>350</v>
      </c>
      <c r="S605" t="s">
        <v>343</v>
      </c>
      <c r="T605" t="s">
        <v>343</v>
      </c>
    </row>
    <row r="606" spans="2:20" x14ac:dyDescent="0.25">
      <c r="B606">
        <v>601</v>
      </c>
      <c r="C606" t="s">
        <v>945</v>
      </c>
      <c r="D606" s="10">
        <v>0.26134413669067608</v>
      </c>
      <c r="E606" s="10">
        <v>0.76800416589787734</v>
      </c>
      <c r="F606" s="10">
        <v>0.61246472304923349</v>
      </c>
      <c r="G606" s="10">
        <v>0.37244695115108778</v>
      </c>
      <c r="H606" s="6">
        <v>0.13994490720361399</v>
      </c>
      <c r="I606" s="10">
        <v>9.9037870201839873</v>
      </c>
      <c r="J606" s="7">
        <v>1.235720474817608E-2</v>
      </c>
      <c r="K606" s="5">
        <v>0.1335319112233902</v>
      </c>
      <c r="L606">
        <v>247.61189171093929</v>
      </c>
      <c r="M606" s="10">
        <v>-0.58058644524806691</v>
      </c>
      <c r="N606" s="24" t="s">
        <v>343</v>
      </c>
      <c r="O606" s="24">
        <v>16.16481328511599</v>
      </c>
      <c r="P606">
        <v>57.104525612431601</v>
      </c>
      <c r="Q606" t="s">
        <v>47</v>
      </c>
      <c r="R606" t="s">
        <v>350</v>
      </c>
      <c r="S606" t="s">
        <v>343</v>
      </c>
      <c r="T606" t="s">
        <v>343</v>
      </c>
    </row>
    <row r="607" spans="2:20" x14ac:dyDescent="0.25">
      <c r="B607">
        <v>602</v>
      </c>
      <c r="C607" t="s">
        <v>946</v>
      </c>
      <c r="D607" s="10">
        <v>0.19842329900451089</v>
      </c>
      <c r="E607" s="10">
        <v>0.46924926639922071</v>
      </c>
      <c r="F607" s="10">
        <v>0.46697504599933881</v>
      </c>
      <c r="G607" s="10">
        <v>0.38032416904222072</v>
      </c>
      <c r="H607" s="6">
        <v>0.26043247473296233</v>
      </c>
      <c r="I607" s="10">
        <v>3.6235395498295411</v>
      </c>
      <c r="J607" s="7">
        <v>3.456090857236619E-2</v>
      </c>
      <c r="K607" s="5">
        <v>0.12560765549068059</v>
      </c>
      <c r="L607">
        <v>146.1610140437212</v>
      </c>
      <c r="M607" s="10">
        <v>-0.75242743778320698</v>
      </c>
      <c r="N607" s="24" t="s">
        <v>343</v>
      </c>
      <c r="O607" s="24">
        <v>5.8543537330075779</v>
      </c>
      <c r="P607">
        <v>58.05135218730338</v>
      </c>
      <c r="Q607" t="s">
        <v>47</v>
      </c>
      <c r="R607" t="s">
        <v>350</v>
      </c>
      <c r="S607" t="s">
        <v>343</v>
      </c>
      <c r="T607" t="s">
        <v>343</v>
      </c>
    </row>
    <row r="608" spans="2:20" x14ac:dyDescent="0.25">
      <c r="B608">
        <v>603</v>
      </c>
      <c r="C608" t="s">
        <v>947</v>
      </c>
      <c r="D608" s="10">
        <v>0.17213813249738619</v>
      </c>
      <c r="E608" s="10">
        <v>1.374057186701211</v>
      </c>
      <c r="F608" s="10">
        <v>0.51058593017296927</v>
      </c>
      <c r="G608" s="10">
        <v>0.44995160244933241</v>
      </c>
      <c r="H608" s="6">
        <v>0.1322192082593836</v>
      </c>
      <c r="I608" s="10">
        <v>12.933106779871849</v>
      </c>
      <c r="J608" s="7">
        <v>3.6878736571686242E-2</v>
      </c>
      <c r="K608" s="5">
        <v>0.17631884165240069</v>
      </c>
      <c r="L608">
        <v>391.9155938897137</v>
      </c>
      <c r="M608" s="10">
        <v>-0.33615986187008379</v>
      </c>
      <c r="N608" s="24" t="s">
        <v>343</v>
      </c>
      <c r="O608" s="24">
        <v>30.83040828779497</v>
      </c>
      <c r="P608">
        <v>53.65654618752221</v>
      </c>
      <c r="Q608" t="s">
        <v>47</v>
      </c>
      <c r="R608" t="s">
        <v>350</v>
      </c>
      <c r="S608" t="s">
        <v>343</v>
      </c>
      <c r="T608" t="s">
        <v>343</v>
      </c>
    </row>
    <row r="609" spans="2:20" x14ac:dyDescent="0.25">
      <c r="B609">
        <v>604</v>
      </c>
      <c r="C609" t="s">
        <v>948</v>
      </c>
      <c r="D609" s="10">
        <v>0.18062075550570389</v>
      </c>
      <c r="E609" s="10">
        <v>0.56624399205365128</v>
      </c>
      <c r="F609" s="10">
        <v>0.44147893811763811</v>
      </c>
      <c r="G609" s="10">
        <v>0.29072651212762379</v>
      </c>
      <c r="H609" s="6">
        <v>0.13178188754596751</v>
      </c>
      <c r="I609" s="10">
        <v>3.198211099980266</v>
      </c>
      <c r="J609" s="7">
        <v>2.5175629639868871E-2</v>
      </c>
      <c r="K609" s="5">
        <v>0.1475260749722975</v>
      </c>
      <c r="L609">
        <v>23.53872130962754</v>
      </c>
      <c r="M609" s="10">
        <v>-0.9601293027141401</v>
      </c>
      <c r="N609" s="24" t="s">
        <v>343</v>
      </c>
      <c r="O609" s="24">
        <v>0</v>
      </c>
      <c r="P609">
        <v>56.913690905456427</v>
      </c>
      <c r="Q609" t="s">
        <v>47</v>
      </c>
      <c r="R609" t="s">
        <v>350</v>
      </c>
      <c r="S609" t="s">
        <v>343</v>
      </c>
      <c r="T609" t="s">
        <v>343</v>
      </c>
    </row>
    <row r="610" spans="2:20" x14ac:dyDescent="0.25">
      <c r="B610">
        <v>605</v>
      </c>
      <c r="C610" t="s">
        <v>949</v>
      </c>
      <c r="D610" s="10">
        <v>0.18048733423324359</v>
      </c>
      <c r="E610" s="10">
        <v>1.0894615415954649</v>
      </c>
      <c r="F610" s="10">
        <v>0.47572656626083792</v>
      </c>
      <c r="G610" s="10">
        <v>0.24130185849149219</v>
      </c>
      <c r="H610" s="6">
        <v>0.24534689066368051</v>
      </c>
      <c r="I610" s="10">
        <v>11.83594426464817</v>
      </c>
      <c r="J610" s="7">
        <v>2.233068228189922E-2</v>
      </c>
      <c r="K610" s="5">
        <v>0.12646891401987301</v>
      </c>
      <c r="L610">
        <v>107.9369333033389</v>
      </c>
      <c r="M610" s="10">
        <v>-0.81717270292242716</v>
      </c>
      <c r="N610" s="24" t="s">
        <v>343</v>
      </c>
      <c r="O610" s="24">
        <v>1.96963782465437</v>
      </c>
      <c r="P610">
        <v>17.787101564437659</v>
      </c>
      <c r="Q610" t="s">
        <v>348</v>
      </c>
      <c r="R610" t="s">
        <v>371</v>
      </c>
      <c r="S610" t="s">
        <v>343</v>
      </c>
      <c r="T610" t="s">
        <v>343</v>
      </c>
    </row>
    <row r="611" spans="2:20" x14ac:dyDescent="0.25">
      <c r="B611">
        <v>606</v>
      </c>
      <c r="C611" t="s">
        <v>950</v>
      </c>
      <c r="D611" s="10">
        <v>0.18430443096196711</v>
      </c>
      <c r="E611" s="10">
        <v>0.45747194283047909</v>
      </c>
      <c r="F611" s="10">
        <v>0.55419966406398902</v>
      </c>
      <c r="G611" s="10">
        <v>0.37175440290546408</v>
      </c>
      <c r="H611" s="6">
        <v>0.2161898629834329</v>
      </c>
      <c r="I611" s="10">
        <v>8.2728098639421681</v>
      </c>
      <c r="J611" s="7">
        <v>1.9728077317189459E-2</v>
      </c>
      <c r="K611" s="5">
        <v>0.12974412318199641</v>
      </c>
      <c r="L611">
        <v>113.7065344950027</v>
      </c>
      <c r="M611" s="10">
        <v>-0.80739995360664873</v>
      </c>
      <c r="N611" s="24" t="s">
        <v>343</v>
      </c>
      <c r="O611" s="24">
        <v>2.5560027836010728</v>
      </c>
      <c r="P611">
        <v>24.738957840404488</v>
      </c>
      <c r="Q611" t="s">
        <v>348</v>
      </c>
      <c r="R611" t="s">
        <v>353</v>
      </c>
      <c r="S611" t="s">
        <v>343</v>
      </c>
      <c r="T611" t="s">
        <v>343</v>
      </c>
    </row>
    <row r="612" spans="2:20" x14ac:dyDescent="0.25">
      <c r="B612">
        <v>607</v>
      </c>
      <c r="C612" t="s">
        <v>951</v>
      </c>
      <c r="D612" s="10">
        <v>0.18221234762390559</v>
      </c>
      <c r="E612" s="10">
        <v>0.66191387516232592</v>
      </c>
      <c r="F612" s="10">
        <v>0.47809950320515898</v>
      </c>
      <c r="G612" s="10">
        <v>0.35172586770931491</v>
      </c>
      <c r="H612" s="6">
        <v>0.17274840837677691</v>
      </c>
      <c r="I612" s="10">
        <v>11.99792919178593</v>
      </c>
      <c r="J612" s="7">
        <v>1.820382100417417E-2</v>
      </c>
      <c r="K612" s="5">
        <v>0.103787171160863</v>
      </c>
      <c r="L612">
        <v>298.3613498874812</v>
      </c>
      <c r="M612" s="10">
        <v>-0.49462526418974362</v>
      </c>
      <c r="N612" s="24" t="s">
        <v>343</v>
      </c>
      <c r="O612" s="24">
        <v>21.322484148615381</v>
      </c>
      <c r="P612">
        <v>16.042035908932242</v>
      </c>
      <c r="Q612" t="s">
        <v>348</v>
      </c>
      <c r="R612" t="s">
        <v>371</v>
      </c>
      <c r="S612" t="s">
        <v>343</v>
      </c>
      <c r="T612" t="s">
        <v>343</v>
      </c>
    </row>
    <row r="613" spans="2:20" x14ac:dyDescent="0.25">
      <c r="B613">
        <v>608</v>
      </c>
      <c r="C613" t="s">
        <v>952</v>
      </c>
      <c r="D613" s="10">
        <v>0.26253995916851441</v>
      </c>
      <c r="E613" s="10">
        <v>0.78623036927346601</v>
      </c>
      <c r="F613" s="10">
        <v>0.67443248781595699</v>
      </c>
      <c r="G613" s="10">
        <v>0.34508308302762469</v>
      </c>
      <c r="H613" s="6">
        <v>0.14485657306074401</v>
      </c>
      <c r="I613" s="10">
        <v>8.115768610839611</v>
      </c>
      <c r="J613" s="7">
        <v>4.1918550638751183E-2</v>
      </c>
      <c r="K613" s="5">
        <v>0.10469224723718321</v>
      </c>
      <c r="L613">
        <v>219.7646011441017</v>
      </c>
      <c r="M613" s="10">
        <v>-0.62775514561275669</v>
      </c>
      <c r="N613" s="24" t="s">
        <v>343</v>
      </c>
      <c r="O613" s="24">
        <v>13.3346912632346</v>
      </c>
      <c r="P613">
        <v>51.695369166019212</v>
      </c>
      <c r="Q613" t="s">
        <v>47</v>
      </c>
      <c r="R613" t="s">
        <v>350</v>
      </c>
      <c r="S613" t="s">
        <v>343</v>
      </c>
      <c r="T613" t="s">
        <v>343</v>
      </c>
    </row>
    <row r="614" spans="2:20" x14ac:dyDescent="0.25">
      <c r="B614">
        <v>609</v>
      </c>
      <c r="C614" t="s">
        <v>953</v>
      </c>
      <c r="D614" s="10">
        <v>0.18910081350386321</v>
      </c>
      <c r="E614" s="10">
        <v>0.51145520497977026</v>
      </c>
      <c r="F614" s="10">
        <v>0.64948178818717328</v>
      </c>
      <c r="G614" s="10">
        <v>0.25361364647416379</v>
      </c>
      <c r="H614" s="6">
        <v>0.25262556298392219</v>
      </c>
      <c r="I614" s="10">
        <v>10.116315855789949</v>
      </c>
      <c r="J614" s="7">
        <v>2.0329884122641039E-2</v>
      </c>
      <c r="K614" s="5">
        <v>0.168201218804094</v>
      </c>
      <c r="L614">
        <v>107.3582542646828</v>
      </c>
      <c r="M614" s="10">
        <v>-0.81815288941906994</v>
      </c>
      <c r="N614" s="24" t="s">
        <v>343</v>
      </c>
      <c r="O614" s="24">
        <v>1.9108266348558021</v>
      </c>
      <c r="P614">
        <v>55.829567991287497</v>
      </c>
      <c r="Q614" t="s">
        <v>47</v>
      </c>
      <c r="R614" t="s">
        <v>350</v>
      </c>
      <c r="S614" t="s">
        <v>343</v>
      </c>
      <c r="T614" t="s">
        <v>343</v>
      </c>
    </row>
    <row r="615" spans="2:20" x14ac:dyDescent="0.25">
      <c r="B615">
        <v>610</v>
      </c>
      <c r="C615" t="s">
        <v>954</v>
      </c>
      <c r="D615" s="10">
        <v>0.21530676533181811</v>
      </c>
      <c r="E615" s="10">
        <v>0.79495553400547037</v>
      </c>
      <c r="F615" s="10">
        <v>0.45861909714327481</v>
      </c>
      <c r="G615" s="10">
        <v>0.33997567064645262</v>
      </c>
      <c r="H615" s="6">
        <v>0.26828066364427677</v>
      </c>
      <c r="I615" s="10">
        <v>6.9959205636019588</v>
      </c>
      <c r="J615" s="7">
        <v>3.2682757853391878E-2</v>
      </c>
      <c r="K615" s="5">
        <v>0.1107265295217558</v>
      </c>
      <c r="L615">
        <v>145.95112408299079</v>
      </c>
      <c r="M615" s="10">
        <v>-0.75278295663138683</v>
      </c>
      <c r="N615" s="24" t="s">
        <v>343</v>
      </c>
      <c r="O615" s="24">
        <v>5.8330226021167846</v>
      </c>
      <c r="P615">
        <v>62.767823768717832</v>
      </c>
      <c r="Q615" t="s">
        <v>47</v>
      </c>
      <c r="R615" t="s">
        <v>350</v>
      </c>
      <c r="S615" t="s">
        <v>343</v>
      </c>
      <c r="T615" t="s">
        <v>343</v>
      </c>
    </row>
    <row r="616" spans="2:20" x14ac:dyDescent="0.25">
      <c r="B616">
        <v>611</v>
      </c>
      <c r="C616" t="s">
        <v>955</v>
      </c>
      <c r="D616" s="10">
        <v>0.3034861455849619</v>
      </c>
      <c r="E616" s="10">
        <v>0.47287910529092497</v>
      </c>
      <c r="F616" s="10">
        <v>0.50471756602148921</v>
      </c>
      <c r="G616" s="10">
        <v>0.30326310431995368</v>
      </c>
      <c r="H616" s="6">
        <v>0.1274957592664244</v>
      </c>
      <c r="I616" s="10">
        <v>11.18046609749962</v>
      </c>
      <c r="J616" s="7">
        <v>3.7548317313426782E-2</v>
      </c>
      <c r="K616" s="5">
        <v>0.14520069359476931</v>
      </c>
      <c r="L616">
        <v>150.46891284727499</v>
      </c>
      <c r="M616" s="10">
        <v>-0.74513057034188335</v>
      </c>
      <c r="N616" s="24" t="s">
        <v>343</v>
      </c>
      <c r="O616" s="24">
        <v>6.292165779486993</v>
      </c>
      <c r="P616">
        <v>54.751167494955283</v>
      </c>
      <c r="Q616" t="s">
        <v>47</v>
      </c>
      <c r="R616" t="s">
        <v>350</v>
      </c>
      <c r="S616" t="s">
        <v>343</v>
      </c>
      <c r="T616" t="s">
        <v>343</v>
      </c>
    </row>
    <row r="617" spans="2:20" x14ac:dyDescent="0.25">
      <c r="B617">
        <v>612</v>
      </c>
      <c r="C617" t="s">
        <v>956</v>
      </c>
      <c r="D617" s="10">
        <v>0.23583386244205959</v>
      </c>
      <c r="E617" s="10">
        <v>0.91490719288447897</v>
      </c>
      <c r="F617" s="10">
        <v>0.65295868999899231</v>
      </c>
      <c r="G617" s="10">
        <v>0.30040422898934888</v>
      </c>
      <c r="H617" s="6">
        <v>0.2031170073135303</v>
      </c>
      <c r="I617" s="10">
        <v>5.7959379262594748</v>
      </c>
      <c r="J617" s="7">
        <v>1.076883024566533E-2</v>
      </c>
      <c r="K617" s="5">
        <v>0.18002473607130071</v>
      </c>
      <c r="L617">
        <v>91.204628183928293</v>
      </c>
      <c r="M617" s="10">
        <v>-0.84551445791987478</v>
      </c>
      <c r="N617" s="24" t="s">
        <v>343</v>
      </c>
      <c r="O617" s="24">
        <v>0.26913252480751032</v>
      </c>
      <c r="P617">
        <v>61.513517709197423</v>
      </c>
      <c r="Q617" t="s">
        <v>47</v>
      </c>
      <c r="R617" t="s">
        <v>350</v>
      </c>
      <c r="S617" t="s">
        <v>343</v>
      </c>
      <c r="T617" t="s">
        <v>343</v>
      </c>
    </row>
    <row r="618" spans="2:20" x14ac:dyDescent="0.25">
      <c r="B618">
        <v>613</v>
      </c>
      <c r="C618" t="s">
        <v>957</v>
      </c>
      <c r="D618" s="10">
        <v>0.26680923816336433</v>
      </c>
      <c r="E618" s="10">
        <v>1.030084577772213</v>
      </c>
      <c r="F618" s="10">
        <v>0.64879199290556711</v>
      </c>
      <c r="G618" s="10">
        <v>0.28892394763940038</v>
      </c>
      <c r="H618" s="6">
        <v>0.15919553773587231</v>
      </c>
      <c r="I618" s="10">
        <v>10.91291503062668</v>
      </c>
      <c r="J618" s="7">
        <v>1.118559524591153E-2</v>
      </c>
      <c r="K618" s="5">
        <v>0.13500308304408409</v>
      </c>
      <c r="L618">
        <v>162.5963966474549</v>
      </c>
      <c r="M618" s="10">
        <v>-0.72458862037460248</v>
      </c>
      <c r="N618" s="24" t="s">
        <v>343</v>
      </c>
      <c r="O618" s="24">
        <v>7.5246827775238572</v>
      </c>
      <c r="P618">
        <v>52.413546808854427</v>
      </c>
      <c r="Q618" t="s">
        <v>47</v>
      </c>
      <c r="R618" t="s">
        <v>350</v>
      </c>
      <c r="S618" t="s">
        <v>343</v>
      </c>
      <c r="T618" t="s">
        <v>343</v>
      </c>
    </row>
    <row r="619" spans="2:20" x14ac:dyDescent="0.25">
      <c r="B619">
        <v>614</v>
      </c>
      <c r="C619" t="s">
        <v>958</v>
      </c>
      <c r="D619" s="10">
        <v>0.18757117939226081</v>
      </c>
      <c r="E619" s="10">
        <v>0.36867771243081182</v>
      </c>
      <c r="F619" s="10">
        <v>0.68581714303062502</v>
      </c>
      <c r="G619" s="10">
        <v>0.31315623914600549</v>
      </c>
      <c r="H619" s="6">
        <v>0.2448580250324556</v>
      </c>
      <c r="I619" s="10">
        <v>5.1272091618493647</v>
      </c>
      <c r="J619" s="7">
        <v>2.165980916230793E-2</v>
      </c>
      <c r="K619" s="5">
        <v>0.13284646156601709</v>
      </c>
      <c r="L619">
        <v>90.587059619632214</v>
      </c>
      <c r="M619" s="10">
        <v>-0.84656051683515843</v>
      </c>
      <c r="N619" s="24" t="s">
        <v>343</v>
      </c>
      <c r="O619" s="24">
        <v>0.2063689898904926</v>
      </c>
      <c r="P619">
        <v>55.754004170242737</v>
      </c>
      <c r="Q619" t="s">
        <v>47</v>
      </c>
      <c r="R619" t="s">
        <v>350</v>
      </c>
      <c r="S619" t="s">
        <v>343</v>
      </c>
      <c r="T619" t="s">
        <v>343</v>
      </c>
    </row>
    <row r="620" spans="2:20" x14ac:dyDescent="0.25">
      <c r="B620">
        <v>615</v>
      </c>
      <c r="C620" t="s">
        <v>959</v>
      </c>
      <c r="D620" s="10">
        <v>0.1907662430093873</v>
      </c>
      <c r="E620" s="10">
        <v>1.2582453331903849</v>
      </c>
      <c r="F620" s="10">
        <v>0.69936241802051358</v>
      </c>
      <c r="G620" s="10">
        <v>0.31768927653155071</v>
      </c>
      <c r="H620" s="6">
        <v>0.17191096376622089</v>
      </c>
      <c r="I620" s="10">
        <v>10.943844520399979</v>
      </c>
      <c r="J620" s="7">
        <v>3.4360551050979612E-2</v>
      </c>
      <c r="K620" s="5">
        <v>0.18293958619976231</v>
      </c>
      <c r="L620">
        <v>210.05801588162799</v>
      </c>
      <c r="M620" s="10">
        <v>-0.64419649421401615</v>
      </c>
      <c r="N620" s="24" t="s">
        <v>343</v>
      </c>
      <c r="O620" s="24">
        <v>12.34821034715903</v>
      </c>
      <c r="P620">
        <v>19.5229380630959</v>
      </c>
      <c r="Q620" t="s">
        <v>348</v>
      </c>
      <c r="R620" t="s">
        <v>351</v>
      </c>
      <c r="S620" t="s">
        <v>343</v>
      </c>
      <c r="T620" t="s">
        <v>343</v>
      </c>
    </row>
    <row r="621" spans="2:20" x14ac:dyDescent="0.25">
      <c r="B621">
        <v>616</v>
      </c>
      <c r="C621" t="s">
        <v>960</v>
      </c>
      <c r="D621" s="10">
        <v>0.16653897860263661</v>
      </c>
      <c r="E621" s="10">
        <v>0.503654973546239</v>
      </c>
      <c r="F621" s="10">
        <v>0.69383021644269172</v>
      </c>
      <c r="G621" s="10">
        <v>0.30793067079963943</v>
      </c>
      <c r="H621" s="6">
        <v>0.227194393377951</v>
      </c>
      <c r="I621" s="10">
        <v>6.2303843576638416</v>
      </c>
      <c r="J621" s="7">
        <v>1.912795223418224E-2</v>
      </c>
      <c r="K621" s="5">
        <v>0.18216078768171889</v>
      </c>
      <c r="L621">
        <v>68.577906415735242</v>
      </c>
      <c r="M621" s="10">
        <v>-0.88384037895544165</v>
      </c>
      <c r="N621" s="24" t="s">
        <v>343</v>
      </c>
      <c r="O621" s="24">
        <v>0</v>
      </c>
      <c r="P621">
        <v>25.66977802630598</v>
      </c>
      <c r="Q621" t="s">
        <v>348</v>
      </c>
      <c r="R621" t="s">
        <v>353</v>
      </c>
      <c r="S621" t="s">
        <v>343</v>
      </c>
      <c r="T621" t="s">
        <v>343</v>
      </c>
    </row>
    <row r="622" spans="2:20" x14ac:dyDescent="0.25">
      <c r="B622">
        <v>617</v>
      </c>
      <c r="C622" t="s">
        <v>961</v>
      </c>
      <c r="D622" s="10">
        <v>0.18702961009154631</v>
      </c>
      <c r="E622" s="10">
        <v>0.54789866785235608</v>
      </c>
      <c r="F622" s="10">
        <v>0.54663587628757471</v>
      </c>
      <c r="G622" s="10">
        <v>0.45532559745829199</v>
      </c>
      <c r="H622" s="6">
        <v>0.20092851322894159</v>
      </c>
      <c r="I622" s="10">
        <v>6.0649494925360976</v>
      </c>
      <c r="J622" s="7">
        <v>1.0051915165128759E-2</v>
      </c>
      <c r="K622" s="5">
        <v>0.18361299613872689</v>
      </c>
      <c r="L622">
        <v>70.600599632146498</v>
      </c>
      <c r="M622" s="10">
        <v>-0.8804142714845693</v>
      </c>
      <c r="N622" s="24" t="s">
        <v>343</v>
      </c>
      <c r="O622" s="24">
        <v>0</v>
      </c>
      <c r="P622">
        <v>23.602181941233059</v>
      </c>
      <c r="Q622" t="s">
        <v>348</v>
      </c>
      <c r="R622" t="s">
        <v>353</v>
      </c>
      <c r="S622" t="s">
        <v>343</v>
      </c>
      <c r="T622" t="s">
        <v>343</v>
      </c>
    </row>
    <row r="623" spans="2:20" x14ac:dyDescent="0.25">
      <c r="B623">
        <v>618</v>
      </c>
      <c r="C623" t="s">
        <v>962</v>
      </c>
      <c r="D623" s="10">
        <v>0.20457445424511339</v>
      </c>
      <c r="E623" s="10">
        <v>1.027484824091369</v>
      </c>
      <c r="F623" s="10">
        <v>0.50508539538852837</v>
      </c>
      <c r="G623" s="10">
        <v>0.44520083881208722</v>
      </c>
      <c r="H623" s="6">
        <v>0.20122850723924551</v>
      </c>
      <c r="I623" s="10">
        <v>11.92643331226467</v>
      </c>
      <c r="J623" s="7">
        <v>2.008517649803709E-2</v>
      </c>
      <c r="K623" s="5">
        <v>0.15433182621251709</v>
      </c>
      <c r="L623">
        <v>237.13401887927961</v>
      </c>
      <c r="M623" s="10">
        <v>-0.59833422731216612</v>
      </c>
      <c r="N623" s="24" t="s">
        <v>343</v>
      </c>
      <c r="O623" s="24">
        <v>15.09994636127003</v>
      </c>
      <c r="P623">
        <v>54.208853514162833</v>
      </c>
      <c r="Q623" t="s">
        <v>47</v>
      </c>
      <c r="R623" t="s">
        <v>350</v>
      </c>
      <c r="S623" t="s">
        <v>343</v>
      </c>
      <c r="T623" t="s">
        <v>343</v>
      </c>
    </row>
    <row r="624" spans="2:20" x14ac:dyDescent="0.25">
      <c r="B624">
        <v>619</v>
      </c>
      <c r="C624" t="s">
        <v>963</v>
      </c>
      <c r="D624" s="10">
        <v>0.1883216774842795</v>
      </c>
      <c r="E624" s="10">
        <v>0.81562616647785546</v>
      </c>
      <c r="F624" s="10">
        <v>0.63718664951103621</v>
      </c>
      <c r="G624" s="10">
        <v>0.36639222189546972</v>
      </c>
      <c r="H624" s="6">
        <v>0.24869991467706321</v>
      </c>
      <c r="I624" s="10">
        <v>11.950619003590729</v>
      </c>
      <c r="J624" s="7">
        <v>1.315457858252295E-2</v>
      </c>
      <c r="K624" s="5">
        <v>0.1904689059894597</v>
      </c>
      <c r="L624">
        <v>160.92052590112689</v>
      </c>
      <c r="M624" s="10">
        <v>-0.72742726799433277</v>
      </c>
      <c r="N624" s="24" t="s">
        <v>343</v>
      </c>
      <c r="O624" s="24">
        <v>7.3543639203400311</v>
      </c>
      <c r="P624">
        <v>56.512994383335737</v>
      </c>
      <c r="Q624" t="s">
        <v>47</v>
      </c>
      <c r="R624" t="s">
        <v>350</v>
      </c>
      <c r="S624" t="s">
        <v>343</v>
      </c>
      <c r="T624" t="s">
        <v>343</v>
      </c>
    </row>
    <row r="625" spans="2:20" x14ac:dyDescent="0.25">
      <c r="B625">
        <v>620</v>
      </c>
      <c r="C625" t="s">
        <v>964</v>
      </c>
      <c r="D625" s="10">
        <v>0.1741924054011289</v>
      </c>
      <c r="E625" s="10">
        <v>0.84933515908817214</v>
      </c>
      <c r="F625" s="10">
        <v>0.51781095211344796</v>
      </c>
      <c r="G625" s="10">
        <v>0.45583206445026819</v>
      </c>
      <c r="H625" s="6">
        <v>0.19056066388868459</v>
      </c>
      <c r="I625" s="10">
        <v>10.60542606477892</v>
      </c>
      <c r="J625" s="7">
        <v>1.7679465702731309E-2</v>
      </c>
      <c r="K625" s="5">
        <v>0.17780157504265079</v>
      </c>
      <c r="L625">
        <v>229.8169554896792</v>
      </c>
      <c r="M625" s="10">
        <v>-0.61072812142352051</v>
      </c>
      <c r="N625" s="24" t="s">
        <v>343</v>
      </c>
      <c r="O625" s="24">
        <v>14.356312714588769</v>
      </c>
      <c r="P625">
        <v>56.98056490181358</v>
      </c>
      <c r="Q625" t="s">
        <v>47</v>
      </c>
      <c r="R625" t="s">
        <v>350</v>
      </c>
      <c r="S625" t="s">
        <v>343</v>
      </c>
      <c r="T625" t="s">
        <v>343</v>
      </c>
    </row>
    <row r="626" spans="2:20" x14ac:dyDescent="0.25">
      <c r="B626">
        <v>621</v>
      </c>
      <c r="C626" t="s">
        <v>965</v>
      </c>
      <c r="D626" s="10">
        <v>0.17930173937609609</v>
      </c>
      <c r="E626" s="10">
        <v>0.44097048301944591</v>
      </c>
      <c r="F626" s="10">
        <v>0.64966409363414568</v>
      </c>
      <c r="G626" s="10">
        <v>0.45806356227022182</v>
      </c>
      <c r="H626" s="6">
        <v>0.2468399301216721</v>
      </c>
      <c r="I626" s="10">
        <v>13.162994938331799</v>
      </c>
      <c r="J626" s="7">
        <v>2.1661650024475419E-2</v>
      </c>
      <c r="K626" s="5">
        <v>0.13948527056047499</v>
      </c>
      <c r="L626">
        <v>116.8695707016871</v>
      </c>
      <c r="M626" s="10">
        <v>-0.80204229388324877</v>
      </c>
      <c r="N626" s="24" t="s">
        <v>343</v>
      </c>
      <c r="O626" s="24">
        <v>2.877462367005073</v>
      </c>
      <c r="P626">
        <v>55.61606115358385</v>
      </c>
      <c r="Q626" t="s">
        <v>47</v>
      </c>
      <c r="R626" t="s">
        <v>350</v>
      </c>
      <c r="S626" t="s">
        <v>343</v>
      </c>
      <c r="T626" t="s">
        <v>343</v>
      </c>
    </row>
    <row r="627" spans="2:20" x14ac:dyDescent="0.25">
      <c r="B627">
        <v>622</v>
      </c>
      <c r="C627" t="s">
        <v>966</v>
      </c>
      <c r="D627" s="10">
        <v>0.23372460288523611</v>
      </c>
      <c r="E627" s="10">
        <v>1.1863094040640489</v>
      </c>
      <c r="F627" s="10">
        <v>0.57882822990346039</v>
      </c>
      <c r="G627" s="10">
        <v>0.31830673620380662</v>
      </c>
      <c r="H627" s="6">
        <v>0.1745140242056363</v>
      </c>
      <c r="I627" s="10">
        <v>4.7181306267957401</v>
      </c>
      <c r="J627" s="7">
        <v>1.448200742740631E-2</v>
      </c>
      <c r="K627" s="5">
        <v>0.15980773848430371</v>
      </c>
      <c r="L627">
        <v>170.23483035085809</v>
      </c>
      <c r="M627" s="10">
        <v>-0.71165037815148158</v>
      </c>
      <c r="N627" s="24" t="s">
        <v>343</v>
      </c>
      <c r="O627" s="24">
        <v>8.3009773109111009</v>
      </c>
      <c r="P627">
        <v>62.2900114713253</v>
      </c>
      <c r="Q627" t="s">
        <v>47</v>
      </c>
      <c r="R627" t="s">
        <v>350</v>
      </c>
      <c r="S627" t="s">
        <v>343</v>
      </c>
      <c r="T627" t="s">
        <v>343</v>
      </c>
    </row>
    <row r="628" spans="2:20" x14ac:dyDescent="0.25">
      <c r="B628">
        <v>623</v>
      </c>
      <c r="C628" t="s">
        <v>967</v>
      </c>
      <c r="D628" s="10">
        <v>0.19301339494492681</v>
      </c>
      <c r="E628" s="10">
        <v>0.97875967071463088</v>
      </c>
      <c r="F628" s="10">
        <v>0.64642109156108796</v>
      </c>
      <c r="G628" s="10">
        <v>0.33794126006274378</v>
      </c>
      <c r="H628" s="6">
        <v>0.14621744136964579</v>
      </c>
      <c r="I628" s="10">
        <v>5.9625345223441446</v>
      </c>
      <c r="J628" s="7">
        <v>3.4722765460668097E-2</v>
      </c>
      <c r="K628" s="5">
        <v>0.11156996286203941</v>
      </c>
      <c r="L628">
        <v>155.67804430794479</v>
      </c>
      <c r="M628" s="10">
        <v>-0.73630716396994655</v>
      </c>
      <c r="N628" s="24" t="s">
        <v>343</v>
      </c>
      <c r="O628" s="24">
        <v>6.8215701618032014</v>
      </c>
      <c r="P628">
        <v>59.362796851404212</v>
      </c>
      <c r="Q628" t="s">
        <v>47</v>
      </c>
      <c r="R628" t="s">
        <v>350</v>
      </c>
      <c r="S628" t="s">
        <v>343</v>
      </c>
      <c r="T628" t="s">
        <v>343</v>
      </c>
    </row>
    <row r="629" spans="2:20" x14ac:dyDescent="0.25">
      <c r="B629">
        <v>624</v>
      </c>
      <c r="C629" t="s">
        <v>968</v>
      </c>
      <c r="D629" s="10">
        <v>0.2182831777676921</v>
      </c>
      <c r="E629" s="10">
        <v>0.44892024764040162</v>
      </c>
      <c r="F629" s="10">
        <v>0.5117287687264227</v>
      </c>
      <c r="G629" s="10">
        <v>0.45099359093662639</v>
      </c>
      <c r="H629" s="6">
        <v>0.18832160664849229</v>
      </c>
      <c r="I629" s="10">
        <v>6.2341549528211191</v>
      </c>
      <c r="J629" s="7">
        <v>1.895720812021659E-2</v>
      </c>
      <c r="K629" s="5">
        <v>0.1523765576653309</v>
      </c>
      <c r="L629">
        <v>95.936668593244832</v>
      </c>
      <c r="M629" s="10">
        <v>-0.83749916481101994</v>
      </c>
      <c r="N629" s="24" t="s">
        <v>343</v>
      </c>
      <c r="O629" s="24">
        <v>0.75005011133880117</v>
      </c>
      <c r="P629">
        <v>61.800196316518772</v>
      </c>
      <c r="Q629" t="s">
        <v>47</v>
      </c>
      <c r="R629" t="s">
        <v>350</v>
      </c>
      <c r="S629" t="s">
        <v>343</v>
      </c>
      <c r="T629" t="s">
        <v>343</v>
      </c>
    </row>
    <row r="630" spans="2:20" x14ac:dyDescent="0.25">
      <c r="B630">
        <v>625</v>
      </c>
      <c r="C630" t="s">
        <v>969</v>
      </c>
      <c r="D630" s="10">
        <v>0.2405467633367771</v>
      </c>
      <c r="E630" s="10">
        <v>0.71139930372815552</v>
      </c>
      <c r="F630" s="10">
        <v>0.57208710204399338</v>
      </c>
      <c r="G630" s="10">
        <v>0.37389776384571111</v>
      </c>
      <c r="H630" s="6">
        <v>0.19475336720655331</v>
      </c>
      <c r="I630" s="10">
        <v>6.3581497114111327</v>
      </c>
      <c r="J630" s="7">
        <v>3.3138317975673681E-2</v>
      </c>
      <c r="K630" s="5">
        <v>0.12499916293765551</v>
      </c>
      <c r="L630">
        <v>136.0392738508302</v>
      </c>
      <c r="M630" s="10">
        <v>-0.7695719901116217</v>
      </c>
      <c r="N630" s="24" t="s">
        <v>343</v>
      </c>
      <c r="O630" s="24">
        <v>4.8256805933026996</v>
      </c>
      <c r="P630">
        <v>65.995910080665794</v>
      </c>
      <c r="Q630" t="s">
        <v>47</v>
      </c>
      <c r="R630" t="s">
        <v>350</v>
      </c>
      <c r="S630" t="s">
        <v>343</v>
      </c>
      <c r="T630" t="s">
        <v>343</v>
      </c>
    </row>
    <row r="631" spans="2:20" x14ac:dyDescent="0.25">
      <c r="B631">
        <v>626</v>
      </c>
      <c r="C631" t="s">
        <v>970</v>
      </c>
      <c r="D631" s="10">
        <v>0.27046317258069852</v>
      </c>
      <c r="E631" s="10">
        <v>1.1914509260085331</v>
      </c>
      <c r="F631" s="10">
        <v>0.58664618633656729</v>
      </c>
      <c r="G631" s="10">
        <v>0.28684439822419988</v>
      </c>
      <c r="H631" s="6">
        <v>0.19175747964566869</v>
      </c>
      <c r="I631" s="10">
        <v>6.6083518227273403</v>
      </c>
      <c r="J631" s="7">
        <v>3.096614984874092E-2</v>
      </c>
      <c r="K631" s="5">
        <v>0.12693698651857999</v>
      </c>
      <c r="L631">
        <v>262.27187915161772</v>
      </c>
      <c r="M631" s="10">
        <v>-0.55575485334580299</v>
      </c>
      <c r="N631" s="24" t="s">
        <v>343</v>
      </c>
      <c r="O631" s="24">
        <v>17.654708799251821</v>
      </c>
      <c r="P631">
        <v>26.930939320364018</v>
      </c>
      <c r="Q631" t="s">
        <v>348</v>
      </c>
      <c r="R631" t="s">
        <v>375</v>
      </c>
      <c r="S631" t="s">
        <v>343</v>
      </c>
      <c r="T631" t="s">
        <v>343</v>
      </c>
    </row>
    <row r="632" spans="2:20" x14ac:dyDescent="0.25">
      <c r="B632">
        <v>627</v>
      </c>
      <c r="C632" t="s">
        <v>971</v>
      </c>
      <c r="D632" s="10">
        <v>0.16628994237457581</v>
      </c>
      <c r="E632" s="10">
        <v>0.92519055058528266</v>
      </c>
      <c r="F632" s="10">
        <v>0.68520809760723433</v>
      </c>
      <c r="G632" s="10">
        <v>0.39166374703403012</v>
      </c>
      <c r="H632" s="6">
        <v>0.2412495617818923</v>
      </c>
      <c r="I632" s="10">
        <v>10.667100948312701</v>
      </c>
      <c r="J632" s="7">
        <v>4.1431592069280758E-2</v>
      </c>
      <c r="K632" s="5">
        <v>0.11194323212815289</v>
      </c>
      <c r="L632">
        <v>252.22830883991139</v>
      </c>
      <c r="M632" s="10">
        <v>-0.57276699883577509</v>
      </c>
      <c r="N632" s="24" t="s">
        <v>343</v>
      </c>
      <c r="O632" s="24">
        <v>16.6339800698535</v>
      </c>
      <c r="P632">
        <v>46.376371123957853</v>
      </c>
      <c r="Q632" t="s">
        <v>346</v>
      </c>
      <c r="R632" t="s">
        <v>347</v>
      </c>
      <c r="S632" t="s">
        <v>343</v>
      </c>
      <c r="T632" t="s">
        <v>343</v>
      </c>
    </row>
    <row r="633" spans="2:20" x14ac:dyDescent="0.25">
      <c r="B633">
        <v>628</v>
      </c>
      <c r="C633" t="s">
        <v>972</v>
      </c>
      <c r="D633" s="10">
        <v>0.2879056638254468</v>
      </c>
      <c r="E633" s="10">
        <v>0.41951365704622351</v>
      </c>
      <c r="F633" s="10">
        <v>0.50931536997590854</v>
      </c>
      <c r="G633" s="10">
        <v>0.28526416005013933</v>
      </c>
      <c r="H633" s="6">
        <v>0.20470184121901461</v>
      </c>
      <c r="I633" s="10">
        <v>5.9783395765787288</v>
      </c>
      <c r="J633" s="7">
        <v>1.307766103206342E-2</v>
      </c>
      <c r="K633" s="5">
        <v>0.13402892623952301</v>
      </c>
      <c r="L633">
        <v>146.65487098816769</v>
      </c>
      <c r="M633" s="10">
        <v>-0.75159092587266008</v>
      </c>
      <c r="N633" s="24" t="s">
        <v>343</v>
      </c>
      <c r="O633" s="24">
        <v>5.9045444476403901</v>
      </c>
      <c r="P633">
        <v>64.187413670603434</v>
      </c>
      <c r="Q633" t="s">
        <v>47</v>
      </c>
      <c r="R633" t="s">
        <v>350</v>
      </c>
      <c r="S633" t="s">
        <v>343</v>
      </c>
      <c r="T633" t="s">
        <v>343</v>
      </c>
    </row>
    <row r="634" spans="2:20" x14ac:dyDescent="0.25">
      <c r="B634">
        <v>629</v>
      </c>
      <c r="C634" t="s">
        <v>973</v>
      </c>
      <c r="D634" s="10">
        <v>0.26046406231854519</v>
      </c>
      <c r="E634" s="10">
        <v>0.7100547503682153</v>
      </c>
      <c r="F634" s="10">
        <v>0.68353894221407252</v>
      </c>
      <c r="G634" s="10">
        <v>0.31465870360780612</v>
      </c>
      <c r="H634" s="6">
        <v>0.25326661076382051</v>
      </c>
      <c r="I634" s="10">
        <v>6.1451437033552958</v>
      </c>
      <c r="J634" s="7">
        <v>1.7511283897728269E-2</v>
      </c>
      <c r="K634" s="5">
        <v>0.14573208137842</v>
      </c>
      <c r="L634">
        <v>138.99863822221059</v>
      </c>
      <c r="M634" s="10">
        <v>-0.76455931676128097</v>
      </c>
      <c r="N634" s="24" t="s">
        <v>343</v>
      </c>
      <c r="O634" s="24">
        <v>5.1264409943231399</v>
      </c>
      <c r="P634">
        <v>60.898393983995483</v>
      </c>
      <c r="Q634" t="s">
        <v>47</v>
      </c>
      <c r="R634" t="s">
        <v>350</v>
      </c>
      <c r="S634" t="s">
        <v>343</v>
      </c>
      <c r="T634" t="s">
        <v>343</v>
      </c>
    </row>
    <row r="635" spans="2:20" x14ac:dyDescent="0.25">
      <c r="B635">
        <v>630</v>
      </c>
      <c r="C635" t="s">
        <v>974</v>
      </c>
      <c r="D635" s="10">
        <v>0.1730814451118195</v>
      </c>
      <c r="E635" s="10">
        <v>0.56696383830130803</v>
      </c>
      <c r="F635" s="10">
        <v>0.64926331802108606</v>
      </c>
      <c r="G635" s="10">
        <v>0.29006323588097732</v>
      </c>
      <c r="H635" s="6">
        <v>0.19712782423739131</v>
      </c>
      <c r="I635" s="10">
        <v>9.2745604186754669</v>
      </c>
      <c r="J635" s="7">
        <v>4.0281245016539159E-2</v>
      </c>
      <c r="K635" s="5">
        <v>0.157033671912752</v>
      </c>
      <c r="L635">
        <v>176.9745477511519</v>
      </c>
      <c r="M635" s="10">
        <v>-0.70023441257184527</v>
      </c>
      <c r="N635" s="24" t="s">
        <v>343</v>
      </c>
      <c r="O635" s="24">
        <v>8.9859352456892871</v>
      </c>
      <c r="P635">
        <v>62.694731343833318</v>
      </c>
      <c r="Q635" t="s">
        <v>47</v>
      </c>
      <c r="R635" t="s">
        <v>350</v>
      </c>
      <c r="S635" t="s">
        <v>343</v>
      </c>
      <c r="T635" t="s">
        <v>343</v>
      </c>
    </row>
    <row r="636" spans="2:20" x14ac:dyDescent="0.25">
      <c r="B636">
        <v>631</v>
      </c>
      <c r="C636" t="s">
        <v>975</v>
      </c>
      <c r="D636" s="10">
        <v>0.29977257985708439</v>
      </c>
      <c r="E636" s="10">
        <v>0.86921210901909896</v>
      </c>
      <c r="F636" s="10">
        <v>0.63003245406254071</v>
      </c>
      <c r="G636" s="10">
        <v>0.29389564750544528</v>
      </c>
      <c r="H636" s="6">
        <v>0.15370726243230071</v>
      </c>
      <c r="I636" s="10">
        <v>5.1269474057071038</v>
      </c>
      <c r="J636" s="7">
        <v>3.877460097349926E-2</v>
      </c>
      <c r="K636" s="5">
        <v>0.12896258694558441</v>
      </c>
      <c r="L636">
        <v>183.39920863956539</v>
      </c>
      <c r="M636" s="10">
        <v>-0.68935210056870921</v>
      </c>
      <c r="N636" s="24" t="s">
        <v>343</v>
      </c>
      <c r="O636" s="24">
        <v>9.6388739658774476</v>
      </c>
      <c r="P636">
        <v>55.090811968276228</v>
      </c>
      <c r="Q636" t="s">
        <v>47</v>
      </c>
      <c r="R636" t="s">
        <v>350</v>
      </c>
      <c r="S636" t="s">
        <v>343</v>
      </c>
      <c r="T636" t="s">
        <v>343</v>
      </c>
    </row>
    <row r="637" spans="2:20" x14ac:dyDescent="0.25">
      <c r="B637">
        <v>632</v>
      </c>
      <c r="C637" t="s">
        <v>976</v>
      </c>
      <c r="D637" s="10">
        <v>0.3073395840850901</v>
      </c>
      <c r="E637" s="10">
        <v>1.227697241759188</v>
      </c>
      <c r="F637" s="10">
        <v>0.64458626998813251</v>
      </c>
      <c r="G637" s="10">
        <v>0.24102422794469211</v>
      </c>
      <c r="H637" s="6">
        <v>0.13942437603941291</v>
      </c>
      <c r="I637" s="10">
        <v>7.0137625720183481</v>
      </c>
      <c r="J637" s="7">
        <v>1.6723694501371771E-2</v>
      </c>
      <c r="K637" s="5">
        <v>0.17526358225945871</v>
      </c>
      <c r="L637">
        <v>234.09328537297711</v>
      </c>
      <c r="M637" s="10">
        <v>-0.60348472650717433</v>
      </c>
      <c r="N637" s="24" t="s">
        <v>343</v>
      </c>
      <c r="O637" s="24">
        <v>14.79091640956954</v>
      </c>
      <c r="P637">
        <v>20.952244245468538</v>
      </c>
      <c r="Q637" t="s">
        <v>348</v>
      </c>
      <c r="R637" t="s">
        <v>353</v>
      </c>
      <c r="S637" t="s">
        <v>343</v>
      </c>
      <c r="T637" t="s">
        <v>343</v>
      </c>
    </row>
    <row r="638" spans="2:20" x14ac:dyDescent="0.25">
      <c r="B638">
        <v>633</v>
      </c>
      <c r="C638" t="s">
        <v>977</v>
      </c>
      <c r="D638" s="10">
        <v>0.16977247357677819</v>
      </c>
      <c r="E638" s="10">
        <v>0.77989384828486175</v>
      </c>
      <c r="F638" s="10">
        <v>0.59741051192881478</v>
      </c>
      <c r="G638" s="10">
        <v>0.43375594308387938</v>
      </c>
      <c r="H638" s="6">
        <v>0.25025442314169322</v>
      </c>
      <c r="I638" s="10">
        <v>3.6373442747771638</v>
      </c>
      <c r="J638" s="7">
        <v>1.377076041811435E-2</v>
      </c>
      <c r="K638" s="5">
        <v>0.1494911963523532</v>
      </c>
      <c r="L638">
        <v>118.857692271459</v>
      </c>
      <c r="M638" s="10">
        <v>-0.79867474505877456</v>
      </c>
      <c r="N638" s="24" t="s">
        <v>343</v>
      </c>
      <c r="O638" s="24">
        <v>3.0795152964735242</v>
      </c>
      <c r="P638">
        <v>58.588246334560459</v>
      </c>
      <c r="Q638" t="s">
        <v>47</v>
      </c>
      <c r="R638" t="s">
        <v>350</v>
      </c>
      <c r="S638" t="s">
        <v>343</v>
      </c>
      <c r="T638" t="s">
        <v>343</v>
      </c>
    </row>
    <row r="639" spans="2:20" x14ac:dyDescent="0.25">
      <c r="B639">
        <v>634</v>
      </c>
      <c r="C639" t="s">
        <v>978</v>
      </c>
      <c r="D639" s="10">
        <v>0.20430042370355261</v>
      </c>
      <c r="E639" s="10">
        <v>0.77667623340515535</v>
      </c>
      <c r="F639" s="10">
        <v>0.50346080272024629</v>
      </c>
      <c r="G639" s="10">
        <v>0.30511790896067459</v>
      </c>
      <c r="H639" s="6">
        <v>0.12842591983533169</v>
      </c>
      <c r="I639" s="10">
        <v>13.478018188693079</v>
      </c>
      <c r="J639" s="7">
        <v>3.9968451261706783E-2</v>
      </c>
      <c r="K639" s="5">
        <v>0.1606149503507944</v>
      </c>
      <c r="L639">
        <v>181.94112530183091</v>
      </c>
      <c r="M639" s="10">
        <v>-0.69182185237092753</v>
      </c>
      <c r="N639" s="24" t="s">
        <v>343</v>
      </c>
      <c r="O639" s="24">
        <v>9.4906888577443489</v>
      </c>
      <c r="P639">
        <v>57.409388632369868</v>
      </c>
      <c r="Q639" t="s">
        <v>47</v>
      </c>
      <c r="R639" t="s">
        <v>350</v>
      </c>
      <c r="S639" t="s">
        <v>343</v>
      </c>
      <c r="T639" t="s">
        <v>343</v>
      </c>
    </row>
    <row r="640" spans="2:20" x14ac:dyDescent="0.25">
      <c r="B640">
        <v>635</v>
      </c>
      <c r="C640" t="s">
        <v>979</v>
      </c>
      <c r="D640" s="10">
        <v>0.2889922047668898</v>
      </c>
      <c r="E640" s="10">
        <v>1.295885992559741</v>
      </c>
      <c r="F640" s="10">
        <v>0.4892686918983617</v>
      </c>
      <c r="G640" s="10">
        <v>0.25900236349501482</v>
      </c>
      <c r="H640" s="6">
        <v>0.13764144178796431</v>
      </c>
      <c r="I640" s="10">
        <v>6.490384448080599</v>
      </c>
      <c r="J640" s="7">
        <v>1.6234831988864669E-2</v>
      </c>
      <c r="K640" s="5">
        <v>0.12642364285296059</v>
      </c>
      <c r="L640">
        <v>192.98310000314549</v>
      </c>
      <c r="M640" s="10">
        <v>-0.6731185751213612</v>
      </c>
      <c r="N640" s="24" t="s">
        <v>343</v>
      </c>
      <c r="O640" s="24">
        <v>10.61288549271833</v>
      </c>
      <c r="P640">
        <v>57.471623434435223</v>
      </c>
      <c r="Q640" t="s">
        <v>47</v>
      </c>
      <c r="R640" t="s">
        <v>350</v>
      </c>
      <c r="S640" t="s">
        <v>343</v>
      </c>
      <c r="T640" t="s">
        <v>343</v>
      </c>
    </row>
    <row r="641" spans="2:20" x14ac:dyDescent="0.25">
      <c r="B641">
        <v>636</v>
      </c>
      <c r="C641" t="s">
        <v>980</v>
      </c>
      <c r="D641" s="10">
        <v>0.27972155046138542</v>
      </c>
      <c r="E641" s="10">
        <v>0.93380395375799963</v>
      </c>
      <c r="F641" s="10">
        <v>0.66524877332110144</v>
      </c>
      <c r="G641" s="10">
        <v>0.25913722924983951</v>
      </c>
      <c r="H641" s="6">
        <v>0.12954877783764621</v>
      </c>
      <c r="I641" s="10">
        <v>12.350463469391951</v>
      </c>
      <c r="J641" s="7">
        <v>4.0488839712477832E-2</v>
      </c>
      <c r="K641" s="5">
        <v>0.17734290850616519</v>
      </c>
      <c r="L641">
        <v>166.06354267318389</v>
      </c>
      <c r="M641" s="10">
        <v>-0.71871584896024454</v>
      </c>
      <c r="N641" s="24" t="s">
        <v>343</v>
      </c>
      <c r="O641" s="24">
        <v>7.8770490623853249</v>
      </c>
      <c r="P641">
        <v>51.898255162303641</v>
      </c>
      <c r="Q641" t="s">
        <v>47</v>
      </c>
      <c r="R641" t="s">
        <v>350</v>
      </c>
      <c r="S641" t="s">
        <v>343</v>
      </c>
      <c r="T641" t="s">
        <v>343</v>
      </c>
    </row>
    <row r="642" spans="2:20" x14ac:dyDescent="0.25">
      <c r="B642">
        <v>637</v>
      </c>
      <c r="C642" t="s">
        <v>981</v>
      </c>
      <c r="D642" s="10">
        <v>0.18952336309702039</v>
      </c>
      <c r="E642" s="10">
        <v>0.92281019613714754</v>
      </c>
      <c r="F642" s="10">
        <v>0.62853624467491653</v>
      </c>
      <c r="G642" s="10">
        <v>0.36232402082140952</v>
      </c>
      <c r="H642" s="6">
        <v>0.183560129577273</v>
      </c>
      <c r="I642" s="10">
        <v>8.8294015347699819</v>
      </c>
      <c r="J642" s="7">
        <v>4.3639014478220918E-2</v>
      </c>
      <c r="K642" s="5">
        <v>0.15930607280376399</v>
      </c>
      <c r="L642">
        <v>244.85853246517681</v>
      </c>
      <c r="M642" s="10">
        <v>-0.58525018001781071</v>
      </c>
      <c r="N642" s="24" t="s">
        <v>343</v>
      </c>
      <c r="O642" s="24">
        <v>15.884989198931359</v>
      </c>
      <c r="P642">
        <v>57.350695357570842</v>
      </c>
      <c r="Q642" t="s">
        <v>47</v>
      </c>
      <c r="R642" t="s">
        <v>350</v>
      </c>
      <c r="S642" t="s">
        <v>343</v>
      </c>
      <c r="T642" t="s">
        <v>343</v>
      </c>
    </row>
    <row r="643" spans="2:20" x14ac:dyDescent="0.25">
      <c r="B643">
        <v>638</v>
      </c>
      <c r="C643" t="s">
        <v>982</v>
      </c>
      <c r="D643" s="10">
        <v>0.19349589173387369</v>
      </c>
      <c r="E643" s="10">
        <v>0.58810088106292824</v>
      </c>
      <c r="F643" s="10">
        <v>0.49543311351784669</v>
      </c>
      <c r="G643" s="10">
        <v>0.4584425211174662</v>
      </c>
      <c r="H643" s="6">
        <v>0.199892342459039</v>
      </c>
      <c r="I643" s="10">
        <v>5.5103337301647244</v>
      </c>
      <c r="J643" s="7">
        <v>1.7728232350148459E-2</v>
      </c>
      <c r="K643" s="5">
        <v>0.1819231311976699</v>
      </c>
      <c r="L643">
        <v>62.221907575481232</v>
      </c>
      <c r="M643" s="10">
        <v>-0.89460638881534837</v>
      </c>
      <c r="N643" s="24" t="s">
        <v>343</v>
      </c>
      <c r="O643" s="24">
        <v>0</v>
      </c>
      <c r="P643">
        <v>57.180183338354837</v>
      </c>
      <c r="Q643" t="s">
        <v>47</v>
      </c>
      <c r="R643" t="s">
        <v>350</v>
      </c>
      <c r="S643" t="s">
        <v>343</v>
      </c>
      <c r="T643" t="s">
        <v>343</v>
      </c>
    </row>
    <row r="644" spans="2:20" x14ac:dyDescent="0.25">
      <c r="B644">
        <v>639</v>
      </c>
      <c r="C644" t="s">
        <v>983</v>
      </c>
      <c r="D644" s="10">
        <v>0.21927553644662109</v>
      </c>
      <c r="E644" s="10">
        <v>0.96849502262083886</v>
      </c>
      <c r="F644" s="10">
        <v>0.59992427512734436</v>
      </c>
      <c r="G644" s="10">
        <v>0.27190494279944222</v>
      </c>
      <c r="H644" s="6">
        <v>0.1229812096533901</v>
      </c>
      <c r="I644" s="10">
        <v>5.1277033140318871</v>
      </c>
      <c r="J644" s="7">
        <v>3.9413565997233432E-2</v>
      </c>
      <c r="K644" s="5">
        <v>0.115195399999138</v>
      </c>
      <c r="L644">
        <v>105.4688961267213</v>
      </c>
      <c r="M644" s="10">
        <v>-0.82135314933940928</v>
      </c>
      <c r="N644" s="24" t="s">
        <v>343</v>
      </c>
      <c r="O644" s="24">
        <v>1.7188110396354399</v>
      </c>
      <c r="P644">
        <v>54.241270352599877</v>
      </c>
      <c r="Q644" t="s">
        <v>47</v>
      </c>
      <c r="R644" t="s">
        <v>350</v>
      </c>
      <c r="S644" t="s">
        <v>343</v>
      </c>
      <c r="T644" t="s">
        <v>343</v>
      </c>
    </row>
    <row r="645" spans="2:20" x14ac:dyDescent="0.25">
      <c r="B645">
        <v>640</v>
      </c>
      <c r="C645" t="s">
        <v>984</v>
      </c>
      <c r="D645" s="10">
        <v>0.2375236776305634</v>
      </c>
      <c r="E645" s="10">
        <v>0.93350151415913585</v>
      </c>
      <c r="F645" s="10">
        <v>0.55636208516769814</v>
      </c>
      <c r="G645" s="10">
        <v>0.26191679180892508</v>
      </c>
      <c r="H645" s="6">
        <v>0.19733792503374059</v>
      </c>
      <c r="I645" s="10">
        <v>10.644568193713161</v>
      </c>
      <c r="J645" s="7">
        <v>2.4834088149379211E-2</v>
      </c>
      <c r="K645" s="5">
        <v>0.13616301035844491</v>
      </c>
      <c r="L645">
        <v>84.622482307682333</v>
      </c>
      <c r="M645" s="10">
        <v>-0.85666352342224927</v>
      </c>
      <c r="N645" s="24" t="s">
        <v>343</v>
      </c>
      <c r="O645" s="24">
        <v>0</v>
      </c>
      <c r="P645">
        <v>56.110945012093921</v>
      </c>
      <c r="Q645" t="s">
        <v>47</v>
      </c>
      <c r="R645" t="s">
        <v>350</v>
      </c>
      <c r="S645" t="s">
        <v>343</v>
      </c>
      <c r="T645" t="s">
        <v>343</v>
      </c>
    </row>
    <row r="646" spans="2:20" x14ac:dyDescent="0.25">
      <c r="B646">
        <v>641</v>
      </c>
      <c r="C646" t="s">
        <v>985</v>
      </c>
      <c r="D646" s="10">
        <v>0.25892076344484738</v>
      </c>
      <c r="E646" s="10">
        <v>0.73653661737605036</v>
      </c>
      <c r="F646" s="10">
        <v>0.48125034419040441</v>
      </c>
      <c r="G646" s="10">
        <v>0.33642685368845993</v>
      </c>
      <c r="H646" s="6">
        <v>0.17906392069359389</v>
      </c>
      <c r="I646" s="10">
        <v>13.613556883970061</v>
      </c>
      <c r="J646" s="7">
        <v>3.7607244866372347E-2</v>
      </c>
      <c r="K646" s="5">
        <v>0.1107365374854397</v>
      </c>
      <c r="L646">
        <v>457.05992963761958</v>
      </c>
      <c r="M646" s="10">
        <v>-0.22581614114168411</v>
      </c>
      <c r="N646" s="24" t="s">
        <v>343</v>
      </c>
      <c r="O646" s="24">
        <v>37.451031531498963</v>
      </c>
      <c r="P646">
        <v>12.029527045625329</v>
      </c>
      <c r="Q646" t="s">
        <v>348</v>
      </c>
      <c r="R646" t="s">
        <v>371</v>
      </c>
      <c r="S646" t="s">
        <v>343</v>
      </c>
      <c r="T646" t="s">
        <v>343</v>
      </c>
    </row>
    <row r="647" spans="2:20" x14ac:dyDescent="0.25">
      <c r="B647">
        <v>642</v>
      </c>
      <c r="C647" t="s">
        <v>986</v>
      </c>
      <c r="D647" s="10">
        <v>0.21902618233116361</v>
      </c>
      <c r="E647" s="10">
        <v>1.389765122489099</v>
      </c>
      <c r="F647" s="10">
        <v>0.57828284843286271</v>
      </c>
      <c r="G647" s="10">
        <v>0.36393287584497502</v>
      </c>
      <c r="H647" s="6">
        <v>0.2360467773683847</v>
      </c>
      <c r="I647" s="10">
        <v>5.0137669258208986</v>
      </c>
      <c r="J647" s="7">
        <v>2.4258843934259509E-2</v>
      </c>
      <c r="K647" s="5">
        <v>0.1204750945359173</v>
      </c>
      <c r="L647">
        <v>153.0427722115752</v>
      </c>
      <c r="M647" s="10">
        <v>-0.74077087865682933</v>
      </c>
      <c r="N647" s="24" t="s">
        <v>343</v>
      </c>
      <c r="O647" s="24">
        <v>6.5537472805902439</v>
      </c>
      <c r="P647">
        <v>55.469025784425483</v>
      </c>
      <c r="Q647" t="s">
        <v>47</v>
      </c>
      <c r="R647" t="s">
        <v>350</v>
      </c>
      <c r="S647" t="s">
        <v>343</v>
      </c>
      <c r="T647" t="s">
        <v>343</v>
      </c>
    </row>
    <row r="648" spans="2:20" x14ac:dyDescent="0.25">
      <c r="B648">
        <v>643</v>
      </c>
      <c r="C648" t="s">
        <v>987</v>
      </c>
      <c r="D648" s="10">
        <v>0.2340055545813037</v>
      </c>
      <c r="E648" s="10">
        <v>1.2700800614428951</v>
      </c>
      <c r="F648" s="10">
        <v>0.51319496404126852</v>
      </c>
      <c r="G648" s="10">
        <v>0.30476367895314688</v>
      </c>
      <c r="H648" s="6">
        <v>0.24449349326193351</v>
      </c>
      <c r="I648" s="10">
        <v>4.269633383664198</v>
      </c>
      <c r="J648" s="7">
        <v>1.246384595568009E-2</v>
      </c>
      <c r="K648" s="5">
        <v>0.13748201292606271</v>
      </c>
      <c r="L648">
        <v>109.0576164123477</v>
      </c>
      <c r="M648" s="10">
        <v>-0.81527445125425402</v>
      </c>
      <c r="N648" s="24" t="s">
        <v>343</v>
      </c>
      <c r="O648" s="24">
        <v>2.0835329247447589</v>
      </c>
      <c r="P648">
        <v>58.798712716550078</v>
      </c>
      <c r="Q648" t="s">
        <v>47</v>
      </c>
      <c r="R648" t="s">
        <v>350</v>
      </c>
      <c r="S648" t="s">
        <v>343</v>
      </c>
      <c r="T648" t="s">
        <v>343</v>
      </c>
    </row>
    <row r="649" spans="2:20" x14ac:dyDescent="0.25">
      <c r="B649">
        <v>644</v>
      </c>
      <c r="C649" t="s">
        <v>988</v>
      </c>
      <c r="D649" s="10">
        <v>0.27959535010140102</v>
      </c>
      <c r="E649" s="10">
        <v>1.1245449190844969</v>
      </c>
      <c r="F649" s="10">
        <v>0.46502347228096858</v>
      </c>
      <c r="G649" s="10">
        <v>0.30655486035305057</v>
      </c>
      <c r="H649" s="6">
        <v>0.2227451154579308</v>
      </c>
      <c r="I649" s="10">
        <v>7.2580927995092344</v>
      </c>
      <c r="J649" s="7">
        <v>3.4944334541478238E-2</v>
      </c>
      <c r="K649" s="5">
        <v>0.18498528122764049</v>
      </c>
      <c r="L649">
        <v>213.21779856982641</v>
      </c>
      <c r="M649" s="10">
        <v>-0.63884434541234214</v>
      </c>
      <c r="N649" s="24" t="s">
        <v>343</v>
      </c>
      <c r="O649" s="24">
        <v>12.669339275259469</v>
      </c>
      <c r="P649">
        <v>19.493600853066042</v>
      </c>
      <c r="Q649" t="s">
        <v>348</v>
      </c>
      <c r="R649" t="s">
        <v>375</v>
      </c>
      <c r="S649" t="s">
        <v>343</v>
      </c>
      <c r="T649" t="s">
        <v>343</v>
      </c>
    </row>
    <row r="650" spans="2:20" x14ac:dyDescent="0.25">
      <c r="B650">
        <v>645</v>
      </c>
      <c r="C650" t="s">
        <v>989</v>
      </c>
      <c r="D650" s="10">
        <v>0.1658693124624957</v>
      </c>
      <c r="E650" s="10">
        <v>0.8910801472543004</v>
      </c>
      <c r="F650" s="10">
        <v>0.56140915762180676</v>
      </c>
      <c r="G650" s="10">
        <v>0.33338483040676892</v>
      </c>
      <c r="H650" s="6">
        <v>0.19102433029749361</v>
      </c>
      <c r="I650" s="10">
        <v>7.3319160163980346</v>
      </c>
      <c r="J650" s="7">
        <v>1.527410239662527E-2</v>
      </c>
      <c r="K650" s="5">
        <v>0.1529188635618309</v>
      </c>
      <c r="L650">
        <v>92.982344424570258</v>
      </c>
      <c r="M650" s="10">
        <v>-0.84250330089233472</v>
      </c>
      <c r="N650" s="24" t="s">
        <v>343</v>
      </c>
      <c r="O650" s="24">
        <v>0.449801946459921</v>
      </c>
      <c r="P650">
        <v>62.002213637698773</v>
      </c>
      <c r="Q650" t="s">
        <v>47</v>
      </c>
      <c r="R650" t="s">
        <v>350</v>
      </c>
      <c r="S650" t="s">
        <v>343</v>
      </c>
      <c r="T650" t="s">
        <v>343</v>
      </c>
    </row>
    <row r="651" spans="2:20" x14ac:dyDescent="0.25">
      <c r="B651">
        <v>646</v>
      </c>
      <c r="C651" t="s">
        <v>990</v>
      </c>
      <c r="D651" s="10">
        <v>0.20038991109504331</v>
      </c>
      <c r="E651" s="10">
        <v>0.80826578208409328</v>
      </c>
      <c r="F651" s="10">
        <v>0.59342822354432601</v>
      </c>
      <c r="G651" s="10">
        <v>0.30911203533313331</v>
      </c>
      <c r="H651" s="6">
        <v>0.15242228925629819</v>
      </c>
      <c r="I651" s="10">
        <v>11.86878271061148</v>
      </c>
      <c r="J651" s="7">
        <v>4.2445878126084462E-2</v>
      </c>
      <c r="K651" s="5">
        <v>0.13138594141785451</v>
      </c>
      <c r="L651">
        <v>166.25340248324059</v>
      </c>
      <c r="M651" s="10">
        <v>-0.71839425787150413</v>
      </c>
      <c r="N651" s="24" t="s">
        <v>343</v>
      </c>
      <c r="O651" s="24">
        <v>7.8963445277097506</v>
      </c>
      <c r="P651">
        <v>54.764053827434402</v>
      </c>
      <c r="Q651" t="s">
        <v>47</v>
      </c>
      <c r="R651" t="s">
        <v>350</v>
      </c>
      <c r="S651" t="s">
        <v>343</v>
      </c>
      <c r="T651" t="s">
        <v>343</v>
      </c>
    </row>
    <row r="652" spans="2:20" x14ac:dyDescent="0.25">
      <c r="B652">
        <v>647</v>
      </c>
      <c r="C652" t="s">
        <v>991</v>
      </c>
      <c r="D652" s="10">
        <v>0.27413593374152839</v>
      </c>
      <c r="E652" s="10">
        <v>0.50338713474551922</v>
      </c>
      <c r="F652" s="10">
        <v>0.45219566669909911</v>
      </c>
      <c r="G652" s="10">
        <v>0.44137294838507368</v>
      </c>
      <c r="H652" s="6">
        <v>0.24706723009538401</v>
      </c>
      <c r="I652" s="10">
        <v>8.1577822393125103</v>
      </c>
      <c r="J652" s="7">
        <v>2.4621119905724541E-2</v>
      </c>
      <c r="K652" s="5">
        <v>0.1709554204735613</v>
      </c>
      <c r="L652">
        <v>104.8058371128789</v>
      </c>
      <c r="M652" s="10">
        <v>-0.82247626154571063</v>
      </c>
      <c r="N652" s="24" t="s">
        <v>343</v>
      </c>
      <c r="O652" s="24">
        <v>1.651424307257358</v>
      </c>
      <c r="P652">
        <v>57.19480508149551</v>
      </c>
      <c r="Q652" t="s">
        <v>47</v>
      </c>
      <c r="R652" t="s">
        <v>350</v>
      </c>
      <c r="S652" t="s">
        <v>343</v>
      </c>
      <c r="T652" t="s">
        <v>343</v>
      </c>
    </row>
    <row r="653" spans="2:20" x14ac:dyDescent="0.25">
      <c r="B653">
        <v>648</v>
      </c>
      <c r="C653" t="s">
        <v>992</v>
      </c>
      <c r="D653" s="10">
        <v>0.30323309402995191</v>
      </c>
      <c r="E653" s="10">
        <v>0.63631122141608598</v>
      </c>
      <c r="F653" s="10">
        <v>0.54454411484685916</v>
      </c>
      <c r="G653" s="10">
        <v>0.24923000568393841</v>
      </c>
      <c r="H653" s="6">
        <v>0.17125037100666249</v>
      </c>
      <c r="I653" s="10">
        <v>3.6870730718753948</v>
      </c>
      <c r="J653" s="7">
        <v>1.2870005176835279E-2</v>
      </c>
      <c r="K653" s="5">
        <v>0.1018698570884586</v>
      </c>
      <c r="L653">
        <v>69.588705512394327</v>
      </c>
      <c r="M653" s="10">
        <v>-0.88212825261393013</v>
      </c>
      <c r="N653" s="24" t="s">
        <v>343</v>
      </c>
      <c r="O653" s="24">
        <v>0</v>
      </c>
      <c r="P653">
        <v>56.439884551582708</v>
      </c>
      <c r="Q653" t="s">
        <v>47</v>
      </c>
      <c r="R653" t="s">
        <v>350</v>
      </c>
      <c r="S653" t="s">
        <v>343</v>
      </c>
      <c r="T653" t="s">
        <v>343</v>
      </c>
    </row>
    <row r="654" spans="2:20" x14ac:dyDescent="0.25">
      <c r="B654">
        <v>649</v>
      </c>
      <c r="C654" t="s">
        <v>993</v>
      </c>
      <c r="D654" s="10">
        <v>0.24186839073850661</v>
      </c>
      <c r="E654" s="10">
        <v>1.1513568798055309</v>
      </c>
      <c r="F654" s="10">
        <v>0.50699209915753818</v>
      </c>
      <c r="G654" s="10">
        <v>0.29160543517146043</v>
      </c>
      <c r="H654" s="6">
        <v>0.17344378307924241</v>
      </c>
      <c r="I654" s="10">
        <v>13.1273446087847</v>
      </c>
      <c r="J654" s="7">
        <v>1.7996800517089798E-2</v>
      </c>
      <c r="K654" s="5">
        <v>0.13515876006805341</v>
      </c>
      <c r="L654">
        <v>190.23469646248509</v>
      </c>
      <c r="M654" s="10">
        <v>-0.67777391574703216</v>
      </c>
      <c r="N654" s="24" t="s">
        <v>343</v>
      </c>
      <c r="O654" s="24">
        <v>10.33356505517807</v>
      </c>
      <c r="P654">
        <v>60.765121240205097</v>
      </c>
      <c r="Q654" t="s">
        <v>47</v>
      </c>
      <c r="R654" t="s">
        <v>350</v>
      </c>
      <c r="S654" t="s">
        <v>343</v>
      </c>
      <c r="T654" t="s">
        <v>343</v>
      </c>
    </row>
    <row r="655" spans="2:20" x14ac:dyDescent="0.25">
      <c r="B655">
        <v>650</v>
      </c>
      <c r="C655" t="s">
        <v>994</v>
      </c>
      <c r="D655" s="10">
        <v>0.2451381576424505</v>
      </c>
      <c r="E655" s="10">
        <v>0.79912384933130653</v>
      </c>
      <c r="F655" s="10">
        <v>0.44796915358388051</v>
      </c>
      <c r="G655" s="10">
        <v>0.41788161517003269</v>
      </c>
      <c r="H655" s="6">
        <v>0.25740173207805672</v>
      </c>
      <c r="I655" s="10">
        <v>7.1050668290563674</v>
      </c>
      <c r="J655" s="7">
        <v>4.0188116611369312E-2</v>
      </c>
      <c r="K655" s="5">
        <v>0.15707901117637099</v>
      </c>
      <c r="L655">
        <v>130.4846076350307</v>
      </c>
      <c r="M655" s="10">
        <v>-0.77898067515873815</v>
      </c>
      <c r="N655" s="24" t="s">
        <v>343</v>
      </c>
      <c r="O655" s="24">
        <v>4.2611594904757126</v>
      </c>
      <c r="P655">
        <v>57.045170210361483</v>
      </c>
      <c r="Q655" t="s">
        <v>47</v>
      </c>
      <c r="R655" t="s">
        <v>350</v>
      </c>
      <c r="S655" t="s">
        <v>343</v>
      </c>
      <c r="T655" t="s">
        <v>343</v>
      </c>
    </row>
    <row r="656" spans="2:20" x14ac:dyDescent="0.25">
      <c r="B656">
        <v>651</v>
      </c>
      <c r="C656" t="s">
        <v>995</v>
      </c>
      <c r="D656" s="10">
        <v>0.17714752181436419</v>
      </c>
      <c r="E656" s="10">
        <v>1.270496468226451</v>
      </c>
      <c r="F656" s="10">
        <v>0.4726722628989915</v>
      </c>
      <c r="G656" s="10">
        <v>0.42347078742629052</v>
      </c>
      <c r="H656" s="6">
        <v>0.26633958833968702</v>
      </c>
      <c r="I656" s="10">
        <v>10.35384903543623</v>
      </c>
      <c r="J656" s="7">
        <v>2.123799143684536E-2</v>
      </c>
      <c r="K656" s="5">
        <v>0.15540754386690919</v>
      </c>
      <c r="L656">
        <v>336.09312623464677</v>
      </c>
      <c r="M656" s="10">
        <v>-0.43071388119629722</v>
      </c>
      <c r="N656" s="24" t="s">
        <v>343</v>
      </c>
      <c r="O656" s="24">
        <v>25.15716712822217</v>
      </c>
      <c r="P656">
        <v>19.991385520386149</v>
      </c>
      <c r="Q656" t="s">
        <v>348</v>
      </c>
      <c r="R656" t="s">
        <v>371</v>
      </c>
      <c r="S656" t="s">
        <v>343</v>
      </c>
      <c r="T656" t="s">
        <v>343</v>
      </c>
    </row>
    <row r="657" spans="2:20" x14ac:dyDescent="0.25">
      <c r="B657">
        <v>652</v>
      </c>
      <c r="C657" t="s">
        <v>996</v>
      </c>
      <c r="D657" s="10">
        <v>0.23158597869175271</v>
      </c>
      <c r="E657" s="10">
        <v>0.46270224998008158</v>
      </c>
      <c r="F657" s="10">
        <v>0.47614888129277821</v>
      </c>
      <c r="G657" s="10">
        <v>0.26454211737212419</v>
      </c>
      <c r="H657" s="6">
        <v>0.25471964345767562</v>
      </c>
      <c r="I657" s="10">
        <v>10.34237098710682</v>
      </c>
      <c r="J657" s="7">
        <v>3.9971479824289127E-2</v>
      </c>
      <c r="K657" s="5">
        <v>0.15771799883203699</v>
      </c>
      <c r="L657">
        <v>141.8951423514925</v>
      </c>
      <c r="M657" s="10">
        <v>-0.75965311825513671</v>
      </c>
      <c r="N657" s="24" t="s">
        <v>343</v>
      </c>
      <c r="O657" s="24">
        <v>5.4208129046917932</v>
      </c>
      <c r="P657">
        <v>25.341372136603599</v>
      </c>
      <c r="Q657" t="s">
        <v>348</v>
      </c>
      <c r="R657" t="s">
        <v>371</v>
      </c>
      <c r="S657" t="s">
        <v>343</v>
      </c>
      <c r="T657" t="s">
        <v>343</v>
      </c>
    </row>
    <row r="658" spans="2:20" x14ac:dyDescent="0.25">
      <c r="B658">
        <v>653</v>
      </c>
      <c r="C658" t="s">
        <v>997</v>
      </c>
      <c r="D658" s="10">
        <v>0.24521876263280371</v>
      </c>
      <c r="E658" s="10">
        <v>0.85918180561500002</v>
      </c>
      <c r="F658" s="10">
        <v>0.48754730451067252</v>
      </c>
      <c r="G658" s="10">
        <v>0.45422795900279772</v>
      </c>
      <c r="H658" s="6">
        <v>0.26973520853416222</v>
      </c>
      <c r="I658" s="10">
        <v>3.6197628642988389</v>
      </c>
      <c r="J658" s="7">
        <v>1.6030035843725209E-2</v>
      </c>
      <c r="K658" s="5">
        <v>0.1200925726573743</v>
      </c>
      <c r="L658">
        <v>139.93839453029659</v>
      </c>
      <c r="M658" s="10">
        <v>-0.76296752514315036</v>
      </c>
      <c r="N658" s="24" t="s">
        <v>343</v>
      </c>
      <c r="O658" s="24">
        <v>5.2219484914109842</v>
      </c>
      <c r="P658">
        <v>54.584826726175919</v>
      </c>
      <c r="Q658" t="s">
        <v>47</v>
      </c>
      <c r="R658" t="s">
        <v>350</v>
      </c>
      <c r="S658" t="s">
        <v>343</v>
      </c>
      <c r="T658" t="s">
        <v>343</v>
      </c>
    </row>
    <row r="659" spans="2:20" x14ac:dyDescent="0.25">
      <c r="B659">
        <v>654</v>
      </c>
      <c r="C659" t="s">
        <v>998</v>
      </c>
      <c r="D659" s="10">
        <v>0.19879528058155679</v>
      </c>
      <c r="E659" s="10">
        <v>1.01166225242344</v>
      </c>
      <c r="F659" s="10">
        <v>0.64887816857385949</v>
      </c>
      <c r="G659" s="10">
        <v>0.39253806697780402</v>
      </c>
      <c r="H659" s="6">
        <v>0.25033632658522159</v>
      </c>
      <c r="I659" s="10">
        <v>3.0396512507301932</v>
      </c>
      <c r="J659" s="7">
        <v>2.6387634325205311E-2</v>
      </c>
      <c r="K659" s="5">
        <v>0.13202251953438049</v>
      </c>
      <c r="L659">
        <v>201.74257525942181</v>
      </c>
      <c r="M659" s="10">
        <v>-0.65828147408549809</v>
      </c>
      <c r="N659" s="24" t="s">
        <v>343</v>
      </c>
      <c r="O659" s="24">
        <v>11.50311155487012</v>
      </c>
      <c r="P659">
        <v>56.572315187855708</v>
      </c>
      <c r="Q659" t="s">
        <v>47</v>
      </c>
      <c r="R659" t="s">
        <v>350</v>
      </c>
      <c r="S659" t="s">
        <v>343</v>
      </c>
      <c r="T659" t="s">
        <v>343</v>
      </c>
    </row>
    <row r="660" spans="2:20" x14ac:dyDescent="0.25">
      <c r="B660">
        <v>655</v>
      </c>
      <c r="C660" t="s">
        <v>999</v>
      </c>
      <c r="D660" s="10">
        <v>0.20307891695190089</v>
      </c>
      <c r="E660" s="10">
        <v>0.86853330193871847</v>
      </c>
      <c r="F660" s="10">
        <v>0.55426788528431614</v>
      </c>
      <c r="G660" s="10">
        <v>0.29997047231639101</v>
      </c>
      <c r="H660" s="6">
        <v>0.22565362764301231</v>
      </c>
      <c r="I660" s="10">
        <v>3.9684073117859469</v>
      </c>
      <c r="J660" s="7">
        <v>4.0739082212531558E-2</v>
      </c>
      <c r="K660" s="5">
        <v>0.18849871795088949</v>
      </c>
      <c r="L660">
        <v>56.499151598852777</v>
      </c>
      <c r="M660" s="10">
        <v>-0.90429979009163908</v>
      </c>
      <c r="N660" s="24" t="s">
        <v>343</v>
      </c>
      <c r="O660" s="24">
        <v>0</v>
      </c>
      <c r="P660">
        <v>59.054052227960568</v>
      </c>
      <c r="Q660" t="s">
        <v>47</v>
      </c>
      <c r="R660" t="s">
        <v>350</v>
      </c>
      <c r="S660" t="s">
        <v>343</v>
      </c>
      <c r="T660" t="s">
        <v>343</v>
      </c>
    </row>
    <row r="661" spans="2:20" x14ac:dyDescent="0.25">
      <c r="B661">
        <v>656</v>
      </c>
      <c r="C661" t="s">
        <v>1000</v>
      </c>
      <c r="D661" s="10">
        <v>0.2203654660967396</v>
      </c>
      <c r="E661" s="10">
        <v>1.2781495807434859</v>
      </c>
      <c r="F661" s="10">
        <v>0.47824235799030063</v>
      </c>
      <c r="G661" s="10">
        <v>0.34032833025918002</v>
      </c>
      <c r="H661" s="6">
        <v>0.16407290993572091</v>
      </c>
      <c r="I661" s="10">
        <v>13.5218424626164</v>
      </c>
      <c r="J661" s="7">
        <v>1.169416913131398E-2</v>
      </c>
      <c r="K661" s="5">
        <v>0.19252767547223629</v>
      </c>
      <c r="L661">
        <v>186.60274772784399</v>
      </c>
      <c r="M661" s="10">
        <v>-0.68392583566875753</v>
      </c>
      <c r="N661" s="24" t="s">
        <v>343</v>
      </c>
      <c r="O661" s="24">
        <v>9.9644498598745486</v>
      </c>
      <c r="P661">
        <v>14.07524284239307</v>
      </c>
      <c r="Q661" t="s">
        <v>348</v>
      </c>
      <c r="R661" t="s">
        <v>371</v>
      </c>
      <c r="S661" t="s">
        <v>343</v>
      </c>
      <c r="T661" t="s">
        <v>343</v>
      </c>
    </row>
    <row r="662" spans="2:20" x14ac:dyDescent="0.25">
      <c r="B662">
        <v>657</v>
      </c>
      <c r="C662" t="s">
        <v>1001</v>
      </c>
      <c r="D662" s="10">
        <v>0.16321139164443621</v>
      </c>
      <c r="E662" s="10">
        <v>1.388519610012054</v>
      </c>
      <c r="F662" s="10">
        <v>0.46607721140125119</v>
      </c>
      <c r="G662" s="10">
        <v>0.30537049630495278</v>
      </c>
      <c r="H662" s="6">
        <v>0.26294355733498143</v>
      </c>
      <c r="I662" s="10">
        <v>11.733922439479739</v>
      </c>
      <c r="J662" s="7">
        <v>2.064970139728672E-2</v>
      </c>
      <c r="K662" s="5">
        <v>0.12964364337653</v>
      </c>
      <c r="L662">
        <v>419.11804407013381</v>
      </c>
      <c r="M662" s="10">
        <v>-0.29008341437275897</v>
      </c>
      <c r="N662" s="24" t="s">
        <v>343</v>
      </c>
      <c r="O662" s="24">
        <v>33.594995137634463</v>
      </c>
      <c r="P662">
        <v>16.334425148742419</v>
      </c>
      <c r="Q662" t="s">
        <v>348</v>
      </c>
      <c r="R662" t="s">
        <v>371</v>
      </c>
      <c r="S662" t="s">
        <v>343</v>
      </c>
      <c r="T662" t="s">
        <v>343</v>
      </c>
    </row>
    <row r="663" spans="2:20" x14ac:dyDescent="0.25">
      <c r="B663">
        <v>658</v>
      </c>
      <c r="C663" t="s">
        <v>1002</v>
      </c>
      <c r="D663" s="10">
        <v>0.21153266649330851</v>
      </c>
      <c r="E663" s="10">
        <v>0.42741812417550668</v>
      </c>
      <c r="F663" s="10">
        <v>0.51746451926955017</v>
      </c>
      <c r="G663" s="10">
        <v>0.27300489496797231</v>
      </c>
      <c r="H663" s="6">
        <v>0.25149402474206312</v>
      </c>
      <c r="I663" s="10">
        <v>4.45213504397951</v>
      </c>
      <c r="J663" s="7">
        <v>4.1844805630357501E-2</v>
      </c>
      <c r="K663" s="5">
        <v>0.16122785182383159</v>
      </c>
      <c r="L663">
        <v>32.973967188309722</v>
      </c>
      <c r="M663" s="10">
        <v>-0.94414755811135542</v>
      </c>
      <c r="N663" s="24" t="s">
        <v>343</v>
      </c>
      <c r="O663" s="24">
        <v>0</v>
      </c>
      <c r="P663">
        <v>11.86227874285508</v>
      </c>
      <c r="Q663" t="s">
        <v>348</v>
      </c>
      <c r="R663" t="s">
        <v>353</v>
      </c>
      <c r="S663" t="s">
        <v>343</v>
      </c>
      <c r="T663" t="s">
        <v>343</v>
      </c>
    </row>
    <row r="664" spans="2:20" x14ac:dyDescent="0.25">
      <c r="B664">
        <v>659</v>
      </c>
      <c r="C664" t="s">
        <v>1003</v>
      </c>
      <c r="D664" s="10">
        <v>0.19383168111944721</v>
      </c>
      <c r="E664" s="10">
        <v>0.44295039448461299</v>
      </c>
      <c r="F664" s="10">
        <v>0.64748403486315753</v>
      </c>
      <c r="G664" s="10">
        <v>0.30405917424476142</v>
      </c>
      <c r="H664" s="6">
        <v>0.15611201886234799</v>
      </c>
      <c r="I664" s="10">
        <v>9.7635685138870159</v>
      </c>
      <c r="J664" s="7">
        <v>3.0878421469781508E-2</v>
      </c>
      <c r="K664" s="5">
        <v>0.1229231940180061</v>
      </c>
      <c r="L664">
        <v>177.85887388511961</v>
      </c>
      <c r="M664" s="10">
        <v>-0.69873651049273033</v>
      </c>
      <c r="N664" s="24" t="s">
        <v>343</v>
      </c>
      <c r="O664" s="24">
        <v>9.0758093704361791</v>
      </c>
      <c r="P664">
        <v>61.149140276242662</v>
      </c>
      <c r="Q664" t="s">
        <v>47</v>
      </c>
      <c r="R664" t="s">
        <v>350</v>
      </c>
      <c r="S664" t="s">
        <v>343</v>
      </c>
      <c r="T664" t="s">
        <v>343</v>
      </c>
    </row>
    <row r="665" spans="2:20" x14ac:dyDescent="0.25">
      <c r="B665">
        <v>660</v>
      </c>
      <c r="C665" t="s">
        <v>1004</v>
      </c>
      <c r="D665" s="10">
        <v>0.21239957634846629</v>
      </c>
      <c r="E665" s="10">
        <v>0.4433565249161332</v>
      </c>
      <c r="F665" s="10">
        <v>0.53475956046430728</v>
      </c>
      <c r="G665" s="10">
        <v>0.36762022624771612</v>
      </c>
      <c r="H665" s="6">
        <v>0.19337437098627411</v>
      </c>
      <c r="I665" s="10">
        <v>9.7317112556022103</v>
      </c>
      <c r="J665" s="7">
        <v>3.5068124585774713E-2</v>
      </c>
      <c r="K665" s="5">
        <v>0.1350102233625029</v>
      </c>
      <c r="L665">
        <v>174.03052561533411</v>
      </c>
      <c r="M665" s="10">
        <v>-0.7052210987149049</v>
      </c>
      <c r="N665" s="24" t="s">
        <v>343</v>
      </c>
      <c r="O665" s="24">
        <v>8.6867340771057115</v>
      </c>
      <c r="P665">
        <v>65.658509057779852</v>
      </c>
      <c r="Q665" t="s">
        <v>47</v>
      </c>
      <c r="R665" t="s">
        <v>350</v>
      </c>
      <c r="S665" t="s">
        <v>343</v>
      </c>
      <c r="T665" t="s">
        <v>343</v>
      </c>
    </row>
    <row r="666" spans="2:20" x14ac:dyDescent="0.25">
      <c r="B666">
        <v>661</v>
      </c>
      <c r="C666" t="s">
        <v>1005</v>
      </c>
      <c r="D666" s="10">
        <v>0.17916194109108019</v>
      </c>
      <c r="E666" s="10">
        <v>1.0492948056775799</v>
      </c>
      <c r="F666" s="10">
        <v>0.48157331367642392</v>
      </c>
      <c r="G666" s="10">
        <v>0.42171333286380308</v>
      </c>
      <c r="H666" s="6">
        <v>0.13050834909383249</v>
      </c>
      <c r="I666" s="10">
        <v>3.0061500329321711</v>
      </c>
      <c r="J666" s="7">
        <v>3.9474495350734252E-2</v>
      </c>
      <c r="K666" s="5">
        <v>0.17527179619751659</v>
      </c>
      <c r="L666">
        <v>157.04914802074219</v>
      </c>
      <c r="M666" s="10">
        <v>-0.73398474125371749</v>
      </c>
      <c r="N666" s="24" t="s">
        <v>343</v>
      </c>
      <c r="O666" s="24">
        <v>6.9609155247769507</v>
      </c>
      <c r="P666">
        <v>61.890767100351027</v>
      </c>
      <c r="Q666" t="s">
        <v>47</v>
      </c>
      <c r="R666" t="s">
        <v>350</v>
      </c>
      <c r="S666" t="s">
        <v>343</v>
      </c>
      <c r="T666" t="s">
        <v>343</v>
      </c>
    </row>
    <row r="667" spans="2:20" x14ac:dyDescent="0.25">
      <c r="B667">
        <v>662</v>
      </c>
      <c r="C667" t="s">
        <v>1006</v>
      </c>
      <c r="D667" s="10">
        <v>0.30248436491838321</v>
      </c>
      <c r="E667" s="10">
        <v>0.70994370504542159</v>
      </c>
      <c r="F667" s="10">
        <v>0.5450702072020015</v>
      </c>
      <c r="G667" s="10">
        <v>0.31997639647570703</v>
      </c>
      <c r="H667" s="6">
        <v>0.26299632949008261</v>
      </c>
      <c r="I667" s="10">
        <v>7.719706953403171</v>
      </c>
      <c r="J667" s="7">
        <v>2.832587491941908E-2</v>
      </c>
      <c r="K667" s="5">
        <v>0.14761197935060949</v>
      </c>
      <c r="L667">
        <v>141.29880097073109</v>
      </c>
      <c r="M667" s="10">
        <v>-0.76066322183547197</v>
      </c>
      <c r="N667" s="24" t="s">
        <v>343</v>
      </c>
      <c r="O667" s="24">
        <v>5.3602066898716876</v>
      </c>
      <c r="P667">
        <v>60.064719475251387</v>
      </c>
      <c r="Q667" t="s">
        <v>47</v>
      </c>
      <c r="R667" t="s">
        <v>350</v>
      </c>
      <c r="S667" t="s">
        <v>343</v>
      </c>
      <c r="T667" t="s">
        <v>343</v>
      </c>
    </row>
    <row r="668" spans="2:20" x14ac:dyDescent="0.25">
      <c r="B668">
        <v>663</v>
      </c>
      <c r="C668" t="s">
        <v>1007</v>
      </c>
      <c r="D668" s="10">
        <v>0.2549747925686478</v>
      </c>
      <c r="E668" s="10">
        <v>1.106646127392497</v>
      </c>
      <c r="F668" s="10">
        <v>0.58438100489463496</v>
      </c>
      <c r="G668" s="10">
        <v>0.31653833892052519</v>
      </c>
      <c r="H668" s="6">
        <v>0.20591524915821841</v>
      </c>
      <c r="I668" s="10">
        <v>10.82953017661956</v>
      </c>
      <c r="J668" s="7">
        <v>3.9587806535755998E-2</v>
      </c>
      <c r="K668" s="5">
        <v>0.18071104618494629</v>
      </c>
      <c r="L668">
        <v>180.76269709394271</v>
      </c>
      <c r="M668" s="10">
        <v>-0.69381791467744747</v>
      </c>
      <c r="N668" s="24" t="s">
        <v>343</v>
      </c>
      <c r="O668" s="24">
        <v>9.3709251193531529</v>
      </c>
      <c r="P668">
        <v>56.898476847334088</v>
      </c>
      <c r="Q668" t="s">
        <v>47</v>
      </c>
      <c r="R668" t="s">
        <v>350</v>
      </c>
      <c r="S668" t="s">
        <v>343</v>
      </c>
      <c r="T668" t="s">
        <v>343</v>
      </c>
    </row>
    <row r="669" spans="2:20" x14ac:dyDescent="0.25">
      <c r="B669">
        <v>664</v>
      </c>
      <c r="C669" t="s">
        <v>1008</v>
      </c>
      <c r="D669" s="10">
        <v>0.26865637106311829</v>
      </c>
      <c r="E669" s="10">
        <v>0.74601862017567644</v>
      </c>
      <c r="F669" s="10">
        <v>0.44769188774588359</v>
      </c>
      <c r="G669" s="10">
        <v>0.342960154237891</v>
      </c>
      <c r="H669" s="6">
        <v>0.15678008188922479</v>
      </c>
      <c r="I669" s="10">
        <v>5.0547213182910893</v>
      </c>
      <c r="J669" s="7">
        <v>3.2356759973394288E-2</v>
      </c>
      <c r="K669" s="5">
        <v>0.15973032333761039</v>
      </c>
      <c r="L669">
        <v>134.89061245827881</v>
      </c>
      <c r="M669" s="10">
        <v>-0.7715176323605758</v>
      </c>
      <c r="N669" s="24" t="s">
        <v>343</v>
      </c>
      <c r="O669" s="24">
        <v>4.7089420583654586</v>
      </c>
      <c r="P669">
        <v>63.194906563065587</v>
      </c>
      <c r="Q669" t="s">
        <v>47</v>
      </c>
      <c r="R669" t="s">
        <v>350</v>
      </c>
      <c r="S669" t="s">
        <v>343</v>
      </c>
      <c r="T669" t="s">
        <v>343</v>
      </c>
    </row>
    <row r="670" spans="2:20" x14ac:dyDescent="0.25">
      <c r="B670">
        <v>665</v>
      </c>
      <c r="C670" t="s">
        <v>1009</v>
      </c>
      <c r="D670" s="10">
        <v>0.28626739817717423</v>
      </c>
      <c r="E670" s="10">
        <v>0.99036739346526992</v>
      </c>
      <c r="F670" s="10">
        <v>0.60318686837444502</v>
      </c>
      <c r="G670" s="10">
        <v>0.38180223199215618</v>
      </c>
      <c r="H670" s="6">
        <v>0.16385989704358139</v>
      </c>
      <c r="I670" s="10">
        <v>12.359942151941731</v>
      </c>
      <c r="J670" s="7">
        <v>3.3997765769722577E-2</v>
      </c>
      <c r="K670" s="5">
        <v>0.15974751258888409</v>
      </c>
      <c r="L670">
        <v>360.79729400471848</v>
      </c>
      <c r="M670" s="10">
        <v>-0.388869110535082</v>
      </c>
      <c r="N670" s="24" t="s">
        <v>343</v>
      </c>
      <c r="O670" s="24">
        <v>27.667853367895081</v>
      </c>
      <c r="P670">
        <v>54.863373000077353</v>
      </c>
      <c r="Q670" t="s">
        <v>47</v>
      </c>
      <c r="R670" t="s">
        <v>350</v>
      </c>
      <c r="S670" t="s">
        <v>343</v>
      </c>
      <c r="T670" t="s">
        <v>343</v>
      </c>
    </row>
    <row r="671" spans="2:20" x14ac:dyDescent="0.25">
      <c r="B671">
        <v>666</v>
      </c>
      <c r="C671" t="s">
        <v>1010</v>
      </c>
      <c r="D671" s="10">
        <v>0.23975075182864919</v>
      </c>
      <c r="E671" s="10">
        <v>1.1468438062467829</v>
      </c>
      <c r="F671" s="10">
        <v>0.54272619578384518</v>
      </c>
      <c r="G671" s="10">
        <v>0.40535557773510811</v>
      </c>
      <c r="H671" s="6">
        <v>0.26709845589447889</v>
      </c>
      <c r="I671" s="10">
        <v>10.263353835092641</v>
      </c>
      <c r="J671" s="7">
        <v>1.534990593088488E-2</v>
      </c>
      <c r="K671" s="5">
        <v>0.1032186026740434</v>
      </c>
      <c r="L671">
        <v>275.97505593580308</v>
      </c>
      <c r="M671" s="10">
        <v>-0.53254394030468488</v>
      </c>
      <c r="N671" s="24" t="s">
        <v>343</v>
      </c>
      <c r="O671" s="24">
        <v>19.047363581718908</v>
      </c>
      <c r="P671">
        <v>50.126191765230892</v>
      </c>
      <c r="Q671" t="s">
        <v>47</v>
      </c>
      <c r="R671" t="s">
        <v>350</v>
      </c>
      <c r="S671" t="s">
        <v>343</v>
      </c>
      <c r="T671" t="s">
        <v>343</v>
      </c>
    </row>
    <row r="672" spans="2:20" x14ac:dyDescent="0.25">
      <c r="B672">
        <v>667</v>
      </c>
      <c r="C672" t="s">
        <v>1011</v>
      </c>
      <c r="D672" s="10">
        <v>0.17390724609398781</v>
      </c>
      <c r="E672" s="10">
        <v>0.90303750172041264</v>
      </c>
      <c r="F672" s="10">
        <v>0.44252872753411049</v>
      </c>
      <c r="G672" s="10">
        <v>0.31189589105588422</v>
      </c>
      <c r="H672" s="6">
        <v>0.21234214377062971</v>
      </c>
      <c r="I672" s="10">
        <v>3.0761672677100771</v>
      </c>
      <c r="J672" s="7">
        <v>4.2865659023214639E-2</v>
      </c>
      <c r="K672" s="5">
        <v>0.17121868412798141</v>
      </c>
      <c r="L672">
        <v>136.86345533197371</v>
      </c>
      <c r="M672" s="10">
        <v>-0.76817596311801239</v>
      </c>
      <c r="N672" s="24" t="s">
        <v>343</v>
      </c>
      <c r="O672" s="24">
        <v>4.9094422129192594</v>
      </c>
      <c r="P672">
        <v>25.664331519783051</v>
      </c>
      <c r="Q672" t="s">
        <v>348</v>
      </c>
      <c r="R672" t="s">
        <v>353</v>
      </c>
      <c r="S672" t="s">
        <v>343</v>
      </c>
      <c r="T672" t="s">
        <v>343</v>
      </c>
    </row>
    <row r="673" spans="2:20" x14ac:dyDescent="0.25">
      <c r="B673">
        <v>668</v>
      </c>
      <c r="C673" t="s">
        <v>1012</v>
      </c>
      <c r="D673" s="10">
        <v>0.24593704669096769</v>
      </c>
      <c r="E673" s="10">
        <v>0.89345394949500667</v>
      </c>
      <c r="F673" s="10">
        <v>0.61521124372605906</v>
      </c>
      <c r="G673" s="10">
        <v>0.36899754292153059</v>
      </c>
      <c r="H673" s="6">
        <v>0.18310246861596061</v>
      </c>
      <c r="I673" s="10">
        <v>12.404055981224939</v>
      </c>
      <c r="J673" s="7">
        <v>3.7862952265222037E-2</v>
      </c>
      <c r="K673" s="5">
        <v>0.1928973201552972</v>
      </c>
      <c r="L673">
        <v>158.90000411268639</v>
      </c>
      <c r="M673" s="10">
        <v>-0.73084969742568207</v>
      </c>
      <c r="N673" s="24" t="s">
        <v>343</v>
      </c>
      <c r="O673" s="24">
        <v>7.1490181544590783</v>
      </c>
      <c r="P673">
        <v>51.95163618700073</v>
      </c>
      <c r="Q673" t="s">
        <v>47</v>
      </c>
      <c r="R673" t="s">
        <v>350</v>
      </c>
      <c r="S673" t="s">
        <v>343</v>
      </c>
      <c r="T673" t="s">
        <v>343</v>
      </c>
    </row>
    <row r="674" spans="2:20" x14ac:dyDescent="0.25">
      <c r="B674">
        <v>669</v>
      </c>
      <c r="C674" t="s">
        <v>1013</v>
      </c>
      <c r="D674" s="10">
        <v>0.25389457888334072</v>
      </c>
      <c r="E674" s="10">
        <v>0.39705775781419789</v>
      </c>
      <c r="F674" s="10">
        <v>0.62522078524628855</v>
      </c>
      <c r="G674" s="10">
        <v>0.32565938508179421</v>
      </c>
      <c r="H674" s="6">
        <v>0.1949768192678307</v>
      </c>
      <c r="I674" s="10">
        <v>3.213400324737627</v>
      </c>
      <c r="J674" s="7">
        <v>1.8896859865150231E-2</v>
      </c>
      <c r="K674" s="5">
        <v>0.14493771322407159</v>
      </c>
      <c r="L674">
        <v>59.487717243378697</v>
      </c>
      <c r="M674" s="10">
        <v>-0.8992376546185844</v>
      </c>
      <c r="N674" s="24" t="s">
        <v>343</v>
      </c>
      <c r="O674" s="24">
        <v>0</v>
      </c>
      <c r="P674">
        <v>59.403605101612058</v>
      </c>
      <c r="Q674" t="s">
        <v>47</v>
      </c>
      <c r="R674" t="s">
        <v>350</v>
      </c>
      <c r="S674" t="s">
        <v>343</v>
      </c>
      <c r="T674" t="s">
        <v>343</v>
      </c>
    </row>
    <row r="675" spans="2:20" x14ac:dyDescent="0.25">
      <c r="B675">
        <v>670</v>
      </c>
      <c r="C675" t="s">
        <v>1014</v>
      </c>
      <c r="D675" s="10">
        <v>0.2792703158694928</v>
      </c>
      <c r="E675" s="10">
        <v>0.75185991720037815</v>
      </c>
      <c r="F675" s="10">
        <v>0.60349834502525757</v>
      </c>
      <c r="G675" s="10">
        <v>0.39760796707994489</v>
      </c>
      <c r="H675" s="6">
        <v>0.13478251085660151</v>
      </c>
      <c r="I675" s="10">
        <v>12.76721684575841</v>
      </c>
      <c r="J675" s="7">
        <v>3.0299813323406859E-2</v>
      </c>
      <c r="K675" s="5">
        <v>0.1150651014211214</v>
      </c>
      <c r="L675">
        <v>420.71500612495959</v>
      </c>
      <c r="M675" s="10">
        <v>-0.28737842501384581</v>
      </c>
      <c r="N675" s="24" t="s">
        <v>343</v>
      </c>
      <c r="O675" s="24">
        <v>33.757294499169262</v>
      </c>
      <c r="P675">
        <v>58.949306094652322</v>
      </c>
      <c r="Q675" t="s">
        <v>47</v>
      </c>
      <c r="R675" t="s">
        <v>350</v>
      </c>
      <c r="S675" t="s">
        <v>343</v>
      </c>
      <c r="T675" t="s">
        <v>343</v>
      </c>
    </row>
    <row r="676" spans="2:20" x14ac:dyDescent="0.25">
      <c r="B676">
        <v>671</v>
      </c>
      <c r="C676" t="s">
        <v>1015</v>
      </c>
      <c r="D676" s="10">
        <v>0.22906552739674871</v>
      </c>
      <c r="E676" s="10">
        <v>0.90035486854743119</v>
      </c>
      <c r="F676" s="10">
        <v>0.52890185657558975</v>
      </c>
      <c r="G676" s="10">
        <v>0.2762284825137446</v>
      </c>
      <c r="H676" s="6">
        <v>0.13125341401093141</v>
      </c>
      <c r="I676" s="10">
        <v>6.670907433268539</v>
      </c>
      <c r="J676" s="7">
        <v>2.3176306670140642E-2</v>
      </c>
      <c r="K676" s="5">
        <v>0.19281287878115119</v>
      </c>
      <c r="L676">
        <v>169.6191492079511</v>
      </c>
      <c r="M676" s="10">
        <v>-0.71269324008737667</v>
      </c>
      <c r="N676" s="24" t="s">
        <v>343</v>
      </c>
      <c r="O676" s="24">
        <v>8.2384055947573955</v>
      </c>
      <c r="P676">
        <v>62.116206195426827</v>
      </c>
      <c r="Q676" t="s">
        <v>47</v>
      </c>
      <c r="R676" t="s">
        <v>350</v>
      </c>
      <c r="S676" t="s">
        <v>343</v>
      </c>
      <c r="T676" t="s">
        <v>343</v>
      </c>
    </row>
    <row r="677" spans="2:20" x14ac:dyDescent="0.25">
      <c r="B677">
        <v>672</v>
      </c>
      <c r="C677" t="s">
        <v>1016</v>
      </c>
      <c r="D677" s="10">
        <v>0.18041284844729019</v>
      </c>
      <c r="E677" s="10">
        <v>0.80817890823305083</v>
      </c>
      <c r="F677" s="10">
        <v>0.57769726205714989</v>
      </c>
      <c r="G677" s="10">
        <v>0.29652347031128512</v>
      </c>
      <c r="H677" s="6">
        <v>0.20890616149505781</v>
      </c>
      <c r="I677" s="10">
        <v>10.68515280744176</v>
      </c>
      <c r="J677" s="7">
        <v>3.3114069958346898E-2</v>
      </c>
      <c r="K677" s="5">
        <v>0.1275619581076973</v>
      </c>
      <c r="L677">
        <v>231.92963622855839</v>
      </c>
      <c r="M677" s="10">
        <v>-0.60714958998617063</v>
      </c>
      <c r="N677" s="24" t="s">
        <v>343</v>
      </c>
      <c r="O677" s="24">
        <v>14.571024600829761</v>
      </c>
      <c r="P677">
        <v>56.96006415351065</v>
      </c>
      <c r="Q677" t="s">
        <v>47</v>
      </c>
      <c r="R677" t="s">
        <v>350</v>
      </c>
      <c r="S677" t="s">
        <v>343</v>
      </c>
      <c r="T677" t="s">
        <v>343</v>
      </c>
    </row>
    <row r="678" spans="2:20" x14ac:dyDescent="0.25">
      <c r="B678">
        <v>673</v>
      </c>
      <c r="C678" t="s">
        <v>1017</v>
      </c>
      <c r="D678" s="10">
        <v>0.20540414492779591</v>
      </c>
      <c r="E678" s="10">
        <v>1.290860200207268</v>
      </c>
      <c r="F678" s="10">
        <v>0.54066100359469316</v>
      </c>
      <c r="G678" s="10">
        <v>0.33373329236540489</v>
      </c>
      <c r="H678" s="6">
        <v>0.1968006054660475</v>
      </c>
      <c r="I678" s="10">
        <v>11.66174065582914</v>
      </c>
      <c r="J678" s="7">
        <v>4.4781139512086447E-2</v>
      </c>
      <c r="K678" s="5">
        <v>0.1388738057950312</v>
      </c>
      <c r="L678">
        <v>238.7910141544908</v>
      </c>
      <c r="M678" s="10">
        <v>-0.59552755161585202</v>
      </c>
      <c r="N678" s="24" t="s">
        <v>343</v>
      </c>
      <c r="O678" s="24">
        <v>15.268346903048879</v>
      </c>
      <c r="P678">
        <v>47.642734425487468</v>
      </c>
      <c r="Q678" t="s">
        <v>346</v>
      </c>
      <c r="R678" t="s">
        <v>347</v>
      </c>
      <c r="S678" t="s">
        <v>343</v>
      </c>
      <c r="T678" t="s">
        <v>343</v>
      </c>
    </row>
    <row r="679" spans="2:20" x14ac:dyDescent="0.25">
      <c r="B679">
        <v>674</v>
      </c>
      <c r="C679" t="s">
        <v>1018</v>
      </c>
      <c r="D679" s="10">
        <v>0.2180931674237816</v>
      </c>
      <c r="E679" s="10">
        <v>1.297183695331438</v>
      </c>
      <c r="F679" s="10">
        <v>0.62216164984152056</v>
      </c>
      <c r="G679" s="10">
        <v>0.43567125378270088</v>
      </c>
      <c r="H679" s="6">
        <v>0.17387297869551621</v>
      </c>
      <c r="I679" s="10">
        <v>6.0939570195300119</v>
      </c>
      <c r="J679" s="7">
        <v>1.160112390002758E-2</v>
      </c>
      <c r="K679" s="5">
        <v>0.1073498093396455</v>
      </c>
      <c r="L679">
        <v>262.49638822363289</v>
      </c>
      <c r="M679" s="10">
        <v>-0.55537457214316233</v>
      </c>
      <c r="N679" s="24" t="s">
        <v>343</v>
      </c>
      <c r="O679" s="24">
        <v>17.677525671410262</v>
      </c>
      <c r="P679">
        <v>49.580059863406547</v>
      </c>
      <c r="Q679" t="s">
        <v>346</v>
      </c>
      <c r="R679" t="s">
        <v>347</v>
      </c>
      <c r="S679" t="s">
        <v>343</v>
      </c>
      <c r="T679" t="s">
        <v>343</v>
      </c>
    </row>
    <row r="680" spans="2:20" x14ac:dyDescent="0.25">
      <c r="B680">
        <v>675</v>
      </c>
      <c r="C680" t="s">
        <v>1019</v>
      </c>
      <c r="D680" s="10">
        <v>0.26334675861305618</v>
      </c>
      <c r="E680" s="10">
        <v>1.204109118647638</v>
      </c>
      <c r="F680" s="10">
        <v>0.59173084842075907</v>
      </c>
      <c r="G680" s="10">
        <v>0.36613167365715182</v>
      </c>
      <c r="H680" s="6">
        <v>0.2049170928767047</v>
      </c>
      <c r="I680" s="10">
        <v>6.9208051674767397</v>
      </c>
      <c r="J680" s="7">
        <v>4.3338327328726861E-2</v>
      </c>
      <c r="K680" s="5">
        <v>0.1105295022407798</v>
      </c>
      <c r="L680">
        <v>402.27807149404759</v>
      </c>
      <c r="M680" s="10">
        <v>-0.31860754021848608</v>
      </c>
      <c r="N680" s="24" t="s">
        <v>343</v>
      </c>
      <c r="O680" s="24">
        <v>31.883547586890831</v>
      </c>
      <c r="P680">
        <v>58.350698055817972</v>
      </c>
      <c r="Q680" t="s">
        <v>47</v>
      </c>
      <c r="R680" t="s">
        <v>350</v>
      </c>
      <c r="S680" t="s">
        <v>343</v>
      </c>
      <c r="T680" t="s">
        <v>343</v>
      </c>
    </row>
    <row r="681" spans="2:20" x14ac:dyDescent="0.25">
      <c r="B681">
        <v>676</v>
      </c>
      <c r="C681" t="s">
        <v>1020</v>
      </c>
      <c r="D681" s="10">
        <v>0.25132452874702588</v>
      </c>
      <c r="E681" s="10">
        <v>0.71282788291043198</v>
      </c>
      <c r="F681" s="10">
        <v>0.46126776959513688</v>
      </c>
      <c r="G681" s="10">
        <v>0.45238714617591058</v>
      </c>
      <c r="H681" s="6">
        <v>0.1309013924155758</v>
      </c>
      <c r="I681" s="10">
        <v>8.604959176545659</v>
      </c>
      <c r="J681" s="7">
        <v>1.2533696625027759E-2</v>
      </c>
      <c r="K681" s="5">
        <v>0.1205737387031436</v>
      </c>
      <c r="L681">
        <v>183.85272953032401</v>
      </c>
      <c r="M681" s="10">
        <v>-0.68858391125585738</v>
      </c>
      <c r="N681" s="24" t="s">
        <v>343</v>
      </c>
      <c r="O681" s="24">
        <v>9.6849653246485587</v>
      </c>
      <c r="P681">
        <v>51.526178559578533</v>
      </c>
      <c r="Q681" t="s">
        <v>47</v>
      </c>
      <c r="R681" t="s">
        <v>350</v>
      </c>
      <c r="S681" t="s">
        <v>343</v>
      </c>
      <c r="T681" t="s">
        <v>343</v>
      </c>
    </row>
    <row r="682" spans="2:20" x14ac:dyDescent="0.25">
      <c r="B682">
        <v>677</v>
      </c>
      <c r="C682" t="s">
        <v>1021</v>
      </c>
      <c r="D682" s="10">
        <v>0.21697547614365539</v>
      </c>
      <c r="E682" s="10">
        <v>1.0890290668562881</v>
      </c>
      <c r="F682" s="10">
        <v>0.60720432513693923</v>
      </c>
      <c r="G682" s="10">
        <v>0.26272109076183842</v>
      </c>
      <c r="H682" s="6">
        <v>0.26159867571473189</v>
      </c>
      <c r="I682" s="10">
        <v>9.409606849776992</v>
      </c>
      <c r="J682" s="7">
        <v>2.6126762254427231E-2</v>
      </c>
      <c r="K682" s="5">
        <v>0.15210427618356909</v>
      </c>
      <c r="L682">
        <v>163.04266321560499</v>
      </c>
      <c r="M682" s="10">
        <v>-0.72383271868336507</v>
      </c>
      <c r="N682" s="24" t="s">
        <v>343</v>
      </c>
      <c r="O682" s="24">
        <v>7.5700368789980921</v>
      </c>
      <c r="P682">
        <v>61.64742351452216</v>
      </c>
      <c r="Q682" t="s">
        <v>47</v>
      </c>
      <c r="R682" t="s">
        <v>350</v>
      </c>
      <c r="S682" t="s">
        <v>343</v>
      </c>
      <c r="T682" t="s">
        <v>343</v>
      </c>
    </row>
    <row r="683" spans="2:20" x14ac:dyDescent="0.25">
      <c r="B683">
        <v>678</v>
      </c>
      <c r="C683" t="s">
        <v>1022</v>
      </c>
      <c r="D683" s="10">
        <v>0.31784243980687682</v>
      </c>
      <c r="E683" s="10">
        <v>0.73481730717657068</v>
      </c>
      <c r="F683" s="10">
        <v>0.61868198772782834</v>
      </c>
      <c r="G683" s="10">
        <v>0.34123859100320558</v>
      </c>
      <c r="H683" s="6">
        <v>0.1640567531676333</v>
      </c>
      <c r="I683" s="10">
        <v>6.2124609668488953</v>
      </c>
      <c r="J683" s="7">
        <v>2.6873822020770259E-2</v>
      </c>
      <c r="K683" s="5">
        <v>0.15298997417711879</v>
      </c>
      <c r="L683">
        <v>128.3484576572817</v>
      </c>
      <c r="M683" s="10">
        <v>-0.78259895960162285</v>
      </c>
      <c r="N683" s="24" t="s">
        <v>343</v>
      </c>
      <c r="O683" s="24">
        <v>4.0440624239026306</v>
      </c>
      <c r="P683">
        <v>58.801869153053737</v>
      </c>
      <c r="Q683" t="s">
        <v>47</v>
      </c>
      <c r="R683" t="s">
        <v>350</v>
      </c>
      <c r="S683" t="s">
        <v>343</v>
      </c>
      <c r="T683" t="s">
        <v>343</v>
      </c>
    </row>
    <row r="684" spans="2:20" x14ac:dyDescent="0.25">
      <c r="B684">
        <v>679</v>
      </c>
      <c r="C684" t="s">
        <v>1023</v>
      </c>
      <c r="D684" s="10">
        <v>0.25692397109710202</v>
      </c>
      <c r="E684" s="10">
        <v>0.55585295887333497</v>
      </c>
      <c r="F684" s="10">
        <v>0.53638256695982178</v>
      </c>
      <c r="G684" s="10">
        <v>0.33219727660998449</v>
      </c>
      <c r="H684" s="6">
        <v>0.13076681860079981</v>
      </c>
      <c r="I684" s="10">
        <v>13.91634905729792</v>
      </c>
      <c r="J684" s="7">
        <v>1.9405355910993301E-2</v>
      </c>
      <c r="K684" s="5">
        <v>0.1575931631700738</v>
      </c>
      <c r="L684">
        <v>160.1189726012154</v>
      </c>
      <c r="M684" s="10">
        <v>-0.7287849665948164</v>
      </c>
      <c r="N684" s="24" t="s">
        <v>343</v>
      </c>
      <c r="O684" s="24">
        <v>7.2729020043110211</v>
      </c>
      <c r="P684">
        <v>56.511372945397817</v>
      </c>
      <c r="Q684" t="s">
        <v>47</v>
      </c>
      <c r="R684" t="s">
        <v>350</v>
      </c>
      <c r="S684" t="s">
        <v>343</v>
      </c>
      <c r="T684" t="s">
        <v>343</v>
      </c>
    </row>
    <row r="685" spans="2:20" x14ac:dyDescent="0.25">
      <c r="B685">
        <v>680</v>
      </c>
      <c r="C685" t="s">
        <v>1024</v>
      </c>
      <c r="D685" s="10">
        <v>0.19795628667775911</v>
      </c>
      <c r="E685" s="10">
        <v>0.67719290790596975</v>
      </c>
      <c r="F685" s="10">
        <v>0.66770430304952311</v>
      </c>
      <c r="G685" s="10">
        <v>0.37204535880931311</v>
      </c>
      <c r="H685" s="6">
        <v>0.14542564088611559</v>
      </c>
      <c r="I685" s="10">
        <v>11.10705140544499</v>
      </c>
      <c r="J685" s="7">
        <v>2.983447501208902E-2</v>
      </c>
      <c r="K685" s="5">
        <v>0.15546261091572169</v>
      </c>
      <c r="L685">
        <v>211.12448164822521</v>
      </c>
      <c r="M685" s="10">
        <v>-0.64239007774871992</v>
      </c>
      <c r="N685" s="24" t="s">
        <v>343</v>
      </c>
      <c r="O685" s="24">
        <v>12.456595335076811</v>
      </c>
      <c r="P685">
        <v>64.03258149558016</v>
      </c>
      <c r="Q685" t="s">
        <v>47</v>
      </c>
      <c r="R685" t="s">
        <v>350</v>
      </c>
      <c r="S685" t="s">
        <v>343</v>
      </c>
      <c r="T685" t="s">
        <v>343</v>
      </c>
    </row>
    <row r="686" spans="2:20" x14ac:dyDescent="0.25">
      <c r="B686">
        <v>681</v>
      </c>
      <c r="C686" t="s">
        <v>1025</v>
      </c>
      <c r="D686" s="10">
        <v>0.17628519561926459</v>
      </c>
      <c r="E686" s="10">
        <v>0.37806109661408899</v>
      </c>
      <c r="F686" s="10">
        <v>0.65918373225969029</v>
      </c>
      <c r="G686" s="10">
        <v>0.41863221391566718</v>
      </c>
      <c r="H686" s="6">
        <v>0.13432108717237751</v>
      </c>
      <c r="I686" s="10">
        <v>6.0156721080203166</v>
      </c>
      <c r="J686" s="7">
        <v>3.9188745121851942E-2</v>
      </c>
      <c r="K686" s="5">
        <v>0.14704751339292441</v>
      </c>
      <c r="L686">
        <v>120.3788586210956</v>
      </c>
      <c r="M686" s="10">
        <v>-0.7960981410771899</v>
      </c>
      <c r="N686" s="24" t="s">
        <v>343</v>
      </c>
      <c r="O686" s="24">
        <v>3.234111535368605</v>
      </c>
      <c r="P686">
        <v>62.781369774156452</v>
      </c>
      <c r="Q686" t="s">
        <v>47</v>
      </c>
      <c r="R686" t="s">
        <v>350</v>
      </c>
      <c r="S686" t="s">
        <v>343</v>
      </c>
      <c r="T686" t="s">
        <v>343</v>
      </c>
    </row>
    <row r="687" spans="2:20" x14ac:dyDescent="0.25">
      <c r="B687">
        <v>682</v>
      </c>
      <c r="C687" t="s">
        <v>1026</v>
      </c>
      <c r="D687" s="10">
        <v>0.18445746226949311</v>
      </c>
      <c r="E687" s="10">
        <v>0.66495525990511184</v>
      </c>
      <c r="F687" s="10">
        <v>0.48554329621393177</v>
      </c>
      <c r="G687" s="10">
        <v>0.42511856562827333</v>
      </c>
      <c r="H687" s="6">
        <v>0.14679067565395221</v>
      </c>
      <c r="I687" s="10">
        <v>10.04475410394449</v>
      </c>
      <c r="J687" s="7">
        <v>2.0288676342394559E-2</v>
      </c>
      <c r="K687" s="5">
        <v>0.17619937218720039</v>
      </c>
      <c r="L687">
        <v>204.37457351871069</v>
      </c>
      <c r="M687" s="10">
        <v>-0.65382330473667716</v>
      </c>
      <c r="N687" s="24" t="s">
        <v>343</v>
      </c>
      <c r="O687" s="24">
        <v>11.770601715799369</v>
      </c>
      <c r="P687">
        <v>28.77587580379663</v>
      </c>
      <c r="Q687" t="s">
        <v>348</v>
      </c>
      <c r="R687" t="s">
        <v>371</v>
      </c>
      <c r="S687" t="s">
        <v>343</v>
      </c>
      <c r="T687" t="s">
        <v>343</v>
      </c>
    </row>
    <row r="688" spans="2:20" x14ac:dyDescent="0.25">
      <c r="B688">
        <v>683</v>
      </c>
      <c r="C688" t="s">
        <v>1027</v>
      </c>
      <c r="D688" s="10">
        <v>0.19935323654152129</v>
      </c>
      <c r="E688" s="10">
        <v>0.80681643898728872</v>
      </c>
      <c r="F688" s="10">
        <v>0.67510924020632579</v>
      </c>
      <c r="G688" s="10">
        <v>0.38744281391521179</v>
      </c>
      <c r="H688" s="6">
        <v>0.1825131082239918</v>
      </c>
      <c r="I688" s="10">
        <v>7.7890832125687632</v>
      </c>
      <c r="J688" s="7">
        <v>1.2464172817824821E-2</v>
      </c>
      <c r="K688" s="5">
        <v>0.18872047125051791</v>
      </c>
      <c r="L688">
        <v>115.90111143335299</v>
      </c>
      <c r="M688" s="10">
        <v>-0.80368270356453597</v>
      </c>
      <c r="N688" s="24" t="s">
        <v>343</v>
      </c>
      <c r="O688" s="24">
        <v>2.7790377861278368</v>
      </c>
      <c r="P688">
        <v>56.263918245779607</v>
      </c>
      <c r="Q688" t="s">
        <v>47</v>
      </c>
      <c r="R688" t="s">
        <v>350</v>
      </c>
      <c r="S688" t="s">
        <v>343</v>
      </c>
      <c r="T688" t="s">
        <v>343</v>
      </c>
    </row>
    <row r="689" spans="2:20" x14ac:dyDescent="0.25">
      <c r="B689">
        <v>684</v>
      </c>
      <c r="C689" t="s">
        <v>1028</v>
      </c>
      <c r="D689" s="10">
        <v>0.1857090197215289</v>
      </c>
      <c r="E689" s="10">
        <v>1.3510289842589129</v>
      </c>
      <c r="F689" s="10">
        <v>0.55462681658872015</v>
      </c>
      <c r="G689" s="10">
        <v>0.38113800013402183</v>
      </c>
      <c r="H689" s="6">
        <v>0.2307076340903281</v>
      </c>
      <c r="I689" s="10">
        <v>12.46361780699571</v>
      </c>
      <c r="J689" s="7">
        <v>3.212992952244418E-2</v>
      </c>
      <c r="K689" s="5">
        <v>0.12562732666152679</v>
      </c>
      <c r="L689">
        <v>316.95803524869763</v>
      </c>
      <c r="M689" s="10">
        <v>-0.46312555769319003</v>
      </c>
      <c r="N689" s="24" t="s">
        <v>343</v>
      </c>
      <c r="O689" s="24">
        <v>23.212466538408599</v>
      </c>
      <c r="P689">
        <v>48.771906291900898</v>
      </c>
      <c r="Q689" t="s">
        <v>346</v>
      </c>
      <c r="R689" t="s">
        <v>347</v>
      </c>
      <c r="S689" t="s">
        <v>343</v>
      </c>
      <c r="T689" t="s">
        <v>343</v>
      </c>
    </row>
    <row r="690" spans="2:20" x14ac:dyDescent="0.25">
      <c r="B690">
        <v>685</v>
      </c>
      <c r="C690" t="s">
        <v>1029</v>
      </c>
      <c r="D690" s="10">
        <v>0.18985072384820889</v>
      </c>
      <c r="E690" s="10">
        <v>0.64475164484158731</v>
      </c>
      <c r="F690" s="10">
        <v>0.62817490968491629</v>
      </c>
      <c r="G690" s="10">
        <v>0.4487864992498577</v>
      </c>
      <c r="H690" s="6">
        <v>0.16085225211825599</v>
      </c>
      <c r="I690" s="10">
        <v>6.6184507785450206</v>
      </c>
      <c r="J690" s="7">
        <v>3.6311079520188812E-2</v>
      </c>
      <c r="K690" s="5">
        <v>0.1123683998191113</v>
      </c>
      <c r="L690">
        <v>179.42380416410711</v>
      </c>
      <c r="M690" s="10">
        <v>-0.69608577765952973</v>
      </c>
      <c r="N690" s="24" t="s">
        <v>343</v>
      </c>
      <c r="O690" s="24">
        <v>9.2348533404282165</v>
      </c>
      <c r="P690">
        <v>59.613320299218728</v>
      </c>
      <c r="Q690" t="s">
        <v>47</v>
      </c>
      <c r="R690" t="s">
        <v>350</v>
      </c>
      <c r="S690" t="s">
        <v>343</v>
      </c>
      <c r="T690" t="s">
        <v>343</v>
      </c>
    </row>
    <row r="691" spans="2:20" x14ac:dyDescent="0.25">
      <c r="B691">
        <v>686</v>
      </c>
      <c r="C691" t="s">
        <v>1030</v>
      </c>
      <c r="D691" s="10">
        <v>0.2056152269910155</v>
      </c>
      <c r="E691" s="10">
        <v>1.292698893126073</v>
      </c>
      <c r="F691" s="10">
        <v>0.65166522181148134</v>
      </c>
      <c r="G691" s="10">
        <v>0.32441122836045339</v>
      </c>
      <c r="H691" s="6">
        <v>0.18538899329124661</v>
      </c>
      <c r="I691" s="10">
        <v>5.0663938696856814</v>
      </c>
      <c r="J691" s="7">
        <v>4.3408305342862448E-2</v>
      </c>
      <c r="K691" s="5">
        <v>0.14038329292106599</v>
      </c>
      <c r="L691">
        <v>154.56923975801169</v>
      </c>
      <c r="M691" s="10">
        <v>-0.73818529532542865</v>
      </c>
      <c r="N691" s="24" t="s">
        <v>343</v>
      </c>
      <c r="O691" s="24">
        <v>6.7088822804742776</v>
      </c>
      <c r="P691">
        <v>54.694358953234392</v>
      </c>
      <c r="Q691" t="s">
        <v>47</v>
      </c>
      <c r="R691" t="s">
        <v>350</v>
      </c>
      <c r="S691" t="s">
        <v>343</v>
      </c>
      <c r="T691" t="s">
        <v>343</v>
      </c>
    </row>
    <row r="692" spans="2:20" x14ac:dyDescent="0.25">
      <c r="B692">
        <v>687</v>
      </c>
      <c r="C692" t="s">
        <v>1031</v>
      </c>
      <c r="D692" s="10">
        <v>0.18773977524716079</v>
      </c>
      <c r="E692" s="10">
        <v>0.55174410340584679</v>
      </c>
      <c r="F692" s="10">
        <v>0.57132922947811937</v>
      </c>
      <c r="G692" s="10">
        <v>0.42321232912146739</v>
      </c>
      <c r="H692" s="6">
        <v>0.25931359318323538</v>
      </c>
      <c r="I692" s="10">
        <v>3.5074988466354058</v>
      </c>
      <c r="J692" s="7">
        <v>1.55833626395184E-2</v>
      </c>
      <c r="K692" s="5">
        <v>0.1025101256339277</v>
      </c>
      <c r="L692">
        <v>126.81017020627471</v>
      </c>
      <c r="M692" s="10">
        <v>-0.78520456389469262</v>
      </c>
      <c r="N692" s="24" t="s">
        <v>343</v>
      </c>
      <c r="O692" s="24">
        <v>3.8877261663184441</v>
      </c>
      <c r="P692">
        <v>58.452968434193622</v>
      </c>
      <c r="Q692" t="s">
        <v>47</v>
      </c>
      <c r="R692" t="s">
        <v>350</v>
      </c>
      <c r="S692" t="s">
        <v>343</v>
      </c>
      <c r="T692" t="s">
        <v>343</v>
      </c>
    </row>
    <row r="693" spans="2:20" x14ac:dyDescent="0.25">
      <c r="B693">
        <v>688</v>
      </c>
      <c r="C693" t="s">
        <v>1032</v>
      </c>
      <c r="D693" s="10">
        <v>0.30348246794022798</v>
      </c>
      <c r="E693" s="10">
        <v>0.51006578753517429</v>
      </c>
      <c r="F693" s="10">
        <v>0.54376650423641204</v>
      </c>
      <c r="G693" s="10">
        <v>0.44273081996030472</v>
      </c>
      <c r="H693" s="6">
        <v>0.16437326089889631</v>
      </c>
      <c r="I693" s="10">
        <v>13.82740155054559</v>
      </c>
      <c r="J693" s="7">
        <v>4.1547595303168178E-2</v>
      </c>
      <c r="K693" s="5">
        <v>0.18391529300260931</v>
      </c>
      <c r="L693">
        <v>247.14829044726241</v>
      </c>
      <c r="M693" s="10">
        <v>-0.58137170904393176</v>
      </c>
      <c r="N693" s="24" t="s">
        <v>343</v>
      </c>
      <c r="O693" s="24">
        <v>16.117697457364091</v>
      </c>
      <c r="P693">
        <v>51.486092154136891</v>
      </c>
      <c r="Q693" t="s">
        <v>47</v>
      </c>
      <c r="R693" t="s">
        <v>350</v>
      </c>
      <c r="S693" t="s">
        <v>343</v>
      </c>
      <c r="T693" t="s">
        <v>343</v>
      </c>
    </row>
    <row r="694" spans="2:20" x14ac:dyDescent="0.25">
      <c r="B694">
        <v>689</v>
      </c>
      <c r="C694" t="s">
        <v>1033</v>
      </c>
      <c r="D694" s="10">
        <v>0.17283739930586281</v>
      </c>
      <c r="E694" s="10">
        <v>0.8708950020753814</v>
      </c>
      <c r="F694" s="10">
        <v>0.67801735583992551</v>
      </c>
      <c r="G694" s="10">
        <v>0.34813863373834331</v>
      </c>
      <c r="H694" s="6">
        <v>0.23920796298970651</v>
      </c>
      <c r="I694" s="10">
        <v>6.9514384097517974</v>
      </c>
      <c r="J694" s="7">
        <v>2.687432170161894E-2</v>
      </c>
      <c r="K694" s="5">
        <v>0.1227720947234008</v>
      </c>
      <c r="L694">
        <v>282.56547667385303</v>
      </c>
      <c r="M694" s="10">
        <v>-0.52138085855623972</v>
      </c>
      <c r="N694" s="24" t="s">
        <v>343</v>
      </c>
      <c r="O694" s="24">
        <v>19.717148486625621</v>
      </c>
      <c r="P694">
        <v>54.864179876583478</v>
      </c>
      <c r="Q694" t="s">
        <v>47</v>
      </c>
      <c r="R694" t="s">
        <v>350</v>
      </c>
      <c r="S694" t="s">
        <v>343</v>
      </c>
      <c r="T694" t="s">
        <v>343</v>
      </c>
    </row>
    <row r="695" spans="2:20" x14ac:dyDescent="0.25">
      <c r="B695">
        <v>690</v>
      </c>
      <c r="C695" t="s">
        <v>1034</v>
      </c>
      <c r="D695" s="10">
        <v>0.2439218223312408</v>
      </c>
      <c r="E695" s="10">
        <v>1.0397625062271461</v>
      </c>
      <c r="F695" s="10">
        <v>0.50002192376320997</v>
      </c>
      <c r="G695" s="10">
        <v>0.40040256729272611</v>
      </c>
      <c r="H695" s="6">
        <v>0.14367253087235499</v>
      </c>
      <c r="I695" s="10">
        <v>5.4257031524247843</v>
      </c>
      <c r="J695" s="7">
        <v>1.825153829584145E-2</v>
      </c>
      <c r="K695" s="5">
        <v>0.15218317982608801</v>
      </c>
      <c r="L695">
        <v>206.02128191164789</v>
      </c>
      <c r="M695" s="10">
        <v>-0.65103405331603903</v>
      </c>
      <c r="N695" s="24" t="s">
        <v>343</v>
      </c>
      <c r="O695" s="24">
        <v>11.937956801037661</v>
      </c>
      <c r="P695">
        <v>61.655711536696977</v>
      </c>
      <c r="Q695" t="s">
        <v>47</v>
      </c>
      <c r="R695" t="s">
        <v>350</v>
      </c>
      <c r="S695" t="s">
        <v>343</v>
      </c>
      <c r="T695" t="s">
        <v>343</v>
      </c>
    </row>
    <row r="696" spans="2:20" x14ac:dyDescent="0.25">
      <c r="B696">
        <v>691</v>
      </c>
      <c r="C696" t="s">
        <v>1035</v>
      </c>
      <c r="D696" s="10">
        <v>0.22566349231834579</v>
      </c>
      <c r="E696" s="10">
        <v>0.34876547588250961</v>
      </c>
      <c r="F696" s="10">
        <v>0.50681222020697758</v>
      </c>
      <c r="G696" s="10">
        <v>0.32294436846759927</v>
      </c>
      <c r="H696" s="6">
        <v>0.14674826193858709</v>
      </c>
      <c r="I696" s="10">
        <v>8.4094532077024287</v>
      </c>
      <c r="J696" s="7">
        <v>4.3696196456869431E-2</v>
      </c>
      <c r="K696" s="5">
        <v>0.1109340240401652</v>
      </c>
      <c r="L696">
        <v>163.8887701844769</v>
      </c>
      <c r="M696" s="10">
        <v>-0.72239955354310093</v>
      </c>
      <c r="N696" s="24" t="s">
        <v>343</v>
      </c>
      <c r="O696" s="24">
        <v>7.6560267874139427</v>
      </c>
      <c r="P696">
        <v>52.888487044488578</v>
      </c>
      <c r="Q696" t="s">
        <v>47</v>
      </c>
      <c r="R696" t="s">
        <v>350</v>
      </c>
      <c r="S696" t="s">
        <v>343</v>
      </c>
      <c r="T696" t="s">
        <v>343</v>
      </c>
    </row>
    <row r="697" spans="2:20" x14ac:dyDescent="0.25">
      <c r="B697">
        <v>692</v>
      </c>
      <c r="C697" t="s">
        <v>1036</v>
      </c>
      <c r="D697" s="10">
        <v>0.31718057870537703</v>
      </c>
      <c r="E697" s="10">
        <v>0.54317245155193827</v>
      </c>
      <c r="F697" s="10">
        <v>0.53402128164349361</v>
      </c>
      <c r="G697" s="10">
        <v>0.27495338312298889</v>
      </c>
      <c r="H697" s="6">
        <v>0.18842293102143989</v>
      </c>
      <c r="I697" s="10">
        <v>6.2080325424937044</v>
      </c>
      <c r="J697" s="7">
        <v>1.8345024468771301E-2</v>
      </c>
      <c r="K697" s="5">
        <v>0.15255944722811199</v>
      </c>
      <c r="L697">
        <v>92.11441759590916</v>
      </c>
      <c r="M697" s="10">
        <v>-0.84397342526301022</v>
      </c>
      <c r="N697" s="24" t="s">
        <v>343</v>
      </c>
      <c r="O697" s="24">
        <v>0.36159448421938117</v>
      </c>
      <c r="P697">
        <v>58.458614131232757</v>
      </c>
      <c r="Q697" t="s">
        <v>47</v>
      </c>
      <c r="R697" t="s">
        <v>350</v>
      </c>
      <c r="S697" t="s">
        <v>343</v>
      </c>
      <c r="T697" t="s">
        <v>343</v>
      </c>
    </row>
    <row r="698" spans="2:20" x14ac:dyDescent="0.25">
      <c r="B698">
        <v>693</v>
      </c>
      <c r="C698" t="s">
        <v>1037</v>
      </c>
      <c r="D698" s="10">
        <v>0.1779262243468884</v>
      </c>
      <c r="E698" s="10">
        <v>0.80125203315144788</v>
      </c>
      <c r="F698" s="10">
        <v>0.663461102272347</v>
      </c>
      <c r="G698" s="10">
        <v>0.36903085392393348</v>
      </c>
      <c r="H698" s="6">
        <v>0.15511533756995791</v>
      </c>
      <c r="I698" s="10">
        <v>5.5619003775577713</v>
      </c>
      <c r="J698" s="7">
        <v>3.5670546500757613E-2</v>
      </c>
      <c r="K698" s="5">
        <v>0.1037043780256771</v>
      </c>
      <c r="L698">
        <v>149.77715009332911</v>
      </c>
      <c r="M698" s="10">
        <v>-0.74630230193228742</v>
      </c>
      <c r="N698" s="24" t="s">
        <v>343</v>
      </c>
      <c r="O698" s="24">
        <v>6.2218618840627542</v>
      </c>
      <c r="P698">
        <v>58.448620060299461</v>
      </c>
      <c r="Q698" t="s">
        <v>47</v>
      </c>
      <c r="R698" t="s">
        <v>350</v>
      </c>
      <c r="S698" t="s">
        <v>343</v>
      </c>
      <c r="T698" t="s">
        <v>343</v>
      </c>
    </row>
    <row r="699" spans="2:20" x14ac:dyDescent="0.25">
      <c r="B699">
        <v>694</v>
      </c>
      <c r="C699" t="s">
        <v>1038</v>
      </c>
      <c r="D699" s="10">
        <v>0.22365689584731871</v>
      </c>
      <c r="E699" s="10">
        <v>0.66410476958149955</v>
      </c>
      <c r="F699" s="10">
        <v>0.68408494869539971</v>
      </c>
      <c r="G699" s="10">
        <v>0.28322376318689702</v>
      </c>
      <c r="H699" s="6">
        <v>0.25545421106913901</v>
      </c>
      <c r="I699" s="10">
        <v>9.7802295021914922</v>
      </c>
      <c r="J699" s="7">
        <v>3.7471037244144523E-2</v>
      </c>
      <c r="K699" s="5">
        <v>0.17303663608096059</v>
      </c>
      <c r="L699">
        <v>112.36642602821961</v>
      </c>
      <c r="M699" s="10">
        <v>-0.80966987550709923</v>
      </c>
      <c r="N699" s="24" t="s">
        <v>343</v>
      </c>
      <c r="O699" s="24">
        <v>2.4198074695740459</v>
      </c>
      <c r="P699">
        <v>50.183312892985413</v>
      </c>
      <c r="Q699" t="s">
        <v>47</v>
      </c>
      <c r="R699" t="s">
        <v>350</v>
      </c>
      <c r="S699" t="s">
        <v>343</v>
      </c>
      <c r="T699" t="s">
        <v>343</v>
      </c>
    </row>
    <row r="700" spans="2:20" x14ac:dyDescent="0.25">
      <c r="B700">
        <v>695</v>
      </c>
      <c r="C700" t="s">
        <v>1039</v>
      </c>
      <c r="D700" s="10">
        <v>0.31511526932405898</v>
      </c>
      <c r="E700" s="10">
        <v>1.083883187283154</v>
      </c>
      <c r="F700" s="10">
        <v>0.49721760583626412</v>
      </c>
      <c r="G700" s="10">
        <v>0.34067180877685121</v>
      </c>
      <c r="H700" s="6">
        <v>0.12761284366852171</v>
      </c>
      <c r="I700" s="10">
        <v>3.823332481549806</v>
      </c>
      <c r="J700" s="7">
        <v>2.5068166834836911E-2</v>
      </c>
      <c r="K700" s="5">
        <v>0.19076503895117189</v>
      </c>
      <c r="L700">
        <v>171.3684109196374</v>
      </c>
      <c r="M700" s="10">
        <v>-0.70973028032150953</v>
      </c>
      <c r="N700" s="24" t="s">
        <v>343</v>
      </c>
      <c r="O700" s="24">
        <v>8.4161831807094245</v>
      </c>
      <c r="P700">
        <v>18.252596141567171</v>
      </c>
      <c r="Q700" t="s">
        <v>348</v>
      </c>
      <c r="R700" t="s">
        <v>375</v>
      </c>
      <c r="S700" t="s">
        <v>343</v>
      </c>
      <c r="T700" t="s">
        <v>343</v>
      </c>
    </row>
    <row r="701" spans="2:20" x14ac:dyDescent="0.25">
      <c r="B701">
        <v>696</v>
      </c>
      <c r="C701" t="s">
        <v>1040</v>
      </c>
      <c r="D701" s="10">
        <v>0.29848114014303678</v>
      </c>
      <c r="E701" s="10">
        <v>0.86227665564544842</v>
      </c>
      <c r="F701" s="10">
        <v>0.6646062383841238</v>
      </c>
      <c r="G701" s="10">
        <v>0.43203344893223328</v>
      </c>
      <c r="H701" s="6">
        <v>0.20959088492157599</v>
      </c>
      <c r="I701" s="10">
        <v>8.5989224459645772</v>
      </c>
      <c r="J701" s="7">
        <v>3.4149469565443083E-2</v>
      </c>
      <c r="K701" s="5">
        <v>0.12916272616964161</v>
      </c>
      <c r="L701">
        <v>325.26261794252929</v>
      </c>
      <c r="M701" s="10">
        <v>-0.44905896935494721</v>
      </c>
      <c r="N701" s="24" t="s">
        <v>343</v>
      </c>
      <c r="O701" s="24">
        <v>24.056461838703171</v>
      </c>
      <c r="P701">
        <v>58.185824932090092</v>
      </c>
      <c r="Q701" t="s">
        <v>47</v>
      </c>
      <c r="R701" t="s">
        <v>350</v>
      </c>
      <c r="S701" t="s">
        <v>343</v>
      </c>
      <c r="T701" t="s">
        <v>343</v>
      </c>
    </row>
    <row r="702" spans="2:20" x14ac:dyDescent="0.25">
      <c r="B702">
        <v>697</v>
      </c>
      <c r="C702" t="s">
        <v>1041</v>
      </c>
      <c r="D702" s="10">
        <v>0.29073153135188479</v>
      </c>
      <c r="E702" s="10">
        <v>0.4763950161642902</v>
      </c>
      <c r="F702" s="10">
        <v>0.50713276946182795</v>
      </c>
      <c r="G702" s="10">
        <v>0.25892400126400972</v>
      </c>
      <c r="H702" s="6">
        <v>0.210634409422428</v>
      </c>
      <c r="I702" s="10">
        <v>7.261744314791553</v>
      </c>
      <c r="J702" s="7">
        <v>3.0036697626023779E-2</v>
      </c>
      <c r="K702" s="5">
        <v>0.1245303879931578</v>
      </c>
      <c r="L702">
        <v>83.760897813599556</v>
      </c>
      <c r="M702" s="10">
        <v>-0.85812290492806254</v>
      </c>
      <c r="N702" s="24" t="s">
        <v>343</v>
      </c>
      <c r="O702" s="24">
        <v>0</v>
      </c>
      <c r="P702">
        <v>58.177481449105031</v>
      </c>
      <c r="Q702" t="s">
        <v>47</v>
      </c>
      <c r="R702" t="s">
        <v>350</v>
      </c>
      <c r="S702" t="s">
        <v>343</v>
      </c>
      <c r="T702" t="s">
        <v>343</v>
      </c>
    </row>
    <row r="703" spans="2:20" x14ac:dyDescent="0.25">
      <c r="B703">
        <v>698</v>
      </c>
      <c r="C703" t="s">
        <v>1042</v>
      </c>
      <c r="D703" s="10">
        <v>0.2012644523271904</v>
      </c>
      <c r="E703" s="10">
        <v>1.2839119172465989</v>
      </c>
      <c r="F703" s="10">
        <v>0.69236672415497091</v>
      </c>
      <c r="G703" s="10">
        <v>0.24669427784622289</v>
      </c>
      <c r="H703" s="6">
        <v>0.12990388912791709</v>
      </c>
      <c r="I703" s="10">
        <v>8.8578222862241365</v>
      </c>
      <c r="J703" s="7">
        <v>1.6721146335159118E-2</v>
      </c>
      <c r="K703" s="5">
        <v>0.14255952230074981</v>
      </c>
      <c r="L703">
        <v>292.62278897214998</v>
      </c>
      <c r="M703" s="10">
        <v>-0.50434543641583884</v>
      </c>
      <c r="N703" s="24" t="s">
        <v>343</v>
      </c>
      <c r="O703" s="24">
        <v>20.739273815049671</v>
      </c>
      <c r="P703">
        <v>21.673988697747721</v>
      </c>
      <c r="Q703" t="s">
        <v>348</v>
      </c>
      <c r="R703" t="s">
        <v>351</v>
      </c>
      <c r="S703" t="s">
        <v>343</v>
      </c>
      <c r="T703" t="s">
        <v>343</v>
      </c>
    </row>
    <row r="704" spans="2:20" x14ac:dyDescent="0.25">
      <c r="B704">
        <v>699</v>
      </c>
      <c r="C704" t="s">
        <v>1043</v>
      </c>
      <c r="D704" s="10">
        <v>0.18734201398241049</v>
      </c>
      <c r="E704" s="10">
        <v>0.62219624303169541</v>
      </c>
      <c r="F704" s="10">
        <v>0.59532605191521137</v>
      </c>
      <c r="G704" s="10">
        <v>0.37342512642401532</v>
      </c>
      <c r="H704" s="6">
        <v>0.22988463223063371</v>
      </c>
      <c r="I704" s="10">
        <v>6.5248468545278504</v>
      </c>
      <c r="J704" s="7">
        <v>3.6596075873973843E-2</v>
      </c>
      <c r="K704" s="5">
        <v>0.1588974977237857</v>
      </c>
      <c r="L704">
        <v>111.8861644470082</v>
      </c>
      <c r="M704" s="10">
        <v>-0.8104833591229097</v>
      </c>
      <c r="N704" s="24" t="s">
        <v>343</v>
      </c>
      <c r="O704" s="24">
        <v>2.3709984526254151</v>
      </c>
      <c r="P704">
        <v>60.346161854607921</v>
      </c>
      <c r="Q704" t="s">
        <v>47</v>
      </c>
      <c r="R704" t="s">
        <v>350</v>
      </c>
      <c r="S704" t="s">
        <v>343</v>
      </c>
      <c r="T704" t="s">
        <v>343</v>
      </c>
    </row>
    <row r="705" spans="2:20" x14ac:dyDescent="0.25">
      <c r="B705">
        <v>700</v>
      </c>
      <c r="C705" t="s">
        <v>1044</v>
      </c>
      <c r="D705" s="10">
        <v>0.26698291518790901</v>
      </c>
      <c r="E705" s="10">
        <v>1.104244219860866</v>
      </c>
      <c r="F705" s="10">
        <v>0.44184248153631939</v>
      </c>
      <c r="G705" s="10">
        <v>0.31283349185087689</v>
      </c>
      <c r="H705" s="6">
        <v>0.1903346316768294</v>
      </c>
      <c r="I705" s="10">
        <v>9.2735301301729223</v>
      </c>
      <c r="J705" s="7">
        <v>4.2480565069275202E-2</v>
      </c>
      <c r="K705" s="5">
        <v>0.1179514338892218</v>
      </c>
      <c r="L705">
        <v>298.24500683257639</v>
      </c>
      <c r="M705" s="10">
        <v>-0.49482233006526022</v>
      </c>
      <c r="N705" s="24" t="s">
        <v>343</v>
      </c>
      <c r="O705" s="24">
        <v>21.310660196084392</v>
      </c>
      <c r="P705">
        <v>50.947474672449133</v>
      </c>
      <c r="Q705" t="s">
        <v>47</v>
      </c>
      <c r="R705" t="s">
        <v>350</v>
      </c>
      <c r="S705" t="s">
        <v>343</v>
      </c>
      <c r="T705" t="s">
        <v>343</v>
      </c>
    </row>
    <row r="706" spans="2:20" x14ac:dyDescent="0.25">
      <c r="B706">
        <v>701</v>
      </c>
      <c r="C706" t="s">
        <v>1045</v>
      </c>
      <c r="D706" s="10">
        <v>0.30870015826041369</v>
      </c>
      <c r="E706" s="10">
        <v>1.157907357015951</v>
      </c>
      <c r="F706" s="10">
        <v>0.44887377505850617</v>
      </c>
      <c r="G706" s="10">
        <v>0.33194629552370142</v>
      </c>
      <c r="H706" s="6">
        <v>0.22846100602422131</v>
      </c>
      <c r="I706" s="10">
        <v>3.900003988120428</v>
      </c>
      <c r="J706" s="7">
        <v>2.7102331915169909E-2</v>
      </c>
      <c r="K706" s="5">
        <v>0.17631425973997339</v>
      </c>
      <c r="L706">
        <v>127.0574062907973</v>
      </c>
      <c r="M706" s="10">
        <v>-0.78478578689510647</v>
      </c>
      <c r="N706" s="24" t="s">
        <v>343</v>
      </c>
      <c r="O706" s="24">
        <v>3.912852786293612</v>
      </c>
      <c r="P706">
        <v>51.326918882652102</v>
      </c>
      <c r="Q706" t="s">
        <v>47</v>
      </c>
      <c r="R706" t="s">
        <v>350</v>
      </c>
      <c r="S706" t="s">
        <v>343</v>
      </c>
      <c r="T706" t="s">
        <v>343</v>
      </c>
    </row>
    <row r="707" spans="2:20" x14ac:dyDescent="0.25">
      <c r="B707">
        <v>702</v>
      </c>
      <c r="C707" t="s">
        <v>1046</v>
      </c>
      <c r="D707" s="10">
        <v>0.24908206288222881</v>
      </c>
      <c r="E707" s="10">
        <v>1.3594734702817119</v>
      </c>
      <c r="F707" s="10">
        <v>0.47834597800922418</v>
      </c>
      <c r="G707" s="10">
        <v>0.32925632950483302</v>
      </c>
      <c r="H707" s="6">
        <v>0.2440387478902605</v>
      </c>
      <c r="I707" s="10">
        <v>7.1377485172029793</v>
      </c>
      <c r="J707" s="7">
        <v>4.480085889233653E-2</v>
      </c>
      <c r="K707" s="5">
        <v>0.118860807268289</v>
      </c>
      <c r="L707">
        <v>227.07675574892639</v>
      </c>
      <c r="M707" s="10">
        <v>-0.61536956617020955</v>
      </c>
      <c r="N707" s="24" t="s">
        <v>343</v>
      </c>
      <c r="O707" s="24">
        <v>14.077826029787429</v>
      </c>
      <c r="P707">
        <v>51.907857807561328</v>
      </c>
      <c r="Q707" t="s">
        <v>47</v>
      </c>
      <c r="R707" t="s">
        <v>350</v>
      </c>
      <c r="S707" t="s">
        <v>343</v>
      </c>
      <c r="T707" t="s">
        <v>343</v>
      </c>
    </row>
    <row r="708" spans="2:20" x14ac:dyDescent="0.25">
      <c r="B708">
        <v>703</v>
      </c>
      <c r="C708" t="s">
        <v>1047</v>
      </c>
      <c r="D708" s="10">
        <v>0.25145803031518399</v>
      </c>
      <c r="E708" s="10">
        <v>0.8483582131765115</v>
      </c>
      <c r="F708" s="10">
        <v>0.48876902103287673</v>
      </c>
      <c r="G708" s="10">
        <v>0.25905645038210401</v>
      </c>
      <c r="H708" s="6">
        <v>0.1684349027986041</v>
      </c>
      <c r="I708" s="10">
        <v>5.6124846907074906</v>
      </c>
      <c r="J708" s="7">
        <v>2.4978785973720118E-2</v>
      </c>
      <c r="K708" s="5">
        <v>0.1005200508984523</v>
      </c>
      <c r="L708">
        <v>204.52633666540919</v>
      </c>
      <c r="M708" s="10">
        <v>-0.65356624308912326</v>
      </c>
      <c r="N708" s="24" t="s">
        <v>343</v>
      </c>
      <c r="O708" s="24">
        <v>11.78602541465261</v>
      </c>
      <c r="P708">
        <v>63.43304954526463</v>
      </c>
      <c r="Q708" t="s">
        <v>47</v>
      </c>
      <c r="R708" t="s">
        <v>350</v>
      </c>
      <c r="S708" t="s">
        <v>343</v>
      </c>
      <c r="T708" t="s">
        <v>343</v>
      </c>
    </row>
    <row r="709" spans="2:20" x14ac:dyDescent="0.25">
      <c r="B709">
        <v>704</v>
      </c>
      <c r="C709" t="s">
        <v>1048</v>
      </c>
      <c r="D709" s="10">
        <v>0.2047966549856455</v>
      </c>
      <c r="E709" s="10">
        <v>0.97741906701087533</v>
      </c>
      <c r="F709" s="10">
        <v>0.63958097193491503</v>
      </c>
      <c r="G709" s="10">
        <v>0.2407846151895108</v>
      </c>
      <c r="H709" s="6">
        <v>0.19267288244032321</v>
      </c>
      <c r="I709" s="10">
        <v>7.8189868458066183</v>
      </c>
      <c r="J709" s="7">
        <v>2.6790780148499942E-2</v>
      </c>
      <c r="K709" s="5">
        <v>0.1498038054406296</v>
      </c>
      <c r="L709">
        <v>177.0985224770175</v>
      </c>
      <c r="M709" s="10">
        <v>-0.70002441990907205</v>
      </c>
      <c r="N709" s="24" t="s">
        <v>343</v>
      </c>
      <c r="O709" s="24">
        <v>8.9985348054556802</v>
      </c>
      <c r="P709">
        <v>28.832727869370611</v>
      </c>
      <c r="Q709" t="s">
        <v>348</v>
      </c>
      <c r="R709" t="s">
        <v>375</v>
      </c>
      <c r="S709" t="s">
        <v>343</v>
      </c>
      <c r="T709" t="s">
        <v>343</v>
      </c>
    </row>
    <row r="710" spans="2:20" x14ac:dyDescent="0.25">
      <c r="B710">
        <v>705</v>
      </c>
      <c r="C710" t="s">
        <v>1049</v>
      </c>
      <c r="D710" s="10">
        <v>0.2831188693107099</v>
      </c>
      <c r="E710" s="10">
        <v>0.66836392282748713</v>
      </c>
      <c r="F710" s="10">
        <v>0.49791912786840697</v>
      </c>
      <c r="G710" s="10">
        <v>0.43765311343013807</v>
      </c>
      <c r="H710" s="6">
        <v>0.1591141169652017</v>
      </c>
      <c r="I710" s="10">
        <v>7.3816971763377079</v>
      </c>
      <c r="J710" s="7">
        <v>3.3586412989077212E-2</v>
      </c>
      <c r="K710" s="5">
        <v>0.11093922256076159</v>
      </c>
      <c r="L710">
        <v>401.52907722657841</v>
      </c>
      <c r="M710" s="10">
        <v>-0.31987621251866311</v>
      </c>
      <c r="N710" s="24" t="s">
        <v>343</v>
      </c>
      <c r="O710" s="24">
        <v>31.80742724888022</v>
      </c>
      <c r="P710">
        <v>50.375492732548807</v>
      </c>
      <c r="Q710" t="s">
        <v>47</v>
      </c>
      <c r="R710" t="s">
        <v>350</v>
      </c>
      <c r="S710" t="s">
        <v>343</v>
      </c>
      <c r="T710" t="s">
        <v>343</v>
      </c>
    </row>
    <row r="711" spans="2:20" x14ac:dyDescent="0.25">
      <c r="B711">
        <v>706</v>
      </c>
      <c r="C711" t="s">
        <v>1050</v>
      </c>
      <c r="D711" s="10">
        <v>0.18992699976920371</v>
      </c>
      <c r="E711" s="10">
        <v>1.045997222753273</v>
      </c>
      <c r="F711" s="10">
        <v>0.69197682121296356</v>
      </c>
      <c r="G711" s="10">
        <v>0.28791568339882417</v>
      </c>
      <c r="H711" s="6">
        <v>0.15022701952835019</v>
      </c>
      <c r="I711" s="10">
        <v>9.9430202788836048</v>
      </c>
      <c r="J711" s="7">
        <v>1.650195504785203E-2</v>
      </c>
      <c r="K711" s="5">
        <v>0.16633267891177109</v>
      </c>
      <c r="L711">
        <v>231.09956535390529</v>
      </c>
      <c r="M711" s="10">
        <v>-0.60855559263745174</v>
      </c>
      <c r="N711" s="24" t="s">
        <v>343</v>
      </c>
      <c r="O711" s="24">
        <v>14.4866644417529</v>
      </c>
      <c r="P711">
        <v>59.328802220163752</v>
      </c>
      <c r="Q711" t="s">
        <v>47</v>
      </c>
      <c r="R711" t="s">
        <v>350</v>
      </c>
      <c r="S711" t="s">
        <v>343</v>
      </c>
      <c r="T711" t="s">
        <v>343</v>
      </c>
    </row>
    <row r="712" spans="2:20" x14ac:dyDescent="0.25">
      <c r="B712">
        <v>707</v>
      </c>
      <c r="C712" t="s">
        <v>1051</v>
      </c>
      <c r="D712" s="10">
        <v>0.211788677824679</v>
      </c>
      <c r="E712" s="10">
        <v>0.80972183445295154</v>
      </c>
      <c r="F712" s="10">
        <v>0.60538913487276391</v>
      </c>
      <c r="G712" s="10">
        <v>0.33373737821014338</v>
      </c>
      <c r="H712" s="6">
        <v>0.12008921370639861</v>
      </c>
      <c r="I712" s="10">
        <v>9.9163350097549419</v>
      </c>
      <c r="J712" s="7">
        <v>4.1568110348152221E-2</v>
      </c>
      <c r="K712" s="5">
        <v>0.11590964960750801</v>
      </c>
      <c r="L712">
        <v>189.42384982450449</v>
      </c>
      <c r="M712" s="10">
        <v>-0.6791473557237806</v>
      </c>
      <c r="N712" s="24" t="s">
        <v>343</v>
      </c>
      <c r="O712" s="24">
        <v>10.25115865657316</v>
      </c>
      <c r="P712">
        <v>55.637386762070143</v>
      </c>
      <c r="Q712" t="s">
        <v>47</v>
      </c>
      <c r="R712" t="s">
        <v>350</v>
      </c>
      <c r="S712" t="s">
        <v>343</v>
      </c>
      <c r="T712" t="s">
        <v>343</v>
      </c>
    </row>
    <row r="713" spans="2:20" x14ac:dyDescent="0.25">
      <c r="B713">
        <v>708</v>
      </c>
      <c r="C713" t="s">
        <v>1052</v>
      </c>
      <c r="D713" s="10">
        <v>0.2280698301786267</v>
      </c>
      <c r="E713" s="10">
        <v>0.78141760119686443</v>
      </c>
      <c r="F713" s="10">
        <v>0.62005455240591456</v>
      </c>
      <c r="G713" s="10">
        <v>0.45382367526763728</v>
      </c>
      <c r="H713" s="6">
        <v>0.26454472681197561</v>
      </c>
      <c r="I713" s="10">
        <v>7.5470122217153408</v>
      </c>
      <c r="J713" s="7">
        <v>3.8044547899881348E-2</v>
      </c>
      <c r="K713" s="5">
        <v>0.1776511375744034</v>
      </c>
      <c r="L713">
        <v>183.14108264576819</v>
      </c>
      <c r="M713" s="10">
        <v>-0.68978932327188514</v>
      </c>
      <c r="N713" s="24" t="s">
        <v>343</v>
      </c>
      <c r="O713" s="24">
        <v>9.6126406036868914</v>
      </c>
      <c r="P713">
        <v>51.662261932528523</v>
      </c>
      <c r="Q713" t="s">
        <v>47</v>
      </c>
      <c r="R713" t="s">
        <v>350</v>
      </c>
      <c r="S713" t="s">
        <v>343</v>
      </c>
      <c r="T713" t="s">
        <v>343</v>
      </c>
    </row>
    <row r="714" spans="2:20" x14ac:dyDescent="0.25">
      <c r="B714">
        <v>709</v>
      </c>
      <c r="C714" t="s">
        <v>1053</v>
      </c>
      <c r="D714" s="10">
        <v>0.2412176605895128</v>
      </c>
      <c r="E714" s="10">
        <v>1.2410142820277159</v>
      </c>
      <c r="F714" s="10">
        <v>0.49663229501415401</v>
      </c>
      <c r="G714" s="10">
        <v>0.42188776803640349</v>
      </c>
      <c r="H714" s="6">
        <v>0.18613927039944719</v>
      </c>
      <c r="I714" s="10">
        <v>4.9978547269620019</v>
      </c>
      <c r="J714" s="7">
        <v>4.0534605023712283E-2</v>
      </c>
      <c r="K714" s="5">
        <v>0.1446849726232198</v>
      </c>
      <c r="L714">
        <v>244.5134050078245</v>
      </c>
      <c r="M714" s="10">
        <v>-0.58583476879797969</v>
      </c>
      <c r="N714" s="24" t="s">
        <v>343</v>
      </c>
      <c r="O714" s="24">
        <v>15.84991387212122</v>
      </c>
      <c r="P714">
        <v>64.071700197644191</v>
      </c>
      <c r="Q714" t="s">
        <v>47</v>
      </c>
      <c r="R714" t="s">
        <v>350</v>
      </c>
      <c r="S714" t="s">
        <v>343</v>
      </c>
      <c r="T714" t="s">
        <v>343</v>
      </c>
    </row>
    <row r="715" spans="2:20" x14ac:dyDescent="0.25">
      <c r="B715">
        <v>710</v>
      </c>
      <c r="C715" t="s">
        <v>1054</v>
      </c>
      <c r="D715" s="10">
        <v>0.1987855571864128</v>
      </c>
      <c r="E715" s="10">
        <v>0.35518572784855751</v>
      </c>
      <c r="F715" s="10">
        <v>0.67210364166472203</v>
      </c>
      <c r="G715" s="10">
        <v>0.26374478815779451</v>
      </c>
      <c r="H715" s="6">
        <v>0.1219604659588311</v>
      </c>
      <c r="I715" s="10">
        <v>9.4010501346772699</v>
      </c>
      <c r="J715" s="7">
        <v>3.1334550282643057E-2</v>
      </c>
      <c r="K715" s="5">
        <v>0.15379640093858291</v>
      </c>
      <c r="L715">
        <v>86.588143116253761</v>
      </c>
      <c r="M715" s="10">
        <v>-0.85333401940908193</v>
      </c>
      <c r="N715" s="24" t="s">
        <v>343</v>
      </c>
      <c r="O715" s="24">
        <v>0</v>
      </c>
      <c r="P715">
        <v>22.932836199724019</v>
      </c>
      <c r="Q715" t="s">
        <v>348</v>
      </c>
      <c r="R715" t="s">
        <v>353</v>
      </c>
      <c r="S715" t="s">
        <v>343</v>
      </c>
      <c r="T715" t="s">
        <v>343</v>
      </c>
    </row>
    <row r="716" spans="2:20" x14ac:dyDescent="0.25">
      <c r="B716">
        <v>711</v>
      </c>
      <c r="C716" t="s">
        <v>1055</v>
      </c>
      <c r="D716" s="10">
        <v>0.17837389195827261</v>
      </c>
      <c r="E716" s="10">
        <v>1.2701586706150549</v>
      </c>
      <c r="F716" s="10">
        <v>0.61363178893318215</v>
      </c>
      <c r="G716" s="10">
        <v>0.35187418695476891</v>
      </c>
      <c r="H716" s="6">
        <v>0.1213407866352072</v>
      </c>
      <c r="I716" s="10">
        <v>13.63166906987686</v>
      </c>
      <c r="J716" s="7">
        <v>4.0931178641282248E-2</v>
      </c>
      <c r="K716" s="5">
        <v>0.1177255907037576</v>
      </c>
      <c r="L716">
        <v>331.81455066748879</v>
      </c>
      <c r="M716" s="10">
        <v>-0.43796107992935063</v>
      </c>
      <c r="N716" s="24" t="s">
        <v>343</v>
      </c>
      <c r="O716" s="24">
        <v>24.722335204238959</v>
      </c>
      <c r="P716">
        <v>52.274563932012938</v>
      </c>
      <c r="Q716" t="s">
        <v>47</v>
      </c>
      <c r="R716" t="s">
        <v>350</v>
      </c>
      <c r="S716" t="s">
        <v>343</v>
      </c>
      <c r="T716" t="s">
        <v>343</v>
      </c>
    </row>
    <row r="717" spans="2:20" x14ac:dyDescent="0.25">
      <c r="B717">
        <v>712</v>
      </c>
      <c r="C717" t="s">
        <v>1056</v>
      </c>
      <c r="D717" s="10">
        <v>0.25769920679066122</v>
      </c>
      <c r="E717" s="10">
        <v>1.2372768216114129</v>
      </c>
      <c r="F717" s="10">
        <v>0.66474546232888454</v>
      </c>
      <c r="G717" s="10">
        <v>0.40061738582890349</v>
      </c>
      <c r="H717" s="6">
        <v>0.16325288528267931</v>
      </c>
      <c r="I717" s="10">
        <v>5.0398699682705974</v>
      </c>
      <c r="J717" s="7">
        <v>3.3799037054731931E-2</v>
      </c>
      <c r="K717" s="5">
        <v>0.113935367365394</v>
      </c>
      <c r="L717">
        <v>394.49694146603878</v>
      </c>
      <c r="M717" s="10">
        <v>-0.33178748639346212</v>
      </c>
      <c r="N717" s="24" t="s">
        <v>343</v>
      </c>
      <c r="O717" s="24">
        <v>31.092750816392279</v>
      </c>
      <c r="P717">
        <v>57.293825249934827</v>
      </c>
      <c r="Q717" t="s">
        <v>47</v>
      </c>
      <c r="R717" t="s">
        <v>350</v>
      </c>
      <c r="S717" t="s">
        <v>343</v>
      </c>
      <c r="T717" t="s">
        <v>343</v>
      </c>
    </row>
    <row r="718" spans="2:20" x14ac:dyDescent="0.25">
      <c r="B718">
        <v>713</v>
      </c>
      <c r="C718" t="s">
        <v>1057</v>
      </c>
      <c r="D718" s="10">
        <v>0.20618088851844091</v>
      </c>
      <c r="E718" s="10">
        <v>0.857002878917968</v>
      </c>
      <c r="F718" s="10">
        <v>0.68868508528011896</v>
      </c>
      <c r="G718" s="10">
        <v>0.39364641269982681</v>
      </c>
      <c r="H718" s="6">
        <v>0.12209065180651781</v>
      </c>
      <c r="I718" s="10">
        <v>3.7596509686107669</v>
      </c>
      <c r="J718" s="7">
        <v>2.790463149250158E-2</v>
      </c>
      <c r="K718" s="5">
        <v>0.15997278431942011</v>
      </c>
      <c r="L718">
        <v>134.93376356467439</v>
      </c>
      <c r="M718" s="10">
        <v>-0.77144454152959929</v>
      </c>
      <c r="N718" s="24" t="s">
        <v>343</v>
      </c>
      <c r="O718" s="24">
        <v>4.7133275082240473</v>
      </c>
      <c r="P718">
        <v>17.894019481743229</v>
      </c>
      <c r="Q718" t="s">
        <v>348</v>
      </c>
      <c r="R718" t="s">
        <v>353</v>
      </c>
      <c r="S718" t="s">
        <v>343</v>
      </c>
      <c r="T718" t="s">
        <v>343</v>
      </c>
    </row>
    <row r="719" spans="2:20" x14ac:dyDescent="0.25">
      <c r="B719">
        <v>714</v>
      </c>
      <c r="C719" t="s">
        <v>1058</v>
      </c>
      <c r="D719" s="10">
        <v>0.25299811542761802</v>
      </c>
      <c r="E719" s="10">
        <v>0.83922313962619111</v>
      </c>
      <c r="F719" s="10">
        <v>0.47266665404849512</v>
      </c>
      <c r="G719" s="10">
        <v>0.40738520752898338</v>
      </c>
      <c r="H719" s="6">
        <v>0.17617719264878229</v>
      </c>
      <c r="I719" s="10">
        <v>5.9101730404122934</v>
      </c>
      <c r="J719" s="7">
        <v>4.2612678139465038E-2</v>
      </c>
      <c r="K719" s="5">
        <v>0.1242687584574601</v>
      </c>
      <c r="L719">
        <v>191.25790313149821</v>
      </c>
      <c r="M719" s="10">
        <v>-0.67604077303190913</v>
      </c>
      <c r="N719" s="24" t="s">
        <v>343</v>
      </c>
      <c r="O719" s="24">
        <v>10.437553618085451</v>
      </c>
      <c r="P719">
        <v>56.052657682856577</v>
      </c>
      <c r="Q719" t="s">
        <v>47</v>
      </c>
      <c r="R719" t="s">
        <v>350</v>
      </c>
      <c r="S719" t="s">
        <v>343</v>
      </c>
      <c r="T719" t="s">
        <v>343</v>
      </c>
    </row>
    <row r="720" spans="2:20" x14ac:dyDescent="0.25">
      <c r="B720">
        <v>715</v>
      </c>
      <c r="C720" t="s">
        <v>1059</v>
      </c>
      <c r="D720" s="10">
        <v>0.18469803444387239</v>
      </c>
      <c r="E720" s="10">
        <v>0.69798810483903917</v>
      </c>
      <c r="F720" s="10">
        <v>0.46511267986992588</v>
      </c>
      <c r="G720" s="10">
        <v>0.34064002407536781</v>
      </c>
      <c r="H720" s="6">
        <v>0.12944077521584221</v>
      </c>
      <c r="I720" s="10">
        <v>7.5421236820768618</v>
      </c>
      <c r="J720" s="7">
        <v>2.5390191908752541E-2</v>
      </c>
      <c r="K720" s="5">
        <v>0.136662928990187</v>
      </c>
      <c r="L720">
        <v>82.488457274028647</v>
      </c>
      <c r="M720" s="10">
        <v>-0.86027820856160098</v>
      </c>
      <c r="N720" s="24" t="s">
        <v>343</v>
      </c>
      <c r="O720" s="24">
        <v>0</v>
      </c>
      <c r="P720">
        <v>62.518007948411338</v>
      </c>
      <c r="Q720" t="s">
        <v>47</v>
      </c>
      <c r="R720" t="s">
        <v>350</v>
      </c>
      <c r="S720" t="s">
        <v>343</v>
      </c>
      <c r="T720" t="s">
        <v>343</v>
      </c>
    </row>
    <row r="721" spans="2:20" x14ac:dyDescent="0.25">
      <c r="B721">
        <v>716</v>
      </c>
      <c r="C721" t="s">
        <v>1060</v>
      </c>
      <c r="D721" s="10">
        <v>0.2369824162967708</v>
      </c>
      <c r="E721" s="10">
        <v>1.393591170849908</v>
      </c>
      <c r="F721" s="10">
        <v>0.64888603491330521</v>
      </c>
      <c r="G721" s="10">
        <v>0.27870304445266197</v>
      </c>
      <c r="H721" s="6">
        <v>0.12588773867254649</v>
      </c>
      <c r="I721" s="10">
        <v>6.3680726400212944</v>
      </c>
      <c r="J721" s="7">
        <v>2.7519944942215591E-2</v>
      </c>
      <c r="K721" s="5">
        <v>0.14554766962401369</v>
      </c>
      <c r="L721">
        <v>198.50406465973219</v>
      </c>
      <c r="M721" s="10">
        <v>-0.66376697493657699</v>
      </c>
      <c r="N721" s="24" t="s">
        <v>343</v>
      </c>
      <c r="O721" s="24">
        <v>11.173981503805379</v>
      </c>
      <c r="P721">
        <v>55.534959142536181</v>
      </c>
      <c r="Q721" t="s">
        <v>47</v>
      </c>
      <c r="R721" t="s">
        <v>350</v>
      </c>
      <c r="S721" t="s">
        <v>343</v>
      </c>
      <c r="T721" t="s">
        <v>343</v>
      </c>
    </row>
    <row r="722" spans="2:20" x14ac:dyDescent="0.25">
      <c r="B722">
        <v>717</v>
      </c>
      <c r="C722" t="s">
        <v>1061</v>
      </c>
      <c r="D722" s="10">
        <v>0.24521430920825371</v>
      </c>
      <c r="E722" s="10">
        <v>0.42228626602922531</v>
      </c>
      <c r="F722" s="10">
        <v>0.66519277536448418</v>
      </c>
      <c r="G722" s="10">
        <v>0.34227193766226199</v>
      </c>
      <c r="H722" s="6">
        <v>0.2204072091111825</v>
      </c>
      <c r="I722" s="10">
        <v>12.181806804309421</v>
      </c>
      <c r="J722" s="7">
        <v>1.5934030578936241E-2</v>
      </c>
      <c r="K722" s="5">
        <v>0.1218151925301893</v>
      </c>
      <c r="L722">
        <v>175.7498015067498</v>
      </c>
      <c r="M722" s="10">
        <v>-0.70230892996470717</v>
      </c>
      <c r="N722" s="24" t="s">
        <v>343</v>
      </c>
      <c r="O722" s="24">
        <v>8.8614642021175669</v>
      </c>
      <c r="P722">
        <v>56.180869550867747</v>
      </c>
      <c r="Q722" t="s">
        <v>47</v>
      </c>
      <c r="R722" t="s">
        <v>350</v>
      </c>
      <c r="S722" t="s">
        <v>343</v>
      </c>
      <c r="T722" t="s">
        <v>343</v>
      </c>
    </row>
    <row r="723" spans="2:20" x14ac:dyDescent="0.25">
      <c r="B723">
        <v>718</v>
      </c>
      <c r="C723" t="s">
        <v>1062</v>
      </c>
      <c r="D723" s="10">
        <v>0.16829176589158831</v>
      </c>
      <c r="E723" s="10">
        <v>0.94923675919146766</v>
      </c>
      <c r="F723" s="10">
        <v>0.59177796942827621</v>
      </c>
      <c r="G723" s="10">
        <v>0.38253519481812431</v>
      </c>
      <c r="H723" s="6">
        <v>0.25602619341643268</v>
      </c>
      <c r="I723" s="10">
        <v>8.4233043973578603</v>
      </c>
      <c r="J723" s="7">
        <v>4.3168065345063622E-2</v>
      </c>
      <c r="K723" s="5">
        <v>0.17556526200317191</v>
      </c>
      <c r="L723">
        <v>106.4870968819645</v>
      </c>
      <c r="M723" s="10">
        <v>-0.81962848581353054</v>
      </c>
      <c r="N723" s="24" t="s">
        <v>343</v>
      </c>
      <c r="O723" s="24">
        <v>1.8222908511881639</v>
      </c>
      <c r="P723">
        <v>54.970845736929412</v>
      </c>
      <c r="Q723" t="s">
        <v>47</v>
      </c>
      <c r="R723" t="s">
        <v>350</v>
      </c>
      <c r="S723" t="s">
        <v>343</v>
      </c>
      <c r="T723" t="s">
        <v>343</v>
      </c>
    </row>
    <row r="724" spans="2:20" x14ac:dyDescent="0.25">
      <c r="B724">
        <v>719</v>
      </c>
      <c r="C724" t="s">
        <v>1063</v>
      </c>
      <c r="D724" s="10">
        <v>0.2138566845110273</v>
      </c>
      <c r="E724" s="10">
        <v>1.0498497491236589</v>
      </c>
      <c r="F724" s="10">
        <v>0.53516014241513532</v>
      </c>
      <c r="G724" s="10">
        <v>0.373890259053137</v>
      </c>
      <c r="H724" s="6">
        <v>0.1814079874953419</v>
      </c>
      <c r="I724" s="10">
        <v>5.7074066982522806</v>
      </c>
      <c r="J724" s="7">
        <v>1.7736848296180701E-2</v>
      </c>
      <c r="K724" s="5">
        <v>0.18924531884634599</v>
      </c>
      <c r="L724">
        <v>194.0887164575592</v>
      </c>
      <c r="M724" s="10">
        <v>-0.67124584387192998</v>
      </c>
      <c r="N724" s="24" t="s">
        <v>343</v>
      </c>
      <c r="O724" s="24">
        <v>10.725249367684199</v>
      </c>
      <c r="P724">
        <v>34.027020618756318</v>
      </c>
      <c r="Q724" t="s">
        <v>348</v>
      </c>
      <c r="R724" t="s">
        <v>375</v>
      </c>
      <c r="S724" t="s">
        <v>343</v>
      </c>
      <c r="T724" t="s">
        <v>343</v>
      </c>
    </row>
    <row r="725" spans="2:20" x14ac:dyDescent="0.25">
      <c r="B725">
        <v>720</v>
      </c>
      <c r="C725" t="s">
        <v>1064</v>
      </c>
      <c r="D725" s="10">
        <v>0.1815063483102359</v>
      </c>
      <c r="E725" s="10">
        <v>1.327763009038639</v>
      </c>
      <c r="F725" s="10">
        <v>0.60968370537955818</v>
      </c>
      <c r="G725" s="10">
        <v>0.25551485183349371</v>
      </c>
      <c r="H725" s="6">
        <v>0.2455155645413899</v>
      </c>
      <c r="I725" s="10">
        <v>13.452189625856001</v>
      </c>
      <c r="J725" s="7">
        <v>1.7049557346708329E-2</v>
      </c>
      <c r="K725" s="5">
        <v>0.14102985039572161</v>
      </c>
      <c r="L725">
        <v>231.88952863680231</v>
      </c>
      <c r="M725" s="10">
        <v>-0.60721752560717313</v>
      </c>
      <c r="N725" s="24" t="s">
        <v>343</v>
      </c>
      <c r="O725" s="24">
        <v>14.566948463569609</v>
      </c>
      <c r="P725">
        <v>45.349410507687168</v>
      </c>
      <c r="Q725" t="s">
        <v>346</v>
      </c>
      <c r="R725" t="s">
        <v>347</v>
      </c>
      <c r="S725" t="s">
        <v>343</v>
      </c>
      <c r="T725" t="s">
        <v>343</v>
      </c>
    </row>
    <row r="726" spans="2:20" x14ac:dyDescent="0.25">
      <c r="B726">
        <v>721</v>
      </c>
      <c r="C726" t="s">
        <v>1065</v>
      </c>
      <c r="D726" s="10">
        <v>0.1701399952756428</v>
      </c>
      <c r="E726" s="10">
        <v>1.158223846542437</v>
      </c>
      <c r="F726" s="10">
        <v>0.51947265887403893</v>
      </c>
      <c r="G726" s="10">
        <v>0.2542895354980822</v>
      </c>
      <c r="H726" s="6">
        <v>0.1243898191703621</v>
      </c>
      <c r="I726" s="10">
        <v>4.3756910169337484</v>
      </c>
      <c r="J726" s="7">
        <v>1.354181114809098E-2</v>
      </c>
      <c r="K726" s="5">
        <v>0.18716709652643251</v>
      </c>
      <c r="L726">
        <v>108.4154391690858</v>
      </c>
      <c r="M726" s="10">
        <v>-0.81636219319797154</v>
      </c>
      <c r="N726" s="24" t="s">
        <v>343</v>
      </c>
      <c r="O726" s="24">
        <v>2.0182684081217128</v>
      </c>
      <c r="P726">
        <v>59.03207520940704</v>
      </c>
      <c r="Q726" t="s">
        <v>47</v>
      </c>
      <c r="R726" t="s">
        <v>350</v>
      </c>
      <c r="S726" t="s">
        <v>343</v>
      </c>
      <c r="T726" t="s">
        <v>343</v>
      </c>
    </row>
    <row r="727" spans="2:20" x14ac:dyDescent="0.25">
      <c r="B727">
        <v>722</v>
      </c>
      <c r="C727" t="s">
        <v>1066</v>
      </c>
      <c r="D727" s="10">
        <v>0.31839363718239122</v>
      </c>
      <c r="E727" s="10">
        <v>1.008231923092701</v>
      </c>
      <c r="F727" s="10">
        <v>0.50198027995990169</v>
      </c>
      <c r="G727" s="10">
        <v>0.45235672285414658</v>
      </c>
      <c r="H727" s="6">
        <v>0.2366535083955274</v>
      </c>
      <c r="I727" s="10">
        <v>4.352025860658479</v>
      </c>
      <c r="J727" s="7">
        <v>2.5867580790318909E-2</v>
      </c>
      <c r="K727" s="5">
        <v>0.1838548676475241</v>
      </c>
      <c r="L727">
        <v>177.40368873128921</v>
      </c>
      <c r="M727" s="10">
        <v>-0.69950751879172257</v>
      </c>
      <c r="N727" s="24" t="s">
        <v>343</v>
      </c>
      <c r="O727" s="24">
        <v>9.0295488724966475</v>
      </c>
      <c r="P727">
        <v>52.93174451357185</v>
      </c>
      <c r="Q727" t="s">
        <v>47</v>
      </c>
      <c r="R727" t="s">
        <v>350</v>
      </c>
      <c r="S727" t="s">
        <v>343</v>
      </c>
      <c r="T727" t="s">
        <v>343</v>
      </c>
    </row>
    <row r="728" spans="2:20" x14ac:dyDescent="0.25">
      <c r="B728">
        <v>723</v>
      </c>
      <c r="C728" t="s">
        <v>1067</v>
      </c>
      <c r="D728" s="10">
        <v>0.21157661519595569</v>
      </c>
      <c r="E728" s="10">
        <v>0.42849354849333487</v>
      </c>
      <c r="F728" s="10">
        <v>0.56691775447708903</v>
      </c>
      <c r="G728" s="10">
        <v>0.27339720010874963</v>
      </c>
      <c r="H728" s="6">
        <v>0.12941999884843361</v>
      </c>
      <c r="I728" s="10">
        <v>5.6981334513053161</v>
      </c>
      <c r="J728" s="7">
        <v>1.9576509245732902E-2</v>
      </c>
      <c r="K728" s="5">
        <v>0.11577448672841199</v>
      </c>
      <c r="L728">
        <v>93.938463318655891</v>
      </c>
      <c r="M728" s="10">
        <v>-0.84088379376219224</v>
      </c>
      <c r="N728" s="24" t="s">
        <v>343</v>
      </c>
      <c r="O728" s="24">
        <v>0.54697237426846357</v>
      </c>
      <c r="P728">
        <v>65.071071549923388</v>
      </c>
      <c r="Q728" t="s">
        <v>47</v>
      </c>
      <c r="R728" t="s">
        <v>350</v>
      </c>
      <c r="S728" t="s">
        <v>343</v>
      </c>
      <c r="T728" t="s">
        <v>343</v>
      </c>
    </row>
    <row r="729" spans="2:20" x14ac:dyDescent="0.25">
      <c r="B729">
        <v>724</v>
      </c>
      <c r="C729" t="s">
        <v>1068</v>
      </c>
      <c r="D729" s="10">
        <v>0.28957991133674149</v>
      </c>
      <c r="E729" s="10">
        <v>0.71110686851461402</v>
      </c>
      <c r="F729" s="10">
        <v>0.49619999517765873</v>
      </c>
      <c r="G729" s="10">
        <v>0.3047817420825788</v>
      </c>
      <c r="H729" s="6">
        <v>0.24576591347960269</v>
      </c>
      <c r="I729" s="10">
        <v>3.8444933381857549</v>
      </c>
      <c r="J729" s="7">
        <v>3.5927335018600501E-2</v>
      </c>
      <c r="K729" s="5">
        <v>0.1164712848531768</v>
      </c>
      <c r="L729">
        <v>122.7040690267802</v>
      </c>
      <c r="M729" s="10">
        <v>-0.79215961956654757</v>
      </c>
      <c r="N729" s="24" t="s">
        <v>343</v>
      </c>
      <c r="O729" s="24">
        <v>3.4704228260071521</v>
      </c>
      <c r="P729">
        <v>56.663390534540447</v>
      </c>
      <c r="Q729" t="s">
        <v>47</v>
      </c>
      <c r="R729" t="s">
        <v>350</v>
      </c>
      <c r="S729" t="s">
        <v>343</v>
      </c>
      <c r="T729" t="s">
        <v>343</v>
      </c>
    </row>
    <row r="730" spans="2:20" x14ac:dyDescent="0.25">
      <c r="B730">
        <v>725</v>
      </c>
      <c r="C730" t="s">
        <v>1069</v>
      </c>
      <c r="D730" s="10">
        <v>0.20074250476220221</v>
      </c>
      <c r="E730" s="10">
        <v>0.45272580680278368</v>
      </c>
      <c r="F730" s="10">
        <v>0.56576293816194489</v>
      </c>
      <c r="G730" s="10">
        <v>0.40887958607435643</v>
      </c>
      <c r="H730" s="6">
        <v>0.25235495173080957</v>
      </c>
      <c r="I730" s="10">
        <v>11.26817953092794</v>
      </c>
      <c r="J730" s="7">
        <v>2.076325670714187E-2</v>
      </c>
      <c r="K730" s="5">
        <v>0.14535348083968649</v>
      </c>
      <c r="L730">
        <v>220.18268946988701</v>
      </c>
      <c r="M730" s="10">
        <v>-0.62704697319944391</v>
      </c>
      <c r="N730" s="24" t="s">
        <v>343</v>
      </c>
      <c r="O730" s="24">
        <v>13.377181608033361</v>
      </c>
      <c r="P730">
        <v>59.153965083848583</v>
      </c>
      <c r="Q730" t="s">
        <v>47</v>
      </c>
      <c r="R730" t="s">
        <v>350</v>
      </c>
      <c r="S730" t="s">
        <v>343</v>
      </c>
      <c r="T730" t="s">
        <v>343</v>
      </c>
    </row>
    <row r="731" spans="2:20" x14ac:dyDescent="0.25">
      <c r="B731">
        <v>726</v>
      </c>
      <c r="C731" t="s">
        <v>1070</v>
      </c>
      <c r="D731" s="10">
        <v>0.26904043555582868</v>
      </c>
      <c r="E731" s="10">
        <v>1.269334005712065</v>
      </c>
      <c r="F731" s="10">
        <v>0.68871769142052863</v>
      </c>
      <c r="G731" s="10">
        <v>0.33012895668109848</v>
      </c>
      <c r="H731" s="6">
        <v>0.23789607635734719</v>
      </c>
      <c r="I731" s="10">
        <v>6.4409191759430211</v>
      </c>
      <c r="J731" s="7">
        <v>3.5226959160353802E-2</v>
      </c>
      <c r="K731" s="5">
        <v>0.1499564320270356</v>
      </c>
      <c r="L731">
        <v>373.21583293152742</v>
      </c>
      <c r="M731" s="10">
        <v>-0.36783416136471442</v>
      </c>
      <c r="N731" s="24" t="s">
        <v>343</v>
      </c>
      <c r="O731" s="24">
        <v>28.92995031811714</v>
      </c>
      <c r="P731">
        <v>22.522455039591481</v>
      </c>
      <c r="Q731" t="s">
        <v>348</v>
      </c>
      <c r="R731" t="s">
        <v>375</v>
      </c>
      <c r="S731" t="s">
        <v>343</v>
      </c>
      <c r="T731" t="s">
        <v>343</v>
      </c>
    </row>
    <row r="732" spans="2:20" x14ac:dyDescent="0.25">
      <c r="B732">
        <v>727</v>
      </c>
      <c r="C732" t="s">
        <v>1071</v>
      </c>
      <c r="D732" s="10">
        <v>0.28163645758234979</v>
      </c>
      <c r="E732" s="10">
        <v>1.124583271120007</v>
      </c>
      <c r="F732" s="10">
        <v>0.65834384926052147</v>
      </c>
      <c r="G732" s="10">
        <v>0.27992226771720718</v>
      </c>
      <c r="H732" s="6">
        <v>0.2431123536616934</v>
      </c>
      <c r="I732" s="10">
        <v>11.02821791096971</v>
      </c>
      <c r="J732" s="7">
        <v>1.6858637897170139E-2</v>
      </c>
      <c r="K732" s="5">
        <v>0.13240732393697721</v>
      </c>
      <c r="L732">
        <v>318.05705824136868</v>
      </c>
      <c r="M732" s="10">
        <v>-0.46126399467646551</v>
      </c>
      <c r="N732" s="24" t="s">
        <v>343</v>
      </c>
      <c r="O732" s="24">
        <v>23.324160319412069</v>
      </c>
      <c r="P732">
        <v>55.749651846869881</v>
      </c>
      <c r="Q732" t="s">
        <v>47</v>
      </c>
      <c r="R732" t="s">
        <v>350</v>
      </c>
      <c r="S732" t="s">
        <v>343</v>
      </c>
      <c r="T732" t="s">
        <v>343</v>
      </c>
    </row>
    <row r="733" spans="2:20" x14ac:dyDescent="0.25">
      <c r="B733">
        <v>728</v>
      </c>
      <c r="C733" t="s">
        <v>1072</v>
      </c>
      <c r="D733" s="10">
        <v>0.25530219849725511</v>
      </c>
      <c r="E733" s="10">
        <v>1.133290465476952</v>
      </c>
      <c r="F733" s="10">
        <v>0.68482403907000577</v>
      </c>
      <c r="G733" s="10">
        <v>0.34279112410815188</v>
      </c>
      <c r="H733" s="6">
        <v>0.20422268494984791</v>
      </c>
      <c r="I733" s="10">
        <v>11.390112144667521</v>
      </c>
      <c r="J733" s="7">
        <v>1.8048804519002912E-2</v>
      </c>
      <c r="K733" s="5">
        <v>0.1297274930846686</v>
      </c>
      <c r="L733">
        <v>399.39469633466308</v>
      </c>
      <c r="M733" s="10">
        <v>-0.32349150042300101</v>
      </c>
      <c r="N733" s="24" t="s">
        <v>343</v>
      </c>
      <c r="O733" s="24">
        <v>31.590509974619941</v>
      </c>
      <c r="P733">
        <v>54.77705703240558</v>
      </c>
      <c r="Q733" t="s">
        <v>47</v>
      </c>
      <c r="R733" t="s">
        <v>350</v>
      </c>
      <c r="S733" t="s">
        <v>343</v>
      </c>
      <c r="T733" t="s">
        <v>343</v>
      </c>
    </row>
    <row r="734" spans="2:20" x14ac:dyDescent="0.25">
      <c r="B734">
        <v>729</v>
      </c>
      <c r="C734" t="s">
        <v>1073</v>
      </c>
      <c r="D734" s="10">
        <v>0.23545219016802529</v>
      </c>
      <c r="E734" s="10">
        <v>1.017482169550898</v>
      </c>
      <c r="F734" s="10">
        <v>0.64964553346031317</v>
      </c>
      <c r="G734" s="10">
        <v>0.36516899356794053</v>
      </c>
      <c r="H734" s="6">
        <v>0.15973274138739779</v>
      </c>
      <c r="I734" s="10">
        <v>5.6127040582349164</v>
      </c>
      <c r="J734" s="7">
        <v>3.821609561545268E-2</v>
      </c>
      <c r="K734" s="5">
        <v>0.14097989253114679</v>
      </c>
      <c r="L734">
        <v>159.56589912060321</v>
      </c>
      <c r="M734" s="10">
        <v>-0.72972178151489031</v>
      </c>
      <c r="N734" s="24" t="s">
        <v>343</v>
      </c>
      <c r="O734" s="24">
        <v>7.2166931091065862</v>
      </c>
      <c r="P734">
        <v>23.522690153339351</v>
      </c>
      <c r="Q734" t="s">
        <v>348</v>
      </c>
      <c r="R734" t="s">
        <v>353</v>
      </c>
      <c r="S734" t="s">
        <v>343</v>
      </c>
      <c r="T734" t="s">
        <v>343</v>
      </c>
    </row>
    <row r="735" spans="2:20" x14ac:dyDescent="0.25">
      <c r="B735">
        <v>730</v>
      </c>
      <c r="C735" t="s">
        <v>1074</v>
      </c>
      <c r="D735" s="10">
        <v>0.22589454626356301</v>
      </c>
      <c r="E735" s="10">
        <v>0.85774789063038059</v>
      </c>
      <c r="F735" s="10">
        <v>0.53223524334603189</v>
      </c>
      <c r="G735" s="10">
        <v>0.33960865404117668</v>
      </c>
      <c r="H735" s="6">
        <v>0.216484650399145</v>
      </c>
      <c r="I735" s="10">
        <v>8.7020000261123265</v>
      </c>
      <c r="J735" s="7">
        <v>2.298827431736673E-2</v>
      </c>
      <c r="K735" s="5">
        <v>0.1655955317329241</v>
      </c>
      <c r="L735">
        <v>128.0577132005179</v>
      </c>
      <c r="M735" s="10">
        <v>-0.78309143258138625</v>
      </c>
      <c r="N735" s="24" t="s">
        <v>343</v>
      </c>
      <c r="O735" s="24">
        <v>4.014514045116826</v>
      </c>
      <c r="P735">
        <v>63.233609053346193</v>
      </c>
      <c r="Q735" t="s">
        <v>47</v>
      </c>
      <c r="R735" t="s">
        <v>350</v>
      </c>
      <c r="S735" t="s">
        <v>343</v>
      </c>
      <c r="T735" t="s">
        <v>343</v>
      </c>
    </row>
    <row r="736" spans="2:20" x14ac:dyDescent="0.25">
      <c r="B736">
        <v>731</v>
      </c>
      <c r="C736" t="s">
        <v>1075</v>
      </c>
      <c r="D736" s="10">
        <v>0.21581892264687921</v>
      </c>
      <c r="E736" s="10">
        <v>0.46496816540984692</v>
      </c>
      <c r="F736" s="10">
        <v>0.65113176202340539</v>
      </c>
      <c r="G736" s="10">
        <v>0.442168136603864</v>
      </c>
      <c r="H736" s="6">
        <v>0.18593124736145419</v>
      </c>
      <c r="I736" s="10">
        <v>8.7155139384325935</v>
      </c>
      <c r="J736" s="7">
        <v>1.391208914616425E-2</v>
      </c>
      <c r="K736" s="5">
        <v>0.10801739513612869</v>
      </c>
      <c r="L736">
        <v>198.61880542522351</v>
      </c>
      <c r="M736" s="10">
        <v>-0.66357262307408293</v>
      </c>
      <c r="N736" s="24" t="s">
        <v>343</v>
      </c>
      <c r="O736" s="24">
        <v>11.185642615555031</v>
      </c>
      <c r="P736">
        <v>54.007408227546797</v>
      </c>
      <c r="Q736" t="s">
        <v>47</v>
      </c>
      <c r="R736" t="s">
        <v>350</v>
      </c>
      <c r="S736" t="s">
        <v>343</v>
      </c>
      <c r="T736" t="s">
        <v>343</v>
      </c>
    </row>
    <row r="737" spans="2:20" x14ac:dyDescent="0.25">
      <c r="B737">
        <v>732</v>
      </c>
      <c r="C737" t="s">
        <v>1076</v>
      </c>
      <c r="D737" s="10">
        <v>0.30872466307965207</v>
      </c>
      <c r="E737" s="10">
        <v>0.66266437537555689</v>
      </c>
      <c r="F737" s="10">
        <v>0.67995809332383561</v>
      </c>
      <c r="G737" s="10">
        <v>0.30263384492189088</v>
      </c>
      <c r="H737" s="6">
        <v>0.12080048413785691</v>
      </c>
      <c r="I737" s="10">
        <v>12.58500853570775</v>
      </c>
      <c r="J737" s="7">
        <v>4.3649133178094282E-2</v>
      </c>
      <c r="K737" s="5">
        <v>0.16750529033367231</v>
      </c>
      <c r="L737">
        <v>181.00509617594071</v>
      </c>
      <c r="M737" s="10">
        <v>-0.69340733075941807</v>
      </c>
      <c r="N737" s="24" t="s">
        <v>343</v>
      </c>
      <c r="O737" s="24">
        <v>9.3955601544349179</v>
      </c>
      <c r="P737">
        <v>44.450853611542968</v>
      </c>
      <c r="Q737" t="s">
        <v>346</v>
      </c>
      <c r="R737" t="s">
        <v>347</v>
      </c>
      <c r="S737" t="s">
        <v>343</v>
      </c>
      <c r="T737" t="s">
        <v>343</v>
      </c>
    </row>
    <row r="738" spans="2:20" x14ac:dyDescent="0.25">
      <c r="B738">
        <v>733</v>
      </c>
      <c r="C738" t="s">
        <v>1077</v>
      </c>
      <c r="D738" s="10">
        <v>0.29289910524603668</v>
      </c>
      <c r="E738" s="10">
        <v>0.4506073717245796</v>
      </c>
      <c r="F738" s="10">
        <v>0.68622930483763411</v>
      </c>
      <c r="G738" s="10">
        <v>0.38549307535392757</v>
      </c>
      <c r="H738" s="6">
        <v>0.19152385596522531</v>
      </c>
      <c r="I738" s="10">
        <v>3.281939350034496</v>
      </c>
      <c r="J738" s="7">
        <v>1.62087254755264E-2</v>
      </c>
      <c r="K738" s="5">
        <v>0.18799282485505281</v>
      </c>
      <c r="L738">
        <v>65.890829703829752</v>
      </c>
      <c r="M738" s="10">
        <v>-0.88839184208527811</v>
      </c>
      <c r="N738" s="24" t="s">
        <v>343</v>
      </c>
      <c r="O738" s="24">
        <v>0</v>
      </c>
      <c r="P738">
        <v>58.762157396965478</v>
      </c>
      <c r="Q738" t="s">
        <v>47</v>
      </c>
      <c r="R738" t="s">
        <v>350</v>
      </c>
      <c r="S738" t="s">
        <v>343</v>
      </c>
      <c r="T738" t="s">
        <v>343</v>
      </c>
    </row>
    <row r="739" spans="2:20" x14ac:dyDescent="0.25">
      <c r="B739">
        <v>734</v>
      </c>
      <c r="C739" t="s">
        <v>1078</v>
      </c>
      <c r="D739" s="10">
        <v>0.31440430570664202</v>
      </c>
      <c r="E739" s="10">
        <v>1.0974044571375769</v>
      </c>
      <c r="F739" s="10">
        <v>0.61763144117809921</v>
      </c>
      <c r="G739" s="10">
        <v>0.26470483871017753</v>
      </c>
      <c r="H739" s="6">
        <v>0.21767818868258179</v>
      </c>
      <c r="I739" s="10">
        <v>6.4848037801369287</v>
      </c>
      <c r="J739" s="7">
        <v>1.525689915316851E-2</v>
      </c>
      <c r="K739" s="5">
        <v>0.17253313733989781</v>
      </c>
      <c r="L739">
        <v>177.05252249634319</v>
      </c>
      <c r="M739" s="10">
        <v>-0.70010233626147267</v>
      </c>
      <c r="N739" s="24" t="s">
        <v>343</v>
      </c>
      <c r="O739" s="24">
        <v>8.9938598243116381</v>
      </c>
      <c r="P739">
        <v>56.820239570610887</v>
      </c>
      <c r="Q739" t="s">
        <v>47</v>
      </c>
      <c r="R739" t="s">
        <v>350</v>
      </c>
      <c r="S739" t="s">
        <v>343</v>
      </c>
      <c r="T739" t="s">
        <v>343</v>
      </c>
    </row>
    <row r="740" spans="2:20" x14ac:dyDescent="0.25">
      <c r="B740">
        <v>735</v>
      </c>
      <c r="C740" t="s">
        <v>1079</v>
      </c>
      <c r="D740" s="10">
        <v>0.1798875557576872</v>
      </c>
      <c r="E740" s="10">
        <v>0.47625165362420552</v>
      </c>
      <c r="F740" s="10">
        <v>0.49495532739192938</v>
      </c>
      <c r="G740" s="10">
        <v>0.32630280068608591</v>
      </c>
      <c r="H740" s="6">
        <v>0.12208254895369811</v>
      </c>
      <c r="I740" s="10">
        <v>12.70738318381723</v>
      </c>
      <c r="J740" s="7">
        <v>2.2543372217306689E-2</v>
      </c>
      <c r="K740" s="5">
        <v>0.1182093013528851</v>
      </c>
      <c r="L740">
        <v>121.0588413535621</v>
      </c>
      <c r="M740" s="10">
        <v>-0.79494636289310061</v>
      </c>
      <c r="N740" s="24" t="s">
        <v>343</v>
      </c>
      <c r="O740" s="24">
        <v>3.3032182264139611</v>
      </c>
      <c r="P740">
        <v>19.028071270721931</v>
      </c>
      <c r="Q740" t="s">
        <v>348</v>
      </c>
      <c r="R740" t="s">
        <v>371</v>
      </c>
      <c r="S740" t="s">
        <v>343</v>
      </c>
      <c r="T740" t="s">
        <v>343</v>
      </c>
    </row>
    <row r="741" spans="2:20" x14ac:dyDescent="0.25">
      <c r="B741">
        <v>736</v>
      </c>
      <c r="C741" t="s">
        <v>1080</v>
      </c>
      <c r="D741" s="10">
        <v>0.27693879603258309</v>
      </c>
      <c r="E741" s="10">
        <v>1.0723249051888539</v>
      </c>
      <c r="F741" s="10">
        <v>0.45032957987481959</v>
      </c>
      <c r="G741" s="10">
        <v>0.40301851534869421</v>
      </c>
      <c r="H741" s="6">
        <v>0.21320405041622359</v>
      </c>
      <c r="I741" s="10">
        <v>5.6048354498831223</v>
      </c>
      <c r="J741" s="7">
        <v>1.3347181923096319E-2</v>
      </c>
      <c r="K741" s="5">
        <v>0.1083107129338285</v>
      </c>
      <c r="L741">
        <v>213.0670139921645</v>
      </c>
      <c r="M741" s="10">
        <v>-0.63909974952594106</v>
      </c>
      <c r="N741" s="24" t="s">
        <v>343</v>
      </c>
      <c r="O741" s="24">
        <v>12.65401502844354</v>
      </c>
      <c r="P741">
        <v>53.676901054103439</v>
      </c>
      <c r="Q741" t="s">
        <v>47</v>
      </c>
      <c r="R741" t="s">
        <v>350</v>
      </c>
      <c r="S741" t="s">
        <v>343</v>
      </c>
      <c r="T741" t="s">
        <v>343</v>
      </c>
    </row>
    <row r="742" spans="2:20" x14ac:dyDescent="0.25">
      <c r="B742">
        <v>737</v>
      </c>
      <c r="C742" t="s">
        <v>1081</v>
      </c>
      <c r="D742" s="10">
        <v>0.31013447309136599</v>
      </c>
      <c r="E742" s="10">
        <v>1.0614809285554949</v>
      </c>
      <c r="F742" s="10">
        <v>0.47827205932164052</v>
      </c>
      <c r="G742" s="10">
        <v>0.28945972692968241</v>
      </c>
      <c r="H742" s="6">
        <v>0.21787978593252841</v>
      </c>
      <c r="I742" s="10">
        <v>4.5056798872109978</v>
      </c>
      <c r="J742" s="7">
        <v>1.544657315829091E-2</v>
      </c>
      <c r="K742" s="5">
        <v>0.1465861388540062</v>
      </c>
      <c r="L742">
        <v>86.089895549506565</v>
      </c>
      <c r="M742" s="10">
        <v>-0.85417796830698023</v>
      </c>
      <c r="N742" s="24" t="s">
        <v>343</v>
      </c>
      <c r="O742" s="24">
        <v>0</v>
      </c>
      <c r="P742">
        <v>58.752197389763367</v>
      </c>
      <c r="Q742" t="s">
        <v>47</v>
      </c>
      <c r="R742" t="s">
        <v>350</v>
      </c>
      <c r="S742" t="s">
        <v>343</v>
      </c>
      <c r="T742" t="s">
        <v>343</v>
      </c>
    </row>
    <row r="743" spans="2:20" x14ac:dyDescent="0.25">
      <c r="B743">
        <v>738</v>
      </c>
      <c r="C743" t="s">
        <v>1082</v>
      </c>
      <c r="D743" s="10">
        <v>0.18899729058650561</v>
      </c>
      <c r="E743" s="10">
        <v>0.80523492689041776</v>
      </c>
      <c r="F743" s="10">
        <v>0.69104219865242578</v>
      </c>
      <c r="G743" s="10">
        <v>0.36974963004397082</v>
      </c>
      <c r="H743" s="6">
        <v>0.1437161367358345</v>
      </c>
      <c r="I743" s="10">
        <v>9.3375300444562725</v>
      </c>
      <c r="J743" s="7">
        <v>3.9625560913723233E-2</v>
      </c>
      <c r="K743" s="5">
        <v>0.1908585784720038</v>
      </c>
      <c r="L743">
        <v>171.46468437906489</v>
      </c>
      <c r="M743" s="10">
        <v>-0.70956720901839987</v>
      </c>
      <c r="N743" s="24" t="s">
        <v>343</v>
      </c>
      <c r="O743" s="24">
        <v>8.425967458896011</v>
      </c>
      <c r="P743">
        <v>17.09497085305458</v>
      </c>
      <c r="Q743" t="s">
        <v>348</v>
      </c>
      <c r="R743" t="s">
        <v>353</v>
      </c>
      <c r="S743" t="s">
        <v>343</v>
      </c>
      <c r="T743" t="s">
        <v>343</v>
      </c>
    </row>
    <row r="744" spans="2:20" x14ac:dyDescent="0.25">
      <c r="B744">
        <v>739</v>
      </c>
      <c r="C744" t="s">
        <v>1083</v>
      </c>
      <c r="D744" s="10">
        <v>0.17063940277868439</v>
      </c>
      <c r="E744" s="10">
        <v>0.44875151952985748</v>
      </c>
      <c r="F744" s="10">
        <v>0.56014517429012001</v>
      </c>
      <c r="G744" s="10">
        <v>0.27375614642599327</v>
      </c>
      <c r="H744" s="6">
        <v>0.1846611277734764</v>
      </c>
      <c r="I744" s="10">
        <v>6.3646443812410878</v>
      </c>
      <c r="J744" s="7">
        <v>1.6002739949838401E-2</v>
      </c>
      <c r="K744" s="5">
        <v>0.177810632301938</v>
      </c>
      <c r="L744">
        <v>51.432598237641713</v>
      </c>
      <c r="M744" s="10">
        <v>-0.91288169276554854</v>
      </c>
      <c r="N744" s="24" t="s">
        <v>343</v>
      </c>
      <c r="O744" s="24">
        <v>0</v>
      </c>
      <c r="P744">
        <v>63.666744941427503</v>
      </c>
      <c r="Q744" t="s">
        <v>47</v>
      </c>
      <c r="R744" t="s">
        <v>350</v>
      </c>
      <c r="S744" t="s">
        <v>343</v>
      </c>
      <c r="T744" t="s">
        <v>343</v>
      </c>
    </row>
    <row r="745" spans="2:20" x14ac:dyDescent="0.25">
      <c r="B745">
        <v>740</v>
      </c>
      <c r="C745" t="s">
        <v>1084</v>
      </c>
      <c r="D745" s="10">
        <v>0.27857930388640939</v>
      </c>
      <c r="E745" s="10">
        <v>0.64628090874744037</v>
      </c>
      <c r="F745" s="10">
        <v>0.66229636385633495</v>
      </c>
      <c r="G745" s="10">
        <v>0.26259437209950159</v>
      </c>
      <c r="H745" s="6">
        <v>0.26464989013336992</v>
      </c>
      <c r="I745" s="10">
        <v>8.1402394259677813</v>
      </c>
      <c r="J745" s="7">
        <v>1.389993847818884E-2</v>
      </c>
      <c r="K745" s="5">
        <v>0.1534596957062343</v>
      </c>
      <c r="L745">
        <v>119.202244421055</v>
      </c>
      <c r="M745" s="10">
        <v>-0.79809113075470794</v>
      </c>
      <c r="N745" s="24" t="s">
        <v>343</v>
      </c>
      <c r="O745" s="24">
        <v>3.11453215471753</v>
      </c>
      <c r="P745">
        <v>50.75830964545117</v>
      </c>
      <c r="Q745" t="s">
        <v>47</v>
      </c>
      <c r="R745" t="s">
        <v>350</v>
      </c>
      <c r="S745" t="s">
        <v>343</v>
      </c>
      <c r="T745" t="s">
        <v>343</v>
      </c>
    </row>
    <row r="746" spans="2:20" x14ac:dyDescent="0.25">
      <c r="B746">
        <v>741</v>
      </c>
      <c r="C746" t="s">
        <v>1085</v>
      </c>
      <c r="D746" s="10">
        <v>0.25191569810878589</v>
      </c>
      <c r="E746" s="10">
        <v>0.65210241998310647</v>
      </c>
      <c r="F746" s="10">
        <v>0.56091147992515566</v>
      </c>
      <c r="G746" s="10">
        <v>0.35511120476350938</v>
      </c>
      <c r="H746" s="6">
        <v>0.25262838416996741</v>
      </c>
      <c r="I746" s="10">
        <v>12.0201404220921</v>
      </c>
      <c r="J746" s="7">
        <v>4.0798513790844183E-2</v>
      </c>
      <c r="K746" s="5">
        <v>0.1135832352246713</v>
      </c>
      <c r="L746">
        <v>234.3408249265224</v>
      </c>
      <c r="M746" s="10">
        <v>-0.60306543548130009</v>
      </c>
      <c r="N746" s="24" t="s">
        <v>343</v>
      </c>
      <c r="O746" s="24">
        <v>14.81607387112199</v>
      </c>
      <c r="P746">
        <v>59.080167021073272</v>
      </c>
      <c r="Q746" t="s">
        <v>47</v>
      </c>
      <c r="R746" t="s">
        <v>350</v>
      </c>
      <c r="S746" t="s">
        <v>343</v>
      </c>
      <c r="T746" t="s">
        <v>343</v>
      </c>
    </row>
    <row r="747" spans="2:20" x14ac:dyDescent="0.25">
      <c r="B747">
        <v>742</v>
      </c>
      <c r="C747" t="s">
        <v>1086</v>
      </c>
      <c r="D747" s="10">
        <v>0.29469260428132349</v>
      </c>
      <c r="E747" s="10">
        <v>1.0704236464576229</v>
      </c>
      <c r="F747" s="10">
        <v>0.61181257169955816</v>
      </c>
      <c r="G747" s="10">
        <v>0.3885024191389263</v>
      </c>
      <c r="H747" s="6">
        <v>0.18162321342873791</v>
      </c>
      <c r="I747" s="10">
        <v>8.7276667259136911</v>
      </c>
      <c r="J747" s="7">
        <v>2.5532877783935221E-2</v>
      </c>
      <c r="K747" s="5">
        <v>0.16781449430060161</v>
      </c>
      <c r="L747">
        <v>263.53248754844901</v>
      </c>
      <c r="M747" s="10">
        <v>-0.55361959140336614</v>
      </c>
      <c r="N747" s="24" t="s">
        <v>343</v>
      </c>
      <c r="O747" s="24">
        <v>17.78282451579803</v>
      </c>
      <c r="P747">
        <v>65.658375468110236</v>
      </c>
      <c r="Q747" t="s">
        <v>47</v>
      </c>
      <c r="R747" t="s">
        <v>350</v>
      </c>
      <c r="S747" t="s">
        <v>343</v>
      </c>
      <c r="T747" t="s">
        <v>343</v>
      </c>
    </row>
    <row r="748" spans="2:20" x14ac:dyDescent="0.25">
      <c r="B748">
        <v>743</v>
      </c>
      <c r="C748" t="s">
        <v>1087</v>
      </c>
      <c r="D748" s="10">
        <v>0.1823635802602063</v>
      </c>
      <c r="E748" s="10">
        <v>0.42511732135509672</v>
      </c>
      <c r="F748" s="10">
        <v>0.44627660205180669</v>
      </c>
      <c r="G748" s="10">
        <v>0.26494075457158628</v>
      </c>
      <c r="H748" s="6">
        <v>0.17247694020362331</v>
      </c>
      <c r="I748" s="10">
        <v>8.6747876092640919</v>
      </c>
      <c r="J748" s="7">
        <v>1.5500702949434959E-2</v>
      </c>
      <c r="K748" s="5">
        <v>0.17723483266771869</v>
      </c>
      <c r="L748">
        <v>87.662529028239589</v>
      </c>
      <c r="M748" s="10">
        <v>-0.85151418752860264</v>
      </c>
      <c r="N748" s="24" t="s">
        <v>343</v>
      </c>
      <c r="O748" s="24">
        <v>0</v>
      </c>
      <c r="P748">
        <v>63.589100214683697</v>
      </c>
      <c r="Q748" t="s">
        <v>47</v>
      </c>
      <c r="R748" t="s">
        <v>350</v>
      </c>
      <c r="S748" t="s">
        <v>343</v>
      </c>
      <c r="T748" t="s">
        <v>343</v>
      </c>
    </row>
    <row r="749" spans="2:20" x14ac:dyDescent="0.25">
      <c r="B749">
        <v>744</v>
      </c>
      <c r="C749" t="s">
        <v>1088</v>
      </c>
      <c r="D749" s="10">
        <v>0.28724276989758252</v>
      </c>
      <c r="E749" s="10">
        <v>1.2119755108376999</v>
      </c>
      <c r="F749" s="10">
        <v>0.50496488510703541</v>
      </c>
      <c r="G749" s="10">
        <v>0.44191077552204128</v>
      </c>
      <c r="H749" s="6">
        <v>0.13861210214652839</v>
      </c>
      <c r="I749" s="10">
        <v>6.0600094326493021</v>
      </c>
      <c r="J749" s="7">
        <v>3.035311006765818E-2</v>
      </c>
      <c r="K749" s="5">
        <v>0.18883156796045511</v>
      </c>
      <c r="L749">
        <v>180.26921210457121</v>
      </c>
      <c r="M749" s="10">
        <v>-0.6946537965576709</v>
      </c>
      <c r="N749" s="24" t="s">
        <v>343</v>
      </c>
      <c r="O749" s="24">
        <v>9.3207722065397469</v>
      </c>
      <c r="P749">
        <v>49.73142043266153</v>
      </c>
      <c r="Q749" t="s">
        <v>346</v>
      </c>
      <c r="R749" t="s">
        <v>347</v>
      </c>
      <c r="S749" t="s">
        <v>343</v>
      </c>
      <c r="T749" t="s">
        <v>343</v>
      </c>
    </row>
    <row r="750" spans="2:20" x14ac:dyDescent="0.25">
      <c r="B750">
        <v>745</v>
      </c>
      <c r="C750" t="s">
        <v>1089</v>
      </c>
      <c r="D750" s="10">
        <v>0.19226037120763911</v>
      </c>
      <c r="E750" s="10">
        <v>1.1371080192045051</v>
      </c>
      <c r="F750" s="10">
        <v>0.55343001281107318</v>
      </c>
      <c r="G750" s="10">
        <v>0.28966989779344271</v>
      </c>
      <c r="H750" s="6">
        <v>0.12527836268102399</v>
      </c>
      <c r="I750" s="10">
        <v>11.721521209251909</v>
      </c>
      <c r="J750" s="7">
        <v>1.1452704395657161E-2</v>
      </c>
      <c r="K750" s="5">
        <v>0.15815104224519189</v>
      </c>
      <c r="L750">
        <v>154.23188733701511</v>
      </c>
      <c r="M750" s="10">
        <v>-0.73875671448109481</v>
      </c>
      <c r="N750" s="24" t="s">
        <v>343</v>
      </c>
      <c r="O750" s="24">
        <v>6.6745971311343126</v>
      </c>
      <c r="P750">
        <v>52.293256530514469</v>
      </c>
      <c r="Q750" t="s">
        <v>47</v>
      </c>
      <c r="R750" t="s">
        <v>350</v>
      </c>
      <c r="S750" t="s">
        <v>343</v>
      </c>
      <c r="T750" t="s">
        <v>343</v>
      </c>
    </row>
    <row r="751" spans="2:20" x14ac:dyDescent="0.25">
      <c r="B751">
        <v>746</v>
      </c>
      <c r="C751" t="s">
        <v>1090</v>
      </c>
      <c r="D751" s="10">
        <v>0.18618495085851269</v>
      </c>
      <c r="E751" s="10">
        <v>0.50493760999170134</v>
      </c>
      <c r="F751" s="10">
        <v>0.60396407226008242</v>
      </c>
      <c r="G751" s="10">
        <v>0.266394567795046</v>
      </c>
      <c r="H751" s="6">
        <v>0.1646194166163118</v>
      </c>
      <c r="I751" s="10">
        <v>11.13796086452728</v>
      </c>
      <c r="J751" s="7">
        <v>2.4958389412034411E-2</v>
      </c>
      <c r="K751" s="5">
        <v>0.1488742523913138</v>
      </c>
      <c r="L751">
        <v>110.0220773201566</v>
      </c>
      <c r="M751" s="10">
        <v>-0.81364081413380562</v>
      </c>
      <c r="N751" s="24" t="s">
        <v>343</v>
      </c>
      <c r="O751" s="24">
        <v>2.1815511519716608</v>
      </c>
      <c r="P751">
        <v>73.169831255918666</v>
      </c>
      <c r="Q751" t="s">
        <v>47</v>
      </c>
      <c r="R751" t="s">
        <v>350</v>
      </c>
      <c r="S751" t="s">
        <v>343</v>
      </c>
      <c r="T751" t="s">
        <v>343</v>
      </c>
    </row>
    <row r="752" spans="2:20" x14ac:dyDescent="0.25">
      <c r="B752">
        <v>747</v>
      </c>
      <c r="C752" t="s">
        <v>1091</v>
      </c>
      <c r="D752" s="10">
        <v>0.18628252766895889</v>
      </c>
      <c r="E752" s="10">
        <v>1.0910808199567781</v>
      </c>
      <c r="F752" s="10">
        <v>0.48459550889382641</v>
      </c>
      <c r="G752" s="10">
        <v>0.28459375983704632</v>
      </c>
      <c r="H752" s="6">
        <v>0.26104250206233581</v>
      </c>
      <c r="I752" s="10">
        <v>5.5753256612443778</v>
      </c>
      <c r="J752" s="7">
        <v>3.0660983923137021E-2</v>
      </c>
      <c r="K752" s="5">
        <v>0.15882229413892951</v>
      </c>
      <c r="L752">
        <v>125.68151453729359</v>
      </c>
      <c r="M752" s="10">
        <v>-0.78711631975967711</v>
      </c>
      <c r="N752" s="24" t="s">
        <v>343</v>
      </c>
      <c r="O752" s="24">
        <v>3.7730208144193682</v>
      </c>
      <c r="P752">
        <v>57.945623418255259</v>
      </c>
      <c r="Q752" t="s">
        <v>47</v>
      </c>
      <c r="R752" t="s">
        <v>350</v>
      </c>
      <c r="S752" t="s">
        <v>343</v>
      </c>
      <c r="T752" t="s">
        <v>343</v>
      </c>
    </row>
    <row r="753" spans="2:20" x14ac:dyDescent="0.25">
      <c r="B753">
        <v>748</v>
      </c>
      <c r="C753" t="s">
        <v>1092</v>
      </c>
      <c r="D753" s="10">
        <v>0.29033195523702121</v>
      </c>
      <c r="E753" s="10">
        <v>1.0353644996146041</v>
      </c>
      <c r="F753" s="10">
        <v>0.63878338071032736</v>
      </c>
      <c r="G753" s="10">
        <v>0.27730594043700518</v>
      </c>
      <c r="H753" s="6">
        <v>0.26379201770005012</v>
      </c>
      <c r="I753" s="10">
        <v>6.5200497168335207</v>
      </c>
      <c r="J753" s="7">
        <v>4.3499201059145801E-2</v>
      </c>
      <c r="K753" s="5">
        <v>0.18960898794256181</v>
      </c>
      <c r="L753">
        <v>89.020569002874865</v>
      </c>
      <c r="M753" s="10">
        <v>-0.84921389262224189</v>
      </c>
      <c r="N753" s="24" t="s">
        <v>343</v>
      </c>
      <c r="O753" s="24">
        <v>4.716644266548542E-2</v>
      </c>
      <c r="P753">
        <v>45.556029406733003</v>
      </c>
      <c r="Q753" t="s">
        <v>346</v>
      </c>
      <c r="R753" t="s">
        <v>347</v>
      </c>
      <c r="S753" t="s">
        <v>343</v>
      </c>
      <c r="T753" t="s">
        <v>343</v>
      </c>
    </row>
    <row r="754" spans="2:20" x14ac:dyDescent="0.25">
      <c r="B754">
        <v>749</v>
      </c>
      <c r="C754" t="s">
        <v>1093</v>
      </c>
      <c r="D754" s="10">
        <v>0.26643155531139201</v>
      </c>
      <c r="E754" s="10">
        <v>1.1229328801220191</v>
      </c>
      <c r="F754" s="10">
        <v>0.53474522359542165</v>
      </c>
      <c r="G754" s="10">
        <v>0.25994842313484878</v>
      </c>
      <c r="H754" s="6">
        <v>0.2418779010864415</v>
      </c>
      <c r="I754" s="10">
        <v>11.674910122906949</v>
      </c>
      <c r="J754" s="7">
        <v>2.14262667324659E-2</v>
      </c>
      <c r="K754" s="5">
        <v>0.15967207318646201</v>
      </c>
      <c r="L754">
        <v>80.271583072670481</v>
      </c>
      <c r="M754" s="10">
        <v>-0.86403322647614811</v>
      </c>
      <c r="N754" s="24" t="s">
        <v>343</v>
      </c>
      <c r="O754" s="24">
        <v>0</v>
      </c>
      <c r="P754">
        <v>46.376813313406608</v>
      </c>
      <c r="Q754" t="s">
        <v>346</v>
      </c>
      <c r="R754" t="s">
        <v>347</v>
      </c>
      <c r="S754" t="s">
        <v>343</v>
      </c>
      <c r="T754" t="s">
        <v>343</v>
      </c>
    </row>
    <row r="755" spans="2:20" x14ac:dyDescent="0.25">
      <c r="B755">
        <v>750</v>
      </c>
      <c r="C755" t="s">
        <v>1094</v>
      </c>
      <c r="D755" s="10">
        <v>0.2436904679630591</v>
      </c>
      <c r="E755" s="10">
        <v>0.50782141099356393</v>
      </c>
      <c r="F755" s="10">
        <v>0.6525331700008099</v>
      </c>
      <c r="G755" s="10">
        <v>0.41552463165131559</v>
      </c>
      <c r="H755" s="6">
        <v>0.1726237220279789</v>
      </c>
      <c r="I755" s="10">
        <v>6.9348958200759894</v>
      </c>
      <c r="J755" s="7">
        <v>3.677678837877555E-2</v>
      </c>
      <c r="K755" s="5">
        <v>0.1244712256924022</v>
      </c>
      <c r="L755">
        <v>212.76672618475109</v>
      </c>
      <c r="M755" s="10">
        <v>-0.6396083873618934</v>
      </c>
      <c r="N755" s="24" t="s">
        <v>343</v>
      </c>
      <c r="O755" s="24">
        <v>12.6234967582864</v>
      </c>
      <c r="P755">
        <v>60.804351472165663</v>
      </c>
      <c r="Q755" t="s">
        <v>47</v>
      </c>
      <c r="R755" t="s">
        <v>350</v>
      </c>
      <c r="S755" t="s">
        <v>343</v>
      </c>
      <c r="T755" t="s">
        <v>343</v>
      </c>
    </row>
    <row r="756" spans="2:20" x14ac:dyDescent="0.25">
      <c r="B756">
        <v>751</v>
      </c>
      <c r="C756" t="s">
        <v>1095</v>
      </c>
      <c r="D756" s="10">
        <v>0.2174128774597604</v>
      </c>
      <c r="E756" s="10">
        <v>0.47334935437211539</v>
      </c>
      <c r="F756" s="10">
        <v>0.46547196350271752</v>
      </c>
      <c r="G756" s="10">
        <v>0.3490183104437044</v>
      </c>
      <c r="H756" s="6">
        <v>0.14154396493231669</v>
      </c>
      <c r="I756" s="10">
        <v>7.4391557748240871</v>
      </c>
      <c r="J756" s="7">
        <v>1.4644493486679519E-2</v>
      </c>
      <c r="K756" s="5">
        <v>0.1604343837545229</v>
      </c>
      <c r="L756">
        <v>160.55705788914929</v>
      </c>
      <c r="M756" s="10">
        <v>-0.72804292263793169</v>
      </c>
      <c r="N756" s="24" t="s">
        <v>343</v>
      </c>
      <c r="O756" s="24">
        <v>7.3174246417240951</v>
      </c>
      <c r="P756">
        <v>68.418305917578365</v>
      </c>
      <c r="Q756" t="s">
        <v>47</v>
      </c>
      <c r="R756" t="s">
        <v>350</v>
      </c>
      <c r="S756" t="s">
        <v>343</v>
      </c>
      <c r="T756" t="s">
        <v>343</v>
      </c>
    </row>
    <row r="757" spans="2:20" x14ac:dyDescent="0.25">
      <c r="B757">
        <v>752</v>
      </c>
      <c r="C757" t="s">
        <v>1096</v>
      </c>
      <c r="D757" s="10">
        <v>0.30035208653009732</v>
      </c>
      <c r="E757" s="10">
        <v>0.56013238451502967</v>
      </c>
      <c r="F757" s="10">
        <v>0.6167367127974166</v>
      </c>
      <c r="G757" s="10">
        <v>0.32547427688331021</v>
      </c>
      <c r="H757" s="6">
        <v>0.20933002134085191</v>
      </c>
      <c r="I757" s="10">
        <v>7.0085349838121767</v>
      </c>
      <c r="J757" s="7">
        <v>2.5175382251189999E-2</v>
      </c>
      <c r="K757" s="5">
        <v>0.18357573441614769</v>
      </c>
      <c r="L757">
        <v>126.74164356224919</v>
      </c>
      <c r="M757" s="10">
        <v>-0.78532063668573404</v>
      </c>
      <c r="N757" s="24" t="s">
        <v>343</v>
      </c>
      <c r="O757" s="24">
        <v>3.8807617988559642</v>
      </c>
      <c r="P757">
        <v>56.703872812829196</v>
      </c>
      <c r="Q757" t="s">
        <v>47</v>
      </c>
      <c r="R757" t="s">
        <v>350</v>
      </c>
      <c r="S757" t="s">
        <v>343</v>
      </c>
      <c r="T757" t="s">
        <v>343</v>
      </c>
    </row>
    <row r="758" spans="2:20" x14ac:dyDescent="0.25">
      <c r="B758">
        <v>753</v>
      </c>
      <c r="C758" t="s">
        <v>1097</v>
      </c>
      <c r="D758" s="10">
        <v>0.22279121718762171</v>
      </c>
      <c r="E758" s="10">
        <v>0.70245887346387315</v>
      </c>
      <c r="F758" s="10">
        <v>0.5162653666336926</v>
      </c>
      <c r="G758" s="10">
        <v>0.4491381439365093</v>
      </c>
      <c r="H758" s="6">
        <v>0.2169757510809272</v>
      </c>
      <c r="I758" s="10">
        <v>4.7779577916962808</v>
      </c>
      <c r="J758" s="7">
        <v>1.780971554581641E-2</v>
      </c>
      <c r="K758" s="5">
        <v>0.15386519271662161</v>
      </c>
      <c r="L758">
        <v>151.93413155531951</v>
      </c>
      <c r="M758" s="10">
        <v>-0.742648732403553</v>
      </c>
      <c r="N758" s="24" t="s">
        <v>343</v>
      </c>
      <c r="O758" s="24">
        <v>6.441076055786823</v>
      </c>
      <c r="P758">
        <v>63.333667214508083</v>
      </c>
      <c r="Q758" t="s">
        <v>47</v>
      </c>
      <c r="R758" t="s">
        <v>350</v>
      </c>
      <c r="S758" t="s">
        <v>343</v>
      </c>
      <c r="T758" t="s">
        <v>343</v>
      </c>
    </row>
    <row r="759" spans="2:20" x14ac:dyDescent="0.25">
      <c r="B759">
        <v>754</v>
      </c>
      <c r="C759" t="s">
        <v>1098</v>
      </c>
      <c r="D759" s="10">
        <v>0.29065591031545229</v>
      </c>
      <c r="E759" s="10">
        <v>1.173031479139381</v>
      </c>
      <c r="F759" s="10">
        <v>0.64679962527188062</v>
      </c>
      <c r="G759" s="10">
        <v>0.32162184515425402</v>
      </c>
      <c r="H759" s="6">
        <v>0.18368603538684061</v>
      </c>
      <c r="I759" s="10">
        <v>6.7498618859119874</v>
      </c>
      <c r="J759" s="7">
        <v>2.7236374255673091E-2</v>
      </c>
      <c r="K759" s="5">
        <v>0.14775638866092219</v>
      </c>
      <c r="L759">
        <v>250.4999244663461</v>
      </c>
      <c r="M759" s="10">
        <v>-0.57569459584691118</v>
      </c>
      <c r="N759" s="24" t="s">
        <v>343</v>
      </c>
      <c r="O759" s="24">
        <v>16.458324249185331</v>
      </c>
      <c r="P759">
        <v>65.722995233683605</v>
      </c>
      <c r="Q759" t="s">
        <v>47</v>
      </c>
      <c r="R759" t="s">
        <v>350</v>
      </c>
      <c r="S759" t="s">
        <v>343</v>
      </c>
      <c r="T759" t="s">
        <v>343</v>
      </c>
    </row>
    <row r="760" spans="2:20" x14ac:dyDescent="0.25">
      <c r="B760">
        <v>755</v>
      </c>
      <c r="C760" t="s">
        <v>1099</v>
      </c>
      <c r="D760" s="10">
        <v>0.23026158537123501</v>
      </c>
      <c r="E760" s="10">
        <v>1.1117163312267351</v>
      </c>
      <c r="F760" s="10">
        <v>0.54456431103102676</v>
      </c>
      <c r="G760" s="10">
        <v>0.27673399973038171</v>
      </c>
      <c r="H760" s="6">
        <v>0.22374701933379601</v>
      </c>
      <c r="I760" s="10">
        <v>11.832288334141889</v>
      </c>
      <c r="J760" s="7">
        <v>2.4603115060305741E-2</v>
      </c>
      <c r="K760" s="5">
        <v>0.1696700787027389</v>
      </c>
      <c r="L760">
        <v>221.88578918789921</v>
      </c>
      <c r="M760" s="10">
        <v>-0.62416220420917923</v>
      </c>
      <c r="N760" s="24" t="s">
        <v>343</v>
      </c>
      <c r="O760" s="24">
        <v>13.550267747449251</v>
      </c>
      <c r="P760">
        <v>54.896446576052803</v>
      </c>
      <c r="Q760" t="s">
        <v>47</v>
      </c>
      <c r="R760" t="s">
        <v>350</v>
      </c>
      <c r="S760" t="s">
        <v>343</v>
      </c>
      <c r="T760" t="s">
        <v>343</v>
      </c>
    </row>
    <row r="761" spans="2:20" x14ac:dyDescent="0.25">
      <c r="B761">
        <v>756</v>
      </c>
      <c r="C761" t="s">
        <v>1100</v>
      </c>
      <c r="D761" s="10">
        <v>0.2203111087079852</v>
      </c>
      <c r="E761" s="10">
        <v>1.317996751506386</v>
      </c>
      <c r="F761" s="10">
        <v>0.61299090438852721</v>
      </c>
      <c r="G761" s="10">
        <v>0.30028943622385118</v>
      </c>
      <c r="H761" s="6">
        <v>0.23200228284776031</v>
      </c>
      <c r="I761" s="10">
        <v>8.4018288981479827</v>
      </c>
      <c r="J761" s="7">
        <v>4.4292476748596973E-2</v>
      </c>
      <c r="K761" s="5">
        <v>0.1627939260387572</v>
      </c>
      <c r="L761">
        <v>249.42774768732949</v>
      </c>
      <c r="M761" s="10">
        <v>-0.57751068582184184</v>
      </c>
      <c r="N761" s="24" t="s">
        <v>343</v>
      </c>
      <c r="O761" s="24">
        <v>16.349358850689491</v>
      </c>
      <c r="P761">
        <v>61.091708517959567</v>
      </c>
      <c r="Q761" t="s">
        <v>47</v>
      </c>
      <c r="R761" t="s">
        <v>350</v>
      </c>
      <c r="S761" t="s">
        <v>343</v>
      </c>
      <c r="T761" t="s">
        <v>343</v>
      </c>
    </row>
    <row r="762" spans="2:20" x14ac:dyDescent="0.25">
      <c r="B762">
        <v>757</v>
      </c>
      <c r="C762" t="s">
        <v>1101</v>
      </c>
      <c r="D762" s="10">
        <v>0.23402876570713699</v>
      </c>
      <c r="E762" s="10">
        <v>0.36449251500847701</v>
      </c>
      <c r="F762" s="10">
        <v>0.68291936984548307</v>
      </c>
      <c r="G762" s="10">
        <v>0.29257263738949119</v>
      </c>
      <c r="H762" s="6">
        <v>0.237459249536217</v>
      </c>
      <c r="I762" s="10">
        <v>8.0403923160356641</v>
      </c>
      <c r="J762" s="7">
        <v>4.2112429927222562E-2</v>
      </c>
      <c r="K762" s="5">
        <v>0.1053853219006005</v>
      </c>
      <c r="L762">
        <v>143.69968740001869</v>
      </c>
      <c r="M762" s="10">
        <v>-0.75659651766829605</v>
      </c>
      <c r="N762" s="24" t="s">
        <v>343</v>
      </c>
      <c r="O762" s="24">
        <v>5.6042089399022359</v>
      </c>
      <c r="P762">
        <v>57.233496805056141</v>
      </c>
      <c r="Q762" t="s">
        <v>47</v>
      </c>
      <c r="R762" t="s">
        <v>350</v>
      </c>
      <c r="S762" t="s">
        <v>343</v>
      </c>
      <c r="T762" t="s">
        <v>343</v>
      </c>
    </row>
    <row r="763" spans="2:20" x14ac:dyDescent="0.25">
      <c r="B763">
        <v>758</v>
      </c>
      <c r="C763" t="s">
        <v>1102</v>
      </c>
      <c r="D763" s="10">
        <v>0.20822045986626281</v>
      </c>
      <c r="E763" s="10">
        <v>0.31271190911560409</v>
      </c>
      <c r="F763" s="10">
        <v>0.44536292432357871</v>
      </c>
      <c r="G763" s="10">
        <v>0.34972308150392711</v>
      </c>
      <c r="H763" s="6">
        <v>0.1953447167036261</v>
      </c>
      <c r="I763" s="10">
        <v>4.7198629390341269</v>
      </c>
      <c r="J763" s="7">
        <v>3.0377206488311301E-2</v>
      </c>
      <c r="K763" s="5">
        <v>0.16890455838525589</v>
      </c>
      <c r="L763">
        <v>53.793154101822218</v>
      </c>
      <c r="M763" s="10">
        <v>-0.90888330189932054</v>
      </c>
      <c r="N763" s="24" t="s">
        <v>343</v>
      </c>
      <c r="O763" s="24">
        <v>0</v>
      </c>
      <c r="P763">
        <v>63.569372884362913</v>
      </c>
      <c r="Q763" t="s">
        <v>47</v>
      </c>
      <c r="R763" t="s">
        <v>350</v>
      </c>
      <c r="S763" t="s">
        <v>343</v>
      </c>
      <c r="T763" t="s">
        <v>343</v>
      </c>
    </row>
    <row r="764" spans="2:20" x14ac:dyDescent="0.25">
      <c r="B764">
        <v>759</v>
      </c>
      <c r="C764" t="s">
        <v>1103</v>
      </c>
      <c r="D764" s="10">
        <v>0.27961750082820019</v>
      </c>
      <c r="E764" s="10">
        <v>1.0690527126708791</v>
      </c>
      <c r="F764" s="10">
        <v>0.44289036340693722</v>
      </c>
      <c r="G764" s="10">
        <v>0.30413112727000619</v>
      </c>
      <c r="H764" s="6">
        <v>0.23874611663396</v>
      </c>
      <c r="I764" s="10">
        <v>4.9532682238358126</v>
      </c>
      <c r="J764" s="7">
        <v>1.6177842227029199E-2</v>
      </c>
      <c r="K764" s="5">
        <v>0.13871719585817799</v>
      </c>
      <c r="L764">
        <v>99.259926000980656</v>
      </c>
      <c r="M764" s="10">
        <v>-0.83187011689614299</v>
      </c>
      <c r="N764" s="24" t="s">
        <v>343</v>
      </c>
      <c r="O764" s="24">
        <v>1.0877929862314279</v>
      </c>
      <c r="P764">
        <v>55.01625819891467</v>
      </c>
      <c r="Q764" t="s">
        <v>47</v>
      </c>
      <c r="R764" t="s">
        <v>350</v>
      </c>
      <c r="S764" t="s">
        <v>343</v>
      </c>
      <c r="T764" t="s">
        <v>343</v>
      </c>
    </row>
    <row r="765" spans="2:20" x14ac:dyDescent="0.25">
      <c r="B765">
        <v>760</v>
      </c>
      <c r="C765" t="s">
        <v>1104</v>
      </c>
      <c r="D765" s="10">
        <v>0.24043526241479671</v>
      </c>
      <c r="E765" s="10">
        <v>0.60721624537358221</v>
      </c>
      <c r="F765" s="10">
        <v>0.64027260556594545</v>
      </c>
      <c r="G765" s="10">
        <v>0.3535334578809996</v>
      </c>
      <c r="H765" s="6">
        <v>0.1238214639404185</v>
      </c>
      <c r="I765" s="10">
        <v>3.4724518078513098</v>
      </c>
      <c r="J765" s="7">
        <v>2.9493494699766011E-2</v>
      </c>
      <c r="K765" s="5">
        <v>0.18938533660292001</v>
      </c>
      <c r="L765">
        <v>50.244046519192437</v>
      </c>
      <c r="M765" s="10">
        <v>-0.91489490262310769</v>
      </c>
      <c r="N765" s="24" t="s">
        <v>343</v>
      </c>
      <c r="O765" s="24">
        <v>0</v>
      </c>
      <c r="P765">
        <v>57.52072082788132</v>
      </c>
      <c r="Q765" t="s">
        <v>47</v>
      </c>
      <c r="R765" t="s">
        <v>350</v>
      </c>
      <c r="S765" t="s">
        <v>343</v>
      </c>
      <c r="T765" t="s">
        <v>343</v>
      </c>
    </row>
    <row r="766" spans="2:20" x14ac:dyDescent="0.25">
      <c r="B766">
        <v>761</v>
      </c>
      <c r="C766" t="s">
        <v>1105</v>
      </c>
      <c r="D766" s="10">
        <v>0.19715403122349079</v>
      </c>
      <c r="E766" s="10">
        <v>0.66748678508719927</v>
      </c>
      <c r="F766" s="10">
        <v>0.60806219339210033</v>
      </c>
      <c r="G766" s="10">
        <v>0.38724455348829362</v>
      </c>
      <c r="H766" s="6">
        <v>0.22206065501083039</v>
      </c>
      <c r="I766" s="10">
        <v>3.1535108467554611</v>
      </c>
      <c r="J766" s="7">
        <v>3.7722879741332031E-2</v>
      </c>
      <c r="K766" s="5">
        <v>0.1922262838997614</v>
      </c>
      <c r="L766">
        <v>60.604523166882863</v>
      </c>
      <c r="M766" s="10">
        <v>-0.89734597026082474</v>
      </c>
      <c r="N766" s="24" t="s">
        <v>343</v>
      </c>
      <c r="O766" s="24">
        <v>0</v>
      </c>
      <c r="P766">
        <v>58.553390992937217</v>
      </c>
      <c r="Q766" t="s">
        <v>47</v>
      </c>
      <c r="R766" t="s">
        <v>350</v>
      </c>
      <c r="S766" t="s">
        <v>343</v>
      </c>
      <c r="T766" t="s">
        <v>343</v>
      </c>
    </row>
    <row r="767" spans="2:20" x14ac:dyDescent="0.25">
      <c r="B767">
        <v>762</v>
      </c>
      <c r="C767" t="s">
        <v>1106</v>
      </c>
      <c r="D767" s="10">
        <v>0.30393193172393101</v>
      </c>
      <c r="E767" s="10">
        <v>0.90148222850596338</v>
      </c>
      <c r="F767" s="10">
        <v>0.51617472733115244</v>
      </c>
      <c r="G767" s="10">
        <v>0.41100573285691677</v>
      </c>
      <c r="H767" s="6">
        <v>0.15534509355757201</v>
      </c>
      <c r="I767" s="10">
        <v>8.3681544188017032</v>
      </c>
      <c r="J767" s="7">
        <v>1.133094891920574E-2</v>
      </c>
      <c r="K767" s="5">
        <v>0.14263018772183231</v>
      </c>
      <c r="L767">
        <v>356.96846439697129</v>
      </c>
      <c r="M767" s="10">
        <v>-0.39535451406408278</v>
      </c>
      <c r="N767" s="24" t="s">
        <v>343</v>
      </c>
      <c r="O767" s="24">
        <v>27.27872915615503</v>
      </c>
      <c r="P767">
        <v>58.866569334741349</v>
      </c>
      <c r="Q767" t="s">
        <v>47</v>
      </c>
      <c r="R767" t="s">
        <v>350</v>
      </c>
      <c r="S767" t="s">
        <v>343</v>
      </c>
      <c r="T767" t="s">
        <v>343</v>
      </c>
    </row>
    <row r="768" spans="2:20" x14ac:dyDescent="0.25">
      <c r="B768">
        <v>763</v>
      </c>
      <c r="C768" t="s">
        <v>1107</v>
      </c>
      <c r="D768" s="10">
        <v>0.22142259541971379</v>
      </c>
      <c r="E768" s="10">
        <v>0.41265443543947827</v>
      </c>
      <c r="F768" s="10">
        <v>0.56854314272130824</v>
      </c>
      <c r="G768" s="10">
        <v>0.39623471187879078</v>
      </c>
      <c r="H768" s="6">
        <v>0.16057804375314799</v>
      </c>
      <c r="I768" s="10">
        <v>7.501555907342615</v>
      </c>
      <c r="J768" s="7">
        <v>2.5191027202918811E-2</v>
      </c>
      <c r="K768" s="5">
        <v>0.19203551043250269</v>
      </c>
      <c r="L768">
        <v>70.953510936474387</v>
      </c>
      <c r="M768" s="10">
        <v>-0.87981649815616614</v>
      </c>
      <c r="N768" s="24" t="s">
        <v>343</v>
      </c>
      <c r="O768" s="24">
        <v>0</v>
      </c>
      <c r="P768">
        <v>60.537225658603077</v>
      </c>
      <c r="Q768" t="s">
        <v>47</v>
      </c>
      <c r="R768" t="s">
        <v>350</v>
      </c>
      <c r="S768" t="s">
        <v>343</v>
      </c>
      <c r="T768" t="s">
        <v>343</v>
      </c>
    </row>
    <row r="769" spans="2:20" x14ac:dyDescent="0.25">
      <c r="B769">
        <v>764</v>
      </c>
      <c r="C769" t="s">
        <v>1108</v>
      </c>
      <c r="D769" s="10">
        <v>0.2469684577782382</v>
      </c>
      <c r="E769" s="10">
        <v>1.0069638582028551</v>
      </c>
      <c r="F769" s="10">
        <v>0.45090327305570588</v>
      </c>
      <c r="G769" s="10">
        <v>0.28522995762039938</v>
      </c>
      <c r="H769" s="6">
        <v>0.13369525599100979</v>
      </c>
      <c r="I769" s="10">
        <v>6.0291532899273008</v>
      </c>
      <c r="J769" s="7">
        <v>1.149264201903091E-2</v>
      </c>
      <c r="K769" s="5">
        <v>0.12952794892081959</v>
      </c>
      <c r="L769">
        <v>173.95981498269819</v>
      </c>
      <c r="M769" s="10">
        <v>-0.70534087082111374</v>
      </c>
      <c r="N769" s="24" t="s">
        <v>343</v>
      </c>
      <c r="O769" s="24">
        <v>8.6795477507331711</v>
      </c>
      <c r="P769">
        <v>58.965019343102099</v>
      </c>
      <c r="Q769" t="s">
        <v>47</v>
      </c>
      <c r="R769" t="s">
        <v>350</v>
      </c>
      <c r="S769" t="s">
        <v>343</v>
      </c>
      <c r="T769" t="s">
        <v>343</v>
      </c>
    </row>
    <row r="770" spans="2:20" x14ac:dyDescent="0.25">
      <c r="B770">
        <v>765</v>
      </c>
      <c r="C770" t="s">
        <v>1109</v>
      </c>
      <c r="D770" s="10">
        <v>0.30503553775432751</v>
      </c>
      <c r="E770" s="10">
        <v>0.65766219085426525</v>
      </c>
      <c r="F770" s="10">
        <v>0.49003585739392258</v>
      </c>
      <c r="G770" s="10">
        <v>0.26549793823340578</v>
      </c>
      <c r="H770" s="6">
        <v>0.14885883953897691</v>
      </c>
      <c r="I770" s="10">
        <v>13.890511943865571</v>
      </c>
      <c r="J770" s="7">
        <v>1.8538527814177339E-2</v>
      </c>
      <c r="K770" s="5">
        <v>0.1648512200379379</v>
      </c>
      <c r="L770">
        <v>198.66489278002831</v>
      </c>
      <c r="M770" s="10">
        <v>-0.66349455872436935</v>
      </c>
      <c r="N770" s="24" t="s">
        <v>343</v>
      </c>
      <c r="O770" s="24">
        <v>11.190326476537839</v>
      </c>
      <c r="P770">
        <v>21.677724780902231</v>
      </c>
      <c r="Q770" t="s">
        <v>348</v>
      </c>
      <c r="R770" t="s">
        <v>371</v>
      </c>
      <c r="S770" t="s">
        <v>343</v>
      </c>
      <c r="T770" t="s">
        <v>343</v>
      </c>
    </row>
    <row r="771" spans="2:20" x14ac:dyDescent="0.25">
      <c r="B771">
        <v>766</v>
      </c>
      <c r="C771" t="s">
        <v>1110</v>
      </c>
      <c r="D771" s="10">
        <v>0.25987807934623869</v>
      </c>
      <c r="E771" s="10">
        <v>0.99598663673109078</v>
      </c>
      <c r="F771" s="10">
        <v>0.55036905737706354</v>
      </c>
      <c r="G771" s="10">
        <v>0.35933903500227521</v>
      </c>
      <c r="H771" s="6">
        <v>0.26880123495030039</v>
      </c>
      <c r="I771" s="10">
        <v>7.3779581521995627</v>
      </c>
      <c r="J771" s="7">
        <v>1.32240130860325E-2</v>
      </c>
      <c r="K771" s="5">
        <v>0.1071301975553947</v>
      </c>
      <c r="L771">
        <v>301.5535793539089</v>
      </c>
      <c r="M771" s="10">
        <v>-0.48921815591700651</v>
      </c>
      <c r="N771" s="24" t="s">
        <v>343</v>
      </c>
      <c r="O771" s="24">
        <v>21.646910644979609</v>
      </c>
      <c r="P771">
        <v>54.651455543661577</v>
      </c>
      <c r="Q771" t="s">
        <v>47</v>
      </c>
      <c r="R771" t="s">
        <v>350</v>
      </c>
      <c r="S771" t="s">
        <v>343</v>
      </c>
      <c r="T771" t="s">
        <v>343</v>
      </c>
    </row>
    <row r="772" spans="2:20" x14ac:dyDescent="0.25">
      <c r="B772">
        <v>767</v>
      </c>
      <c r="C772" t="s">
        <v>1111</v>
      </c>
      <c r="D772" s="10">
        <v>0.17870368651333829</v>
      </c>
      <c r="E772" s="10">
        <v>1.217407604380724</v>
      </c>
      <c r="F772" s="10">
        <v>0.6568515482175854</v>
      </c>
      <c r="G772" s="10">
        <v>0.2837605940657919</v>
      </c>
      <c r="H772" s="6">
        <v>0.18230851958452129</v>
      </c>
      <c r="I772" s="10">
        <v>11.67731589044778</v>
      </c>
      <c r="J772" s="7">
        <v>4.362023987787788E-2</v>
      </c>
      <c r="K772" s="5">
        <v>0.11377398810896749</v>
      </c>
      <c r="L772">
        <v>358.20544748203997</v>
      </c>
      <c r="M772" s="10">
        <v>-0.39325926948882489</v>
      </c>
      <c r="N772" s="24" t="s">
        <v>343</v>
      </c>
      <c r="O772" s="24">
        <v>27.404443830670498</v>
      </c>
      <c r="P772">
        <v>18.660694957514249</v>
      </c>
      <c r="Q772" t="s">
        <v>348</v>
      </c>
      <c r="R772" t="s">
        <v>351</v>
      </c>
      <c r="S772" t="s">
        <v>343</v>
      </c>
      <c r="T772" t="s">
        <v>343</v>
      </c>
    </row>
    <row r="773" spans="2:20" x14ac:dyDescent="0.25">
      <c r="B773">
        <v>768</v>
      </c>
      <c r="C773" t="s">
        <v>1112</v>
      </c>
      <c r="D773" s="10">
        <v>0.31037313977815612</v>
      </c>
      <c r="E773" s="10">
        <v>0.48822246667117258</v>
      </c>
      <c r="F773" s="10">
        <v>0.56471346754362206</v>
      </c>
      <c r="G773" s="10">
        <v>0.25868541878973289</v>
      </c>
      <c r="H773" s="6">
        <v>0.25916480980330281</v>
      </c>
      <c r="I773" s="10">
        <v>5.3160015266471241</v>
      </c>
      <c r="J773" s="7">
        <v>1.5909002847312431E-2</v>
      </c>
      <c r="K773" s="5">
        <v>0.1821299607258928</v>
      </c>
      <c r="L773">
        <v>60.504694862448417</v>
      </c>
      <c r="M773" s="10">
        <v>-0.89751506288290506</v>
      </c>
      <c r="N773" s="24" t="s">
        <v>343</v>
      </c>
      <c r="O773" s="24">
        <v>0</v>
      </c>
      <c r="P773">
        <v>54.56214320284078</v>
      </c>
      <c r="Q773" t="s">
        <v>47</v>
      </c>
      <c r="R773" t="s">
        <v>350</v>
      </c>
      <c r="S773" t="s">
        <v>343</v>
      </c>
      <c r="T773" t="s">
        <v>343</v>
      </c>
    </row>
    <row r="774" spans="2:20" x14ac:dyDescent="0.25">
      <c r="B774">
        <v>769</v>
      </c>
      <c r="C774" t="s">
        <v>1113</v>
      </c>
      <c r="D774" s="10">
        <v>0.26043328849142688</v>
      </c>
      <c r="E774" s="10">
        <v>1.3239604022059721</v>
      </c>
      <c r="F774" s="10">
        <v>0.59245425117675443</v>
      </c>
      <c r="G774" s="10">
        <v>0.35596075545547179</v>
      </c>
      <c r="H774" s="6">
        <v>0.14443492922891971</v>
      </c>
      <c r="I774" s="10">
        <v>5.7174532946962469</v>
      </c>
      <c r="J774" s="7">
        <v>1.5253635881768819E-2</v>
      </c>
      <c r="K774" s="5">
        <v>0.1849094837332115</v>
      </c>
      <c r="L774">
        <v>196.38894243485129</v>
      </c>
      <c r="M774" s="10">
        <v>-0.66734964184704881</v>
      </c>
      <c r="N774" s="24" t="s">
        <v>343</v>
      </c>
      <c r="O774" s="24">
        <v>10.95902148917707</v>
      </c>
      <c r="P774">
        <v>63.094553670735117</v>
      </c>
      <c r="Q774" t="s">
        <v>47</v>
      </c>
      <c r="R774" t="s">
        <v>350</v>
      </c>
      <c r="S774" t="s">
        <v>343</v>
      </c>
      <c r="T774" t="s">
        <v>343</v>
      </c>
    </row>
    <row r="775" spans="2:20" x14ac:dyDescent="0.25">
      <c r="B775">
        <v>770</v>
      </c>
      <c r="C775" t="s">
        <v>1114</v>
      </c>
      <c r="D775" s="10">
        <v>0.21358489834513381</v>
      </c>
      <c r="E775" s="10">
        <v>0.88375695516868813</v>
      </c>
      <c r="F775" s="10">
        <v>0.6671759859183829</v>
      </c>
      <c r="G775" s="10">
        <v>0.31189472072371499</v>
      </c>
      <c r="H775" s="6">
        <v>0.1506088263147779</v>
      </c>
      <c r="I775" s="10">
        <v>9.2523050390321764</v>
      </c>
      <c r="J775" s="7">
        <v>4.4021923826483567E-2</v>
      </c>
      <c r="K775" s="5">
        <v>0.1505980632371258</v>
      </c>
      <c r="L775">
        <v>242.87049039360099</v>
      </c>
      <c r="M775" s="10">
        <v>-0.58861759418550097</v>
      </c>
      <c r="N775" s="24" t="s">
        <v>343</v>
      </c>
      <c r="O775" s="24">
        <v>15.68294434886994</v>
      </c>
      <c r="P775">
        <v>59.720389608796317</v>
      </c>
      <c r="Q775" t="s">
        <v>47</v>
      </c>
      <c r="R775" t="s">
        <v>350</v>
      </c>
      <c r="S775" t="s">
        <v>343</v>
      </c>
      <c r="T775" t="s">
        <v>343</v>
      </c>
    </row>
    <row r="776" spans="2:20" x14ac:dyDescent="0.25">
      <c r="B776">
        <v>771</v>
      </c>
      <c r="C776" t="s">
        <v>1115</v>
      </c>
      <c r="D776" s="10">
        <v>0.182283531626142</v>
      </c>
      <c r="E776" s="10">
        <v>1.3152205416913649</v>
      </c>
      <c r="F776" s="10">
        <v>0.52029291753309981</v>
      </c>
      <c r="G776" s="10">
        <v>0.40635278262647079</v>
      </c>
      <c r="H776" s="6">
        <v>0.20367200307226069</v>
      </c>
      <c r="I776" s="10">
        <v>3.044310966724129</v>
      </c>
      <c r="J776" s="7">
        <v>2.805885516060757E-2</v>
      </c>
      <c r="K776" s="5">
        <v>0.13227847555995689</v>
      </c>
      <c r="L776">
        <v>191.7591653271935</v>
      </c>
      <c r="M776" s="10">
        <v>-0.67519171785161614</v>
      </c>
      <c r="N776" s="24" t="s">
        <v>343</v>
      </c>
      <c r="O776" s="24">
        <v>10.488496928903031</v>
      </c>
      <c r="P776">
        <v>57.993631035765077</v>
      </c>
      <c r="Q776" t="s">
        <v>47</v>
      </c>
      <c r="R776" t="s">
        <v>350</v>
      </c>
      <c r="S776" t="s">
        <v>343</v>
      </c>
      <c r="T776" t="s">
        <v>343</v>
      </c>
    </row>
    <row r="777" spans="2:20" x14ac:dyDescent="0.25">
      <c r="B777">
        <v>772</v>
      </c>
      <c r="C777" t="s">
        <v>1116</v>
      </c>
      <c r="D777" s="10">
        <v>0.28704403028324732</v>
      </c>
      <c r="E777" s="10">
        <v>0.52850309042195587</v>
      </c>
      <c r="F777" s="10">
        <v>0.6221818234865345</v>
      </c>
      <c r="G777" s="10">
        <v>0.30912215872065202</v>
      </c>
      <c r="H777" s="6">
        <v>0.17242988113186239</v>
      </c>
      <c r="I777" s="10">
        <v>3.1916800809979011</v>
      </c>
      <c r="J777" s="7">
        <v>3.6529476099159158E-2</v>
      </c>
      <c r="K777" s="5">
        <v>0.14284727351757531</v>
      </c>
      <c r="L777">
        <v>77.235487156875152</v>
      </c>
      <c r="M777" s="10">
        <v>-0.86917587036054633</v>
      </c>
      <c r="N777" s="24" t="s">
        <v>343</v>
      </c>
      <c r="O777" s="24">
        <v>0</v>
      </c>
      <c r="P777">
        <v>63.16048496888294</v>
      </c>
      <c r="Q777" t="s">
        <v>47</v>
      </c>
      <c r="R777" t="s">
        <v>350</v>
      </c>
      <c r="S777" t="s">
        <v>343</v>
      </c>
      <c r="T777" t="s">
        <v>343</v>
      </c>
    </row>
    <row r="778" spans="2:20" x14ac:dyDescent="0.25">
      <c r="B778">
        <v>773</v>
      </c>
      <c r="C778" t="s">
        <v>1117</v>
      </c>
      <c r="D778" s="10">
        <v>0.25921164094856219</v>
      </c>
      <c r="E778" s="10">
        <v>0.9650189310646613</v>
      </c>
      <c r="F778" s="10">
        <v>0.66403348725634581</v>
      </c>
      <c r="G778" s="10">
        <v>0.45531777015227898</v>
      </c>
      <c r="H778" s="6">
        <v>0.2165872812862194</v>
      </c>
      <c r="I778" s="10">
        <v>4.5644059326448101</v>
      </c>
      <c r="J778" s="7">
        <v>2.1456012790933721E-2</v>
      </c>
      <c r="K778" s="5">
        <v>0.18261432646874229</v>
      </c>
      <c r="L778">
        <v>194.9891331636837</v>
      </c>
      <c r="M778" s="10">
        <v>-0.66972068702722332</v>
      </c>
      <c r="N778" s="24" t="s">
        <v>343</v>
      </c>
      <c r="O778" s="24">
        <v>10.8167587783666</v>
      </c>
      <c r="P778">
        <v>24.20872509120305</v>
      </c>
      <c r="Q778" t="s">
        <v>348</v>
      </c>
      <c r="R778" t="s">
        <v>353</v>
      </c>
      <c r="S778" t="s">
        <v>343</v>
      </c>
      <c r="T778" t="s">
        <v>343</v>
      </c>
    </row>
    <row r="779" spans="2:20" x14ac:dyDescent="0.25">
      <c r="B779">
        <v>774</v>
      </c>
      <c r="C779" t="s">
        <v>1118</v>
      </c>
      <c r="D779" s="10">
        <v>0.24535377471621139</v>
      </c>
      <c r="E779" s="10">
        <v>0.74427582905596512</v>
      </c>
      <c r="F779" s="10">
        <v>0.49268008218100601</v>
      </c>
      <c r="G779" s="10">
        <v>0.40687510207735578</v>
      </c>
      <c r="H779" s="6">
        <v>0.18330698635806461</v>
      </c>
      <c r="I779" s="10">
        <v>5.4543314513405941</v>
      </c>
      <c r="J779" s="7">
        <v>2.8650124707719941E-2</v>
      </c>
      <c r="K779" s="5">
        <v>0.12004437514898721</v>
      </c>
      <c r="L779">
        <v>182.0165531183934</v>
      </c>
      <c r="M779" s="10">
        <v>-0.69169409013603211</v>
      </c>
      <c r="N779" s="24" t="s">
        <v>343</v>
      </c>
      <c r="O779" s="24">
        <v>9.4983545918380727</v>
      </c>
      <c r="P779">
        <v>57.785852058541828</v>
      </c>
      <c r="Q779" t="s">
        <v>47</v>
      </c>
      <c r="R779" t="s">
        <v>350</v>
      </c>
      <c r="S779" t="s">
        <v>343</v>
      </c>
      <c r="T779" t="s">
        <v>343</v>
      </c>
    </row>
    <row r="780" spans="2:20" x14ac:dyDescent="0.25">
      <c r="B780">
        <v>775</v>
      </c>
      <c r="C780" t="s">
        <v>1119</v>
      </c>
      <c r="D780" s="10">
        <v>0.30302281328815323</v>
      </c>
      <c r="E780" s="10">
        <v>1.1516444102716139</v>
      </c>
      <c r="F780" s="10">
        <v>0.53268432293843637</v>
      </c>
      <c r="G780" s="10">
        <v>0.25269250872754973</v>
      </c>
      <c r="H780" s="6">
        <v>0.24173958561981931</v>
      </c>
      <c r="I780" s="10">
        <v>8.80634467379749</v>
      </c>
      <c r="J780" s="7">
        <v>1.023987992272031E-2</v>
      </c>
      <c r="K780" s="5">
        <v>0.12801267197365171</v>
      </c>
      <c r="L780">
        <v>181.9329916484086</v>
      </c>
      <c r="M780" s="10">
        <v>-0.6918356294333754</v>
      </c>
      <c r="N780" s="24" t="s">
        <v>343</v>
      </c>
      <c r="O780" s="24">
        <v>9.4898622339974779</v>
      </c>
      <c r="P780">
        <v>12.72532937619096</v>
      </c>
      <c r="Q780" t="s">
        <v>348</v>
      </c>
      <c r="R780" t="s">
        <v>375</v>
      </c>
      <c r="S780" t="s">
        <v>343</v>
      </c>
      <c r="T780" t="s">
        <v>343</v>
      </c>
    </row>
    <row r="781" spans="2:20" x14ac:dyDescent="0.25">
      <c r="B781">
        <v>776</v>
      </c>
      <c r="C781" t="s">
        <v>1120</v>
      </c>
      <c r="D781" s="10">
        <v>0.28617555379592502</v>
      </c>
      <c r="E781" s="10">
        <v>0.96649983753462587</v>
      </c>
      <c r="F781" s="10">
        <v>0.6947506452112322</v>
      </c>
      <c r="G781" s="10">
        <v>0.35195200287838069</v>
      </c>
      <c r="H781" s="6">
        <v>0.18473386067566261</v>
      </c>
      <c r="I781" s="10">
        <v>10.548523738977391</v>
      </c>
      <c r="J781" s="7">
        <v>2.430864649820956E-2</v>
      </c>
      <c r="K781" s="5">
        <v>0.17461707875401289</v>
      </c>
      <c r="L781">
        <v>321.70065839547198</v>
      </c>
      <c r="M781" s="10">
        <v>-0.45509233917895348</v>
      </c>
      <c r="N781" s="24" t="s">
        <v>343</v>
      </c>
      <c r="O781" s="24">
        <v>23.694459649262789</v>
      </c>
      <c r="P781">
        <v>23.864643014578199</v>
      </c>
      <c r="Q781" t="s">
        <v>348</v>
      </c>
      <c r="R781" t="s">
        <v>375</v>
      </c>
      <c r="S781" t="s">
        <v>343</v>
      </c>
      <c r="T781" t="s">
        <v>343</v>
      </c>
    </row>
    <row r="782" spans="2:20" x14ac:dyDescent="0.25">
      <c r="B782">
        <v>777</v>
      </c>
      <c r="C782" t="s">
        <v>1121</v>
      </c>
      <c r="D782" s="10">
        <v>0.18426798075724021</v>
      </c>
      <c r="E782" s="10">
        <v>0.84396700265415014</v>
      </c>
      <c r="F782" s="10">
        <v>0.69563682684701478</v>
      </c>
      <c r="G782" s="10">
        <v>0.36377651026710428</v>
      </c>
      <c r="H782" s="6">
        <v>0.20585237736573961</v>
      </c>
      <c r="I782" s="10">
        <v>6.4306653038682828</v>
      </c>
      <c r="J782" s="7">
        <v>2.9428142525538391E-2</v>
      </c>
      <c r="K782" s="5">
        <v>0.1888505973620595</v>
      </c>
      <c r="L782">
        <v>144.8025551869766</v>
      </c>
      <c r="M782" s="10">
        <v>-0.75472844220651902</v>
      </c>
      <c r="N782" s="24" t="s">
        <v>343</v>
      </c>
      <c r="O782" s="24">
        <v>5.7162934676088568</v>
      </c>
      <c r="P782">
        <v>59.584458701218857</v>
      </c>
      <c r="Q782" t="s">
        <v>47</v>
      </c>
      <c r="R782" t="s">
        <v>350</v>
      </c>
      <c r="S782" t="s">
        <v>343</v>
      </c>
      <c r="T782" t="s">
        <v>343</v>
      </c>
    </row>
    <row r="783" spans="2:20" x14ac:dyDescent="0.25">
      <c r="B783">
        <v>778</v>
      </c>
      <c r="C783" t="s">
        <v>1122</v>
      </c>
      <c r="D783" s="10">
        <v>0.20987553084728769</v>
      </c>
      <c r="E783" s="10">
        <v>1.304283947074109</v>
      </c>
      <c r="F783" s="10">
        <v>0.49803978187642378</v>
      </c>
      <c r="G783" s="10">
        <v>0.39296659634995151</v>
      </c>
      <c r="H783" s="6">
        <v>0.16816098000355931</v>
      </c>
      <c r="I783" s="10">
        <v>5.6297802960416252</v>
      </c>
      <c r="J783" s="7">
        <v>2.8004355722469329E-2</v>
      </c>
      <c r="K783" s="5">
        <v>0.1088280973014729</v>
      </c>
      <c r="L783">
        <v>231.86841477280399</v>
      </c>
      <c r="M783" s="10">
        <v>-0.60725328899758568</v>
      </c>
      <c r="N783" s="24" t="s">
        <v>343</v>
      </c>
      <c r="O783" s="24">
        <v>14.56480266014486</v>
      </c>
      <c r="P783">
        <v>53.478738222683212</v>
      </c>
      <c r="Q783" t="s">
        <v>47</v>
      </c>
      <c r="R783" t="s">
        <v>350</v>
      </c>
      <c r="S783" t="s">
        <v>343</v>
      </c>
      <c r="T783" t="s">
        <v>343</v>
      </c>
    </row>
    <row r="784" spans="2:20" x14ac:dyDescent="0.25">
      <c r="B784">
        <v>779</v>
      </c>
      <c r="C784" t="s">
        <v>1123</v>
      </c>
      <c r="D784" s="10">
        <v>0.19975826237031449</v>
      </c>
      <c r="E784" s="10">
        <v>0.71482877058884819</v>
      </c>
      <c r="F784" s="10">
        <v>0.45727591811208329</v>
      </c>
      <c r="G784" s="10">
        <v>0.34951529534742681</v>
      </c>
      <c r="H784" s="6">
        <v>0.2256061481157981</v>
      </c>
      <c r="I784" s="10">
        <v>12.05092296342653</v>
      </c>
      <c r="J784" s="7">
        <v>2.420368905258646E-2</v>
      </c>
      <c r="K784" s="5">
        <v>0.1763583686284681</v>
      </c>
      <c r="L784">
        <v>186.49703437273541</v>
      </c>
      <c r="M784" s="10">
        <v>-0.68410489659246554</v>
      </c>
      <c r="N784" s="24" t="s">
        <v>343</v>
      </c>
      <c r="O784" s="24">
        <v>9.9537062044520681</v>
      </c>
      <c r="P784">
        <v>24.90865593553352</v>
      </c>
      <c r="Q784" t="s">
        <v>348</v>
      </c>
      <c r="R784" t="s">
        <v>371</v>
      </c>
      <c r="S784" t="s">
        <v>343</v>
      </c>
      <c r="T784" t="s">
        <v>343</v>
      </c>
    </row>
    <row r="785" spans="2:20" x14ac:dyDescent="0.25">
      <c r="B785">
        <v>780</v>
      </c>
      <c r="C785" t="s">
        <v>1124</v>
      </c>
      <c r="D785" s="10">
        <v>0.2790314068116283</v>
      </c>
      <c r="E785" s="10">
        <v>0.54197822538799956</v>
      </c>
      <c r="F785" s="10">
        <v>0.51043961894061374</v>
      </c>
      <c r="G785" s="10">
        <v>0.34635759165120611</v>
      </c>
      <c r="H785" s="6">
        <v>0.21821013134485709</v>
      </c>
      <c r="I785" s="10">
        <v>4.7905468314874344</v>
      </c>
      <c r="J785" s="7">
        <v>3.7576768231055629E-2</v>
      </c>
      <c r="K785" s="5">
        <v>0.16128148915852331</v>
      </c>
      <c r="L785">
        <v>79.933578134618628</v>
      </c>
      <c r="M785" s="10">
        <v>-0.86460575088768776</v>
      </c>
      <c r="N785" s="24" t="s">
        <v>343</v>
      </c>
      <c r="O785" s="24">
        <v>0</v>
      </c>
      <c r="P785">
        <v>65.45902834239763</v>
      </c>
      <c r="Q785" t="s">
        <v>47</v>
      </c>
      <c r="R785" t="s">
        <v>350</v>
      </c>
      <c r="S785" t="s">
        <v>343</v>
      </c>
      <c r="T785" t="s">
        <v>343</v>
      </c>
    </row>
    <row r="786" spans="2:20" x14ac:dyDescent="0.25">
      <c r="B786">
        <v>781</v>
      </c>
      <c r="C786" t="s">
        <v>1125</v>
      </c>
      <c r="D786" s="10">
        <v>0.1653651895577247</v>
      </c>
      <c r="E786" s="10">
        <v>0.96891130553730087</v>
      </c>
      <c r="F786" s="10">
        <v>0.54341030889895869</v>
      </c>
      <c r="G786" s="10">
        <v>0.32094649456907481</v>
      </c>
      <c r="H786" s="6">
        <v>0.17955015491610871</v>
      </c>
      <c r="I786" s="10">
        <v>10.461592105636679</v>
      </c>
      <c r="J786" s="7">
        <v>2.7557428932879779E-2</v>
      </c>
      <c r="K786" s="5">
        <v>0.1219232967240847</v>
      </c>
      <c r="L786">
        <v>232.01838796194491</v>
      </c>
      <c r="M786" s="10">
        <v>-0.60699925924182385</v>
      </c>
      <c r="N786" s="24" t="s">
        <v>343</v>
      </c>
      <c r="O786" s="24">
        <v>14.58004444549057</v>
      </c>
      <c r="P786">
        <v>63.419030014647412</v>
      </c>
      <c r="Q786" t="s">
        <v>47</v>
      </c>
      <c r="R786" t="s">
        <v>350</v>
      </c>
      <c r="S786" t="s">
        <v>343</v>
      </c>
      <c r="T786" t="s">
        <v>343</v>
      </c>
    </row>
    <row r="787" spans="2:20" x14ac:dyDescent="0.25">
      <c r="B787">
        <v>782</v>
      </c>
      <c r="C787" t="s">
        <v>1126</v>
      </c>
      <c r="D787" s="10">
        <v>0.25118234957941071</v>
      </c>
      <c r="E787" s="10">
        <v>0.98643128089009502</v>
      </c>
      <c r="F787" s="10">
        <v>0.5546614562421025</v>
      </c>
      <c r="G787" s="10">
        <v>0.2997215044578182</v>
      </c>
      <c r="H787" s="6">
        <v>0.1614048154185895</v>
      </c>
      <c r="I787" s="10">
        <v>13.24463568057458</v>
      </c>
      <c r="J787" s="7">
        <v>3.2264218327607883E-2</v>
      </c>
      <c r="K787" s="5">
        <v>0.17180263368315299</v>
      </c>
      <c r="L787">
        <v>294.79519145882961</v>
      </c>
      <c r="M787" s="10">
        <v>-0.50066574622408555</v>
      </c>
      <c r="N787" s="24" t="s">
        <v>343</v>
      </c>
      <c r="O787" s="24">
        <v>20.960055226554871</v>
      </c>
      <c r="P787">
        <v>58.103635909558783</v>
      </c>
      <c r="Q787" t="s">
        <v>47</v>
      </c>
      <c r="R787" t="s">
        <v>350</v>
      </c>
      <c r="S787" t="s">
        <v>343</v>
      </c>
      <c r="T787" t="s">
        <v>343</v>
      </c>
    </row>
    <row r="788" spans="2:20" x14ac:dyDescent="0.25">
      <c r="B788">
        <v>783</v>
      </c>
      <c r="C788" t="s">
        <v>1127</v>
      </c>
      <c r="D788" s="10">
        <v>0.28199338971851051</v>
      </c>
      <c r="E788" s="10">
        <v>0.78300408372906283</v>
      </c>
      <c r="F788" s="10">
        <v>0.60088963990591016</v>
      </c>
      <c r="G788" s="10">
        <v>0.44816404663488157</v>
      </c>
      <c r="H788" s="6">
        <v>0.21211565622304479</v>
      </c>
      <c r="I788" s="10">
        <v>5.5543200126701464</v>
      </c>
      <c r="J788" s="7">
        <v>1.6461739607190939E-2</v>
      </c>
      <c r="K788" s="5">
        <v>0.1691520261749361</v>
      </c>
      <c r="L788">
        <v>93.615478501575183</v>
      </c>
      <c r="M788" s="10">
        <v>-0.84143087657524573</v>
      </c>
      <c r="N788" s="24" t="s">
        <v>343</v>
      </c>
      <c r="O788" s="24">
        <v>0.51414740548526083</v>
      </c>
      <c r="P788">
        <v>57.7196872544109</v>
      </c>
      <c r="Q788" t="s">
        <v>47</v>
      </c>
      <c r="R788" t="s">
        <v>350</v>
      </c>
      <c r="S788" t="s">
        <v>343</v>
      </c>
      <c r="T788" t="s">
        <v>343</v>
      </c>
    </row>
    <row r="789" spans="2:20" x14ac:dyDescent="0.25">
      <c r="B789">
        <v>784</v>
      </c>
      <c r="C789" t="s">
        <v>1128</v>
      </c>
      <c r="D789" s="10">
        <v>0.30028250188187988</v>
      </c>
      <c r="E789" s="10">
        <v>0.83527104805832053</v>
      </c>
      <c r="F789" s="10">
        <v>0.67387071763420203</v>
      </c>
      <c r="G789" s="10">
        <v>0.30987126731956183</v>
      </c>
      <c r="H789" s="6">
        <v>0.26147274738165122</v>
      </c>
      <c r="I789" s="10">
        <v>3.9566190206776461</v>
      </c>
      <c r="J789" s="7">
        <v>4.0152503374389331E-2</v>
      </c>
      <c r="K789" s="5">
        <v>0.1134928320971941</v>
      </c>
      <c r="L789">
        <v>218.93586219863391</v>
      </c>
      <c r="M789" s="10">
        <v>-0.62915889219648635</v>
      </c>
      <c r="N789" s="24" t="s">
        <v>343</v>
      </c>
      <c r="O789" s="24">
        <v>13.250466468210821</v>
      </c>
      <c r="P789">
        <v>50.922573158811971</v>
      </c>
      <c r="Q789" t="s">
        <v>47</v>
      </c>
      <c r="R789" t="s">
        <v>350</v>
      </c>
      <c r="S789" t="s">
        <v>343</v>
      </c>
      <c r="T789" t="s">
        <v>343</v>
      </c>
    </row>
    <row r="790" spans="2:20" x14ac:dyDescent="0.25">
      <c r="B790">
        <v>785</v>
      </c>
      <c r="C790" t="s">
        <v>1129</v>
      </c>
      <c r="D790" s="10">
        <v>0.2147330797945452</v>
      </c>
      <c r="E790" s="10">
        <v>1.3555087557298899</v>
      </c>
      <c r="F790" s="10">
        <v>0.52589048309586217</v>
      </c>
      <c r="G790" s="10">
        <v>0.25395269140767268</v>
      </c>
      <c r="H790" s="6">
        <v>0.1398964536039902</v>
      </c>
      <c r="I790" s="10">
        <v>13.777347834176121</v>
      </c>
      <c r="J790" s="7">
        <v>2.2699266366137099E-2</v>
      </c>
      <c r="K790" s="5">
        <v>0.14771385045408189</v>
      </c>
      <c r="L790">
        <v>290.41410039604312</v>
      </c>
      <c r="M790" s="10">
        <v>-0.50808658923626326</v>
      </c>
      <c r="N790" s="24" t="s">
        <v>343</v>
      </c>
      <c r="O790" s="24">
        <v>20.51480464582421</v>
      </c>
      <c r="P790">
        <v>51.587679970967287</v>
      </c>
      <c r="Q790" t="s">
        <v>47</v>
      </c>
      <c r="R790" t="s">
        <v>350</v>
      </c>
      <c r="S790" t="s">
        <v>343</v>
      </c>
      <c r="T790" t="s">
        <v>343</v>
      </c>
    </row>
    <row r="791" spans="2:20" x14ac:dyDescent="0.25">
      <c r="B791">
        <v>786</v>
      </c>
      <c r="C791" t="s">
        <v>1130</v>
      </c>
      <c r="D791" s="10">
        <v>0.29140116874752209</v>
      </c>
      <c r="E791" s="10">
        <v>1.1059542605364809</v>
      </c>
      <c r="F791" s="10">
        <v>0.66099597922979414</v>
      </c>
      <c r="G791" s="10">
        <v>0.27680264264455068</v>
      </c>
      <c r="H791" s="6">
        <v>0.23986749275183411</v>
      </c>
      <c r="I791" s="10">
        <v>5.9785117573337683</v>
      </c>
      <c r="J791" s="7">
        <v>2.6873627166426189E-2</v>
      </c>
      <c r="K791" s="5">
        <v>0.17203765287081321</v>
      </c>
      <c r="L791">
        <v>125.2072739525821</v>
      </c>
      <c r="M791" s="10">
        <v>-0.78791960480413559</v>
      </c>
      <c r="N791" s="24" t="s">
        <v>343</v>
      </c>
      <c r="O791" s="24">
        <v>3.724823711751867</v>
      </c>
      <c r="P791">
        <v>60.959676410682903</v>
      </c>
      <c r="Q791" t="s">
        <v>47</v>
      </c>
      <c r="R791" t="s">
        <v>350</v>
      </c>
      <c r="S791" t="s">
        <v>343</v>
      </c>
      <c r="T791" t="s">
        <v>343</v>
      </c>
    </row>
    <row r="792" spans="2:20" x14ac:dyDescent="0.25">
      <c r="B792">
        <v>787</v>
      </c>
      <c r="C792" t="s">
        <v>1131</v>
      </c>
      <c r="D792" s="10">
        <v>0.17770107791283321</v>
      </c>
      <c r="E792" s="10">
        <v>0.42166192663083468</v>
      </c>
      <c r="F792" s="10">
        <v>0.46430451944092299</v>
      </c>
      <c r="G792" s="10">
        <v>0.42860085992908381</v>
      </c>
      <c r="H792" s="6">
        <v>0.20144876592121361</v>
      </c>
      <c r="I792" s="10">
        <v>6.0322952996600536</v>
      </c>
      <c r="J792" s="7">
        <v>2.2326817293862621E-2</v>
      </c>
      <c r="K792" s="5">
        <v>0.1181966920467422</v>
      </c>
      <c r="L792">
        <v>140.83812973129051</v>
      </c>
      <c r="M792" s="10">
        <v>-0.76144352265531845</v>
      </c>
      <c r="N792" s="24" t="s">
        <v>343</v>
      </c>
      <c r="O792" s="24">
        <v>5.3133886406808912</v>
      </c>
      <c r="P792">
        <v>61.840729637219518</v>
      </c>
      <c r="Q792" t="s">
        <v>47</v>
      </c>
      <c r="R792" t="s">
        <v>350</v>
      </c>
      <c r="S792" t="s">
        <v>343</v>
      </c>
      <c r="T792" t="s">
        <v>343</v>
      </c>
    </row>
    <row r="793" spans="2:20" x14ac:dyDescent="0.25">
      <c r="B793">
        <v>788</v>
      </c>
      <c r="C793" t="s">
        <v>1132</v>
      </c>
      <c r="D793" s="10">
        <v>0.29543236667752287</v>
      </c>
      <c r="E793" s="10">
        <v>0.533343077957672</v>
      </c>
      <c r="F793" s="10">
        <v>0.45088742173303581</v>
      </c>
      <c r="G793" s="10">
        <v>0.36905936100714448</v>
      </c>
      <c r="H793" s="6">
        <v>0.19883395427607889</v>
      </c>
      <c r="I793" s="10">
        <v>8.3214952047179676</v>
      </c>
      <c r="J793" s="7">
        <v>4.1216751160250399E-2</v>
      </c>
      <c r="K793" s="5">
        <v>0.14396277212716119</v>
      </c>
      <c r="L793">
        <v>122.7576179506644</v>
      </c>
      <c r="M793" s="10">
        <v>-0.79206891655400546</v>
      </c>
      <c r="N793" s="24" t="s">
        <v>343</v>
      </c>
      <c r="O793" s="24">
        <v>3.4758650067596761</v>
      </c>
      <c r="P793">
        <v>57.226285527188679</v>
      </c>
      <c r="Q793" t="s">
        <v>47</v>
      </c>
      <c r="R793" t="s">
        <v>350</v>
      </c>
      <c r="S793" t="s">
        <v>343</v>
      </c>
      <c r="T793" t="s">
        <v>343</v>
      </c>
    </row>
    <row r="794" spans="2:20" x14ac:dyDescent="0.25">
      <c r="B794">
        <v>789</v>
      </c>
      <c r="C794" t="s">
        <v>1133</v>
      </c>
      <c r="D794" s="10">
        <v>0.18039818597311719</v>
      </c>
      <c r="E794" s="10">
        <v>1.373134297879115</v>
      </c>
      <c r="F794" s="10">
        <v>0.57105174761209987</v>
      </c>
      <c r="G794" s="10">
        <v>0.41133172086295439</v>
      </c>
      <c r="H794" s="6">
        <v>0.26425262213639689</v>
      </c>
      <c r="I794" s="10">
        <v>5.5416342495076076</v>
      </c>
      <c r="J794" s="7">
        <v>4.1525905143678148E-2</v>
      </c>
      <c r="K794" s="5">
        <v>0.1114704068460546</v>
      </c>
      <c r="L794">
        <v>573.61240841154904</v>
      </c>
      <c r="M794" s="10">
        <v>-2.8395536258985159E-2</v>
      </c>
      <c r="N794" s="24" t="s">
        <v>345</v>
      </c>
      <c r="O794" s="24">
        <v>88.209696221585645</v>
      </c>
      <c r="P794">
        <v>14.412042916340329</v>
      </c>
      <c r="Q794" t="s">
        <v>348</v>
      </c>
      <c r="R794" t="s">
        <v>625</v>
      </c>
      <c r="S794" t="s">
        <v>343</v>
      </c>
      <c r="T794" t="s">
        <v>343</v>
      </c>
    </row>
    <row r="795" spans="2:20" x14ac:dyDescent="0.25">
      <c r="B795">
        <v>790</v>
      </c>
      <c r="C795" t="s">
        <v>1134</v>
      </c>
      <c r="D795" s="10">
        <v>0.22356596648965879</v>
      </c>
      <c r="E795" s="10">
        <v>1.0991121091728839</v>
      </c>
      <c r="F795" s="10">
        <v>0.45551217806595728</v>
      </c>
      <c r="G795" s="10">
        <v>0.41793194015073282</v>
      </c>
      <c r="H795" s="6">
        <v>0.2108812196352835</v>
      </c>
      <c r="I795" s="10">
        <v>13.921595909769261</v>
      </c>
      <c r="J795" s="7">
        <v>1.78499520613585E-2</v>
      </c>
      <c r="K795" s="5">
        <v>0.12914931778388489</v>
      </c>
      <c r="L795">
        <v>559.33051360082982</v>
      </c>
      <c r="M795" s="10">
        <v>-5.2586701835756609E-2</v>
      </c>
      <c r="N795" s="24" t="s">
        <v>343</v>
      </c>
      <c r="O795" s="24">
        <v>78.017053302412492</v>
      </c>
      <c r="P795">
        <v>18.465490103987211</v>
      </c>
      <c r="Q795" t="s">
        <v>348</v>
      </c>
      <c r="R795" t="s">
        <v>371</v>
      </c>
      <c r="S795" t="s">
        <v>343</v>
      </c>
      <c r="T795" t="s">
        <v>343</v>
      </c>
    </row>
    <row r="796" spans="2:20" x14ac:dyDescent="0.25">
      <c r="B796">
        <v>791</v>
      </c>
      <c r="C796" t="s">
        <v>1135</v>
      </c>
      <c r="D796" s="10">
        <v>0.28756725852472859</v>
      </c>
      <c r="E796" s="10">
        <v>1.306549638759118</v>
      </c>
      <c r="F796" s="10">
        <v>0.54204734832089985</v>
      </c>
      <c r="G796" s="10">
        <v>0.42111201662643621</v>
      </c>
      <c r="H796" s="6">
        <v>0.24457767416227769</v>
      </c>
      <c r="I796" s="10">
        <v>3.472624744564984</v>
      </c>
      <c r="J796" s="7">
        <v>3.6345009451681683E-2</v>
      </c>
      <c r="K796" s="5">
        <v>0.1207047655856457</v>
      </c>
      <c r="L796">
        <v>323.09974932319341</v>
      </c>
      <c r="M796" s="10">
        <v>-0.45272251075366188</v>
      </c>
      <c r="N796" s="24" t="s">
        <v>343</v>
      </c>
      <c r="O796" s="24">
        <v>23.836649354780281</v>
      </c>
      <c r="P796">
        <v>52.513105431778293</v>
      </c>
      <c r="Q796" t="s">
        <v>47</v>
      </c>
      <c r="R796" t="s">
        <v>350</v>
      </c>
      <c r="S796" t="s">
        <v>343</v>
      </c>
      <c r="T796" t="s">
        <v>343</v>
      </c>
    </row>
    <row r="797" spans="2:20" x14ac:dyDescent="0.25">
      <c r="B797">
        <v>792</v>
      </c>
      <c r="C797" t="s">
        <v>1136</v>
      </c>
      <c r="D797" s="10">
        <v>0.18398678837580379</v>
      </c>
      <c r="E797" s="10">
        <v>0.63424761038759425</v>
      </c>
      <c r="F797" s="10">
        <v>0.67316231038600094</v>
      </c>
      <c r="G797" s="10">
        <v>0.3611350157038139</v>
      </c>
      <c r="H797" s="6">
        <v>0.19717158733135451</v>
      </c>
      <c r="I797" s="10">
        <v>7.9662038682553913</v>
      </c>
      <c r="J797" s="7">
        <v>1.3600924099786971E-2</v>
      </c>
      <c r="K797" s="5">
        <v>0.14798175703886129</v>
      </c>
      <c r="L797">
        <v>111.9704012852518</v>
      </c>
      <c r="M797" s="10">
        <v>-0.81034067586353675</v>
      </c>
      <c r="N797" s="24" t="s">
        <v>343</v>
      </c>
      <c r="O797" s="24">
        <v>2.3795594481877909</v>
      </c>
      <c r="P797">
        <v>59.535875785206763</v>
      </c>
      <c r="Q797" t="s">
        <v>47</v>
      </c>
      <c r="R797" t="s">
        <v>350</v>
      </c>
      <c r="S797" t="s">
        <v>343</v>
      </c>
      <c r="T797" t="s">
        <v>343</v>
      </c>
    </row>
    <row r="798" spans="2:20" x14ac:dyDescent="0.25">
      <c r="B798">
        <v>793</v>
      </c>
      <c r="C798" t="s">
        <v>1137</v>
      </c>
      <c r="D798" s="10">
        <v>0.19668022323722259</v>
      </c>
      <c r="E798" s="10">
        <v>1.116053546095251</v>
      </c>
      <c r="F798" s="10">
        <v>0.50278558941394302</v>
      </c>
      <c r="G798" s="10">
        <v>0.27896653105380309</v>
      </c>
      <c r="H798" s="6">
        <v>0.1574780050882634</v>
      </c>
      <c r="I798" s="10">
        <v>9.0318140856930036</v>
      </c>
      <c r="J798" s="7">
        <v>1.1044762365772939E-2</v>
      </c>
      <c r="K798" s="5">
        <v>0.11341545680797149</v>
      </c>
      <c r="L798">
        <v>162.31378129184549</v>
      </c>
      <c r="M798" s="10">
        <v>-0.7250673240027059</v>
      </c>
      <c r="N798" s="24" t="s">
        <v>343</v>
      </c>
      <c r="O798" s="24">
        <v>7.4959605598376413</v>
      </c>
      <c r="P798">
        <v>52.382850507914817</v>
      </c>
      <c r="Q798" t="s">
        <v>47</v>
      </c>
      <c r="R798" t="s">
        <v>350</v>
      </c>
      <c r="S798" t="s">
        <v>343</v>
      </c>
      <c r="T798" t="s">
        <v>343</v>
      </c>
    </row>
    <row r="799" spans="2:20" x14ac:dyDescent="0.25">
      <c r="B799">
        <v>794</v>
      </c>
      <c r="C799" t="s">
        <v>1138</v>
      </c>
      <c r="D799" s="10">
        <v>0.27556041094289058</v>
      </c>
      <c r="E799" s="10">
        <v>1.0854029793758619</v>
      </c>
      <c r="F799" s="10">
        <v>0.6235537015324748</v>
      </c>
      <c r="G799" s="10">
        <v>0.27261120549195123</v>
      </c>
      <c r="H799" s="6">
        <v>0.22417354071871651</v>
      </c>
      <c r="I799" s="10">
        <v>8.1364594374197381</v>
      </c>
      <c r="J799" s="7">
        <v>3.9280443972507413E-2</v>
      </c>
      <c r="K799" s="5">
        <v>0.13639932176228869</v>
      </c>
      <c r="L799">
        <v>313.03750712417542</v>
      </c>
      <c r="M799" s="10">
        <v>-0.46976628332978582</v>
      </c>
      <c r="N799" s="24" t="s">
        <v>343</v>
      </c>
      <c r="O799" s="24">
        <v>22.81402300021286</v>
      </c>
      <c r="P799">
        <v>20.037626563003151</v>
      </c>
      <c r="Q799" t="s">
        <v>348</v>
      </c>
      <c r="R799" t="s">
        <v>375</v>
      </c>
      <c r="S799" t="s">
        <v>343</v>
      </c>
      <c r="T799" t="s">
        <v>343</v>
      </c>
    </row>
    <row r="800" spans="2:20" x14ac:dyDescent="0.25">
      <c r="B800">
        <v>795</v>
      </c>
      <c r="C800" t="s">
        <v>1139</v>
      </c>
      <c r="D800" s="10">
        <v>0.2752058458473719</v>
      </c>
      <c r="E800" s="10">
        <v>0.6241589839833126</v>
      </c>
      <c r="F800" s="10">
        <v>0.51861500202141742</v>
      </c>
      <c r="G800" s="10">
        <v>0.36627657248252482</v>
      </c>
      <c r="H800" s="6">
        <v>0.25847653566660062</v>
      </c>
      <c r="I800" s="10">
        <v>8.7257527014915706</v>
      </c>
      <c r="J800" s="7">
        <v>1.459123509319808E-2</v>
      </c>
      <c r="K800" s="5">
        <v>0.12614047597363759</v>
      </c>
      <c r="L800">
        <v>97.457337262317097</v>
      </c>
      <c r="M800" s="10">
        <v>-0.83492340381792496</v>
      </c>
      <c r="N800" s="24" t="s">
        <v>343</v>
      </c>
      <c r="O800" s="24">
        <v>0.90459577092450161</v>
      </c>
      <c r="P800">
        <v>54.271972686837707</v>
      </c>
      <c r="Q800" t="s">
        <v>47</v>
      </c>
      <c r="R800" t="s">
        <v>350</v>
      </c>
      <c r="S800" t="s">
        <v>343</v>
      </c>
      <c r="T800" t="s">
        <v>343</v>
      </c>
    </row>
    <row r="801" spans="2:20" x14ac:dyDescent="0.25">
      <c r="B801">
        <v>796</v>
      </c>
      <c r="C801" t="s">
        <v>1140</v>
      </c>
      <c r="D801" s="10">
        <v>0.26258362126164758</v>
      </c>
      <c r="E801" s="10">
        <v>0.90589795799577577</v>
      </c>
      <c r="F801" s="10">
        <v>0.45167921436295527</v>
      </c>
      <c r="G801" s="10">
        <v>0.32063315781084878</v>
      </c>
      <c r="H801" s="6">
        <v>0.24618451434151131</v>
      </c>
      <c r="I801" s="10">
        <v>13.86337058638771</v>
      </c>
      <c r="J801" s="7">
        <v>1.541739512513471E-2</v>
      </c>
      <c r="K801" s="5">
        <v>0.1708746468496628</v>
      </c>
      <c r="L801">
        <v>206.56217619591939</v>
      </c>
      <c r="M801" s="10">
        <v>-0.65011786793841531</v>
      </c>
      <c r="N801" s="24" t="s">
        <v>343</v>
      </c>
      <c r="O801" s="24">
        <v>11.992927923695079</v>
      </c>
      <c r="P801">
        <v>21.54264665452822</v>
      </c>
      <c r="Q801" t="s">
        <v>348</v>
      </c>
      <c r="R801" t="s">
        <v>371</v>
      </c>
      <c r="S801" t="s">
        <v>343</v>
      </c>
      <c r="T801" t="s">
        <v>343</v>
      </c>
    </row>
    <row r="802" spans="2:20" x14ac:dyDescent="0.25">
      <c r="B802">
        <v>797</v>
      </c>
      <c r="C802" t="s">
        <v>1141</v>
      </c>
      <c r="D802" s="10">
        <v>0.27103175111473599</v>
      </c>
      <c r="E802" s="10">
        <v>0.9901566223973246</v>
      </c>
      <c r="F802" s="10">
        <v>0.58473955116668042</v>
      </c>
      <c r="G802" s="10">
        <v>0.36277061307406883</v>
      </c>
      <c r="H802" s="6">
        <v>0.1497545409360127</v>
      </c>
      <c r="I802" s="10">
        <v>12.645917422571371</v>
      </c>
      <c r="J802" s="7">
        <v>3.1230589075290111E-2</v>
      </c>
      <c r="K802" s="5">
        <v>0.1664686284478577</v>
      </c>
      <c r="L802">
        <v>284.43550539499608</v>
      </c>
      <c r="M802" s="10">
        <v>-0.51821333946818859</v>
      </c>
      <c r="N802" s="24" t="s">
        <v>343</v>
      </c>
      <c r="O802" s="24">
        <v>19.907199631908689</v>
      </c>
      <c r="P802">
        <v>61.426526174291837</v>
      </c>
      <c r="Q802" t="s">
        <v>47</v>
      </c>
      <c r="R802" t="s">
        <v>350</v>
      </c>
      <c r="S802" t="s">
        <v>343</v>
      </c>
      <c r="T802" t="s">
        <v>343</v>
      </c>
    </row>
    <row r="803" spans="2:20" x14ac:dyDescent="0.25">
      <c r="B803">
        <v>798</v>
      </c>
      <c r="C803" t="s">
        <v>1142</v>
      </c>
      <c r="D803" s="10">
        <v>0.24683591093561541</v>
      </c>
      <c r="E803" s="10">
        <v>0.82924499191021139</v>
      </c>
      <c r="F803" s="10">
        <v>0.6570619075395554</v>
      </c>
      <c r="G803" s="10">
        <v>0.34966512573233027</v>
      </c>
      <c r="H803" s="6">
        <v>0.16753336785932249</v>
      </c>
      <c r="I803" s="10">
        <v>6.3928804722572279</v>
      </c>
      <c r="J803" s="7">
        <v>3.8586898079039068E-2</v>
      </c>
      <c r="K803" s="5">
        <v>0.1090184003182342</v>
      </c>
      <c r="L803">
        <v>399.28592346877599</v>
      </c>
      <c r="M803" s="10">
        <v>-0.32367574365149482</v>
      </c>
      <c r="N803" s="24" t="s">
        <v>343</v>
      </c>
      <c r="O803" s="24">
        <v>31.579455380910311</v>
      </c>
      <c r="P803">
        <v>55.221198864516403</v>
      </c>
      <c r="Q803" t="s">
        <v>47</v>
      </c>
      <c r="R803" t="s">
        <v>350</v>
      </c>
      <c r="S803" t="s">
        <v>343</v>
      </c>
      <c r="T803" t="s">
        <v>343</v>
      </c>
    </row>
    <row r="804" spans="2:20" x14ac:dyDescent="0.25">
      <c r="B804">
        <v>799</v>
      </c>
      <c r="C804" t="s">
        <v>1143</v>
      </c>
      <c r="D804" s="10">
        <v>0.20028784942511241</v>
      </c>
      <c r="E804" s="10">
        <v>1.2098965773238139</v>
      </c>
      <c r="F804" s="10">
        <v>0.546461796569081</v>
      </c>
      <c r="G804" s="10">
        <v>0.37248357753346067</v>
      </c>
      <c r="H804" s="6">
        <v>0.19753210109605171</v>
      </c>
      <c r="I804" s="10">
        <v>9.0662475410984911</v>
      </c>
      <c r="J804" s="7">
        <v>1.6636032201436481E-2</v>
      </c>
      <c r="K804" s="5">
        <v>0.19058096934840221</v>
      </c>
      <c r="L804">
        <v>303.79394938663683</v>
      </c>
      <c r="M804" s="10">
        <v>-0.48542333995363168</v>
      </c>
      <c r="N804" s="24" t="s">
        <v>343</v>
      </c>
      <c r="O804" s="24">
        <v>21.874599602782101</v>
      </c>
      <c r="P804">
        <v>66.19171650434032</v>
      </c>
      <c r="Q804" t="s">
        <v>47</v>
      </c>
      <c r="R804" t="s">
        <v>350</v>
      </c>
      <c r="S804" t="s">
        <v>343</v>
      </c>
      <c r="T804" t="s">
        <v>343</v>
      </c>
    </row>
    <row r="805" spans="2:20" x14ac:dyDescent="0.25">
      <c r="B805">
        <v>800</v>
      </c>
      <c r="C805" t="s">
        <v>1144</v>
      </c>
      <c r="D805" s="10">
        <v>0.21531135896062709</v>
      </c>
      <c r="E805" s="10">
        <v>1.216155945977788</v>
      </c>
      <c r="F805" s="10">
        <v>0.60049639487910267</v>
      </c>
      <c r="G805" s="10">
        <v>0.24706459396204439</v>
      </c>
      <c r="H805" s="6">
        <v>0.2057404942854098</v>
      </c>
      <c r="I805" s="10">
        <v>3.003421137816809</v>
      </c>
      <c r="J805" s="7">
        <v>1.399672821493048E-2</v>
      </c>
      <c r="K805" s="5">
        <v>0.17074487721760839</v>
      </c>
      <c r="L805">
        <v>73.643500170616264</v>
      </c>
      <c r="M805" s="10">
        <v>-0.87526010169580171</v>
      </c>
      <c r="N805" s="24" t="s">
        <v>343</v>
      </c>
      <c r="O805" s="24">
        <v>0</v>
      </c>
      <c r="P805">
        <v>55.996079781044259</v>
      </c>
      <c r="Q805" t="s">
        <v>47</v>
      </c>
      <c r="R805" t="s">
        <v>350</v>
      </c>
      <c r="S805" t="s">
        <v>343</v>
      </c>
      <c r="T805" t="s">
        <v>343</v>
      </c>
    </row>
    <row r="806" spans="2:20" x14ac:dyDescent="0.25">
      <c r="B806">
        <v>801</v>
      </c>
      <c r="C806" t="s">
        <v>1145</v>
      </c>
      <c r="D806" s="10">
        <v>0.18905563468822811</v>
      </c>
      <c r="E806" s="10">
        <v>1.2356606031317121</v>
      </c>
      <c r="F806" s="10">
        <v>0.67400613539100873</v>
      </c>
      <c r="G806" s="10">
        <v>0.24722406973862709</v>
      </c>
      <c r="H806" s="6">
        <v>0.14907211716877919</v>
      </c>
      <c r="I806" s="10">
        <v>7.5052590151109051</v>
      </c>
      <c r="J806" s="7">
        <v>1.270628209252986E-2</v>
      </c>
      <c r="K806" s="5">
        <v>0.15851607609603799</v>
      </c>
      <c r="L806">
        <v>188.2509704838651</v>
      </c>
      <c r="M806" s="10">
        <v>-0.68113401916774374</v>
      </c>
      <c r="N806" s="24" t="s">
        <v>343</v>
      </c>
      <c r="O806" s="24">
        <v>10.13195884993538</v>
      </c>
      <c r="P806">
        <v>20.223315588520009</v>
      </c>
      <c r="Q806" t="s">
        <v>348</v>
      </c>
      <c r="R806" t="s">
        <v>351</v>
      </c>
      <c r="S806" t="s">
        <v>343</v>
      </c>
      <c r="T806" t="s">
        <v>343</v>
      </c>
    </row>
    <row r="807" spans="2:20" x14ac:dyDescent="0.25">
      <c r="B807">
        <v>802</v>
      </c>
      <c r="C807" t="s">
        <v>1146</v>
      </c>
      <c r="D807" s="10">
        <v>0.30535208981338058</v>
      </c>
      <c r="E807" s="10">
        <v>1.1837659260079789</v>
      </c>
      <c r="F807" s="10">
        <v>0.64532057331161674</v>
      </c>
      <c r="G807" s="10">
        <v>0.39875093758667191</v>
      </c>
      <c r="H807" s="6">
        <v>0.1545018510022747</v>
      </c>
      <c r="I807" s="10">
        <v>4.8026164514816534</v>
      </c>
      <c r="J807" s="7">
        <v>1.0869624405490859E-2</v>
      </c>
      <c r="K807" s="5">
        <v>0.14538164200454509</v>
      </c>
      <c r="L807">
        <v>124.5574252200495</v>
      </c>
      <c r="M807" s="10">
        <v>-0.78902034098073537</v>
      </c>
      <c r="N807" s="24" t="s">
        <v>343</v>
      </c>
      <c r="O807" s="24">
        <v>3.6587795411558801</v>
      </c>
      <c r="P807">
        <v>51.584342122684518</v>
      </c>
      <c r="Q807" t="s">
        <v>47</v>
      </c>
      <c r="R807" t="s">
        <v>350</v>
      </c>
      <c r="S807" t="s">
        <v>343</v>
      </c>
      <c r="T807" t="s">
        <v>343</v>
      </c>
    </row>
    <row r="808" spans="2:20" x14ac:dyDescent="0.25">
      <c r="B808">
        <v>803</v>
      </c>
      <c r="C808" t="s">
        <v>1147</v>
      </c>
      <c r="D808" s="10">
        <v>0.25334268716257929</v>
      </c>
      <c r="E808" s="10">
        <v>0.8368918249168591</v>
      </c>
      <c r="F808" s="10">
        <v>0.49040786384213297</v>
      </c>
      <c r="G808" s="10">
        <v>0.28248799364099841</v>
      </c>
      <c r="H808" s="6">
        <v>0.23382466035531549</v>
      </c>
      <c r="I808" s="10">
        <v>10.824966498532261</v>
      </c>
      <c r="J808" s="7">
        <v>1.4076770245032519E-2</v>
      </c>
      <c r="K808" s="5">
        <v>0.11690262997271671</v>
      </c>
      <c r="L808">
        <v>247.0388506772133</v>
      </c>
      <c r="M808" s="10">
        <v>-0.5815570818976763</v>
      </c>
      <c r="N808" s="24" t="s">
        <v>343</v>
      </c>
      <c r="O808" s="24">
        <v>16.106575086139419</v>
      </c>
      <c r="P808">
        <v>22.322306728140319</v>
      </c>
      <c r="Q808" t="s">
        <v>348</v>
      </c>
      <c r="R808" t="s">
        <v>371</v>
      </c>
      <c r="S808" t="s">
        <v>343</v>
      </c>
      <c r="T808" t="s">
        <v>343</v>
      </c>
    </row>
    <row r="809" spans="2:20" x14ac:dyDescent="0.25">
      <c r="B809">
        <v>804</v>
      </c>
      <c r="C809" t="s">
        <v>1148</v>
      </c>
      <c r="D809" s="10">
        <v>0.22413622668218239</v>
      </c>
      <c r="E809" s="10">
        <v>0.71958212796390786</v>
      </c>
      <c r="F809" s="10">
        <v>0.63067982943490142</v>
      </c>
      <c r="G809" s="10">
        <v>0.3834836616822524</v>
      </c>
      <c r="H809" s="6">
        <v>0.2295476125072414</v>
      </c>
      <c r="I809" s="10">
        <v>5.4319853539697256</v>
      </c>
      <c r="J809" s="7">
        <v>4.2994216834903343E-2</v>
      </c>
      <c r="K809" s="5">
        <v>0.19139151781374539</v>
      </c>
      <c r="L809">
        <v>147.20729541190681</v>
      </c>
      <c r="M809" s="10">
        <v>-0.75065521034748395</v>
      </c>
      <c r="N809" s="24" t="s">
        <v>343</v>
      </c>
      <c r="O809" s="24">
        <v>5.9606873791509614</v>
      </c>
      <c r="P809">
        <v>53.737034142055478</v>
      </c>
      <c r="Q809" t="s">
        <v>47</v>
      </c>
      <c r="R809" t="s">
        <v>350</v>
      </c>
      <c r="S809" t="s">
        <v>343</v>
      </c>
      <c r="T809" t="s">
        <v>343</v>
      </c>
    </row>
    <row r="810" spans="2:20" x14ac:dyDescent="0.25">
      <c r="B810">
        <v>805</v>
      </c>
      <c r="C810" t="s">
        <v>1149</v>
      </c>
      <c r="D810" s="10">
        <v>0.23392092858306121</v>
      </c>
      <c r="E810" s="10">
        <v>1.2145139120858079</v>
      </c>
      <c r="F810" s="10">
        <v>0.57049218654163947</v>
      </c>
      <c r="G810" s="10">
        <v>0.36024670037411999</v>
      </c>
      <c r="H810" s="6">
        <v>0.2458813221943337</v>
      </c>
      <c r="I810" s="10">
        <v>11.237852100627689</v>
      </c>
      <c r="J810" s="7">
        <v>1.3334887940456159E-2</v>
      </c>
      <c r="K810" s="5">
        <v>0.1007465457867288</v>
      </c>
      <c r="L810">
        <v>639.89578024997479</v>
      </c>
      <c r="M810" s="10">
        <v>8.3877523050105082E-2</v>
      </c>
      <c r="N810" s="24" t="s">
        <v>343</v>
      </c>
      <c r="O810" s="24">
        <v>66.126541240960066</v>
      </c>
      <c r="P810">
        <v>18.196309463628371</v>
      </c>
      <c r="Q810" t="s">
        <v>348</v>
      </c>
      <c r="R810" t="s">
        <v>375</v>
      </c>
      <c r="S810" t="s">
        <v>343</v>
      </c>
      <c r="T810" t="s">
        <v>343</v>
      </c>
    </row>
    <row r="811" spans="2:20" x14ac:dyDescent="0.25">
      <c r="B811">
        <v>806</v>
      </c>
      <c r="C811" t="s">
        <v>1150</v>
      </c>
      <c r="D811" s="10">
        <v>0.31156533433789052</v>
      </c>
      <c r="E811" s="10">
        <v>0.83922160441189342</v>
      </c>
      <c r="F811" s="10">
        <v>0.63395137005038205</v>
      </c>
      <c r="G811" s="10">
        <v>0.45599478370901708</v>
      </c>
      <c r="H811" s="6">
        <v>0.25993947109203469</v>
      </c>
      <c r="I811" s="10">
        <v>6.4447581737808024</v>
      </c>
      <c r="J811" s="7">
        <v>3.0914564092629219E-2</v>
      </c>
      <c r="K811" s="5">
        <v>0.1657857077518384</v>
      </c>
      <c r="L811">
        <v>134.66643230988501</v>
      </c>
      <c r="M811" s="10">
        <v>-0.77189735642105206</v>
      </c>
      <c r="N811" s="24" t="s">
        <v>343</v>
      </c>
      <c r="O811" s="24">
        <v>4.6861586147368746</v>
      </c>
      <c r="P811">
        <v>47.050606009387039</v>
      </c>
      <c r="Q811" t="s">
        <v>346</v>
      </c>
      <c r="R811" t="s">
        <v>347</v>
      </c>
      <c r="S811" t="s">
        <v>343</v>
      </c>
      <c r="T811" t="s">
        <v>343</v>
      </c>
    </row>
    <row r="812" spans="2:20" x14ac:dyDescent="0.25">
      <c r="B812">
        <v>807</v>
      </c>
      <c r="C812" t="s">
        <v>1151</v>
      </c>
      <c r="D812" s="10">
        <v>0.18453622449857279</v>
      </c>
      <c r="E812" s="10">
        <v>0.57100853849077993</v>
      </c>
      <c r="F812" s="10">
        <v>0.56857404313577664</v>
      </c>
      <c r="G812" s="10">
        <v>0.42378929335427368</v>
      </c>
      <c r="H812" s="6">
        <v>0.16623916783540379</v>
      </c>
      <c r="I812" s="10">
        <v>13.184114834425131</v>
      </c>
      <c r="J812" s="7">
        <v>4.2233823612061037E-2</v>
      </c>
      <c r="K812" s="5">
        <v>0.14820721083113839</v>
      </c>
      <c r="L812">
        <v>267.73111742729901</v>
      </c>
      <c r="M812" s="10">
        <v>-0.54650780743205407</v>
      </c>
      <c r="N812" s="24" t="s">
        <v>343</v>
      </c>
      <c r="O812" s="24">
        <v>18.209531554076761</v>
      </c>
      <c r="P812">
        <v>59.005046596112983</v>
      </c>
      <c r="Q812" t="s">
        <v>47</v>
      </c>
      <c r="R812" t="s">
        <v>350</v>
      </c>
      <c r="S812" t="s">
        <v>343</v>
      </c>
      <c r="T812" t="s">
        <v>343</v>
      </c>
    </row>
    <row r="813" spans="2:20" x14ac:dyDescent="0.25">
      <c r="B813">
        <v>808</v>
      </c>
      <c r="C813" t="s">
        <v>1152</v>
      </c>
      <c r="D813" s="10">
        <v>0.25379677312268761</v>
      </c>
      <c r="E813" s="10">
        <v>0.85807788555443776</v>
      </c>
      <c r="F813" s="10">
        <v>0.47326912266815868</v>
      </c>
      <c r="G813" s="10">
        <v>0.33088959469289692</v>
      </c>
      <c r="H813" s="6">
        <v>0.24893924348558691</v>
      </c>
      <c r="I813" s="10">
        <v>7.8995826187148088</v>
      </c>
      <c r="J813" s="7">
        <v>3.1973704927166023E-2</v>
      </c>
      <c r="K813" s="5">
        <v>0.18574527955233461</v>
      </c>
      <c r="L813">
        <v>79.205258630508979</v>
      </c>
      <c r="M813" s="10">
        <v>-0.86583940356124511</v>
      </c>
      <c r="N813" s="24" t="s">
        <v>343</v>
      </c>
      <c r="O813" s="24">
        <v>0</v>
      </c>
      <c r="P813">
        <v>52.97724299367168</v>
      </c>
      <c r="Q813" t="s">
        <v>47</v>
      </c>
      <c r="R813" t="s">
        <v>350</v>
      </c>
      <c r="S813" t="s">
        <v>343</v>
      </c>
      <c r="T813" t="s">
        <v>343</v>
      </c>
    </row>
    <row r="814" spans="2:20" x14ac:dyDescent="0.25">
      <c r="B814">
        <v>809</v>
      </c>
      <c r="C814" t="s">
        <v>1153</v>
      </c>
      <c r="D814" s="10">
        <v>0.24094218862151459</v>
      </c>
      <c r="E814" s="10">
        <v>0.45603480411116631</v>
      </c>
      <c r="F814" s="10">
        <v>0.58817645613920222</v>
      </c>
      <c r="G814" s="10">
        <v>0.37561082042049632</v>
      </c>
      <c r="H814" s="6">
        <v>0.219901768691428</v>
      </c>
      <c r="I814" s="10">
        <v>12.234694916412341</v>
      </c>
      <c r="J814" s="7">
        <v>1.114610140831717E-2</v>
      </c>
      <c r="K814" s="5">
        <v>0.13616624153870369</v>
      </c>
      <c r="L814">
        <v>198.26862782348721</v>
      </c>
      <c r="M814" s="10">
        <v>-0.66416576596283472</v>
      </c>
      <c r="N814" s="24" t="s">
        <v>343</v>
      </c>
      <c r="O814" s="24">
        <v>11.15005404222992</v>
      </c>
      <c r="P814">
        <v>56.887417977644873</v>
      </c>
      <c r="Q814" t="s">
        <v>47</v>
      </c>
      <c r="R814" t="s">
        <v>350</v>
      </c>
      <c r="S814" t="s">
        <v>343</v>
      </c>
      <c r="T814" t="s">
        <v>343</v>
      </c>
    </row>
    <row r="815" spans="2:20" x14ac:dyDescent="0.25">
      <c r="B815">
        <v>810</v>
      </c>
      <c r="C815" t="s">
        <v>1154</v>
      </c>
      <c r="D815" s="10">
        <v>0.25783267766954371</v>
      </c>
      <c r="E815" s="10">
        <v>1.060792439658679</v>
      </c>
      <c r="F815" s="10">
        <v>0.56795483802330837</v>
      </c>
      <c r="G815" s="10">
        <v>0.26580368058960391</v>
      </c>
      <c r="H815" s="6">
        <v>0.26366556358376991</v>
      </c>
      <c r="I815" s="10">
        <v>9.9098260334291446</v>
      </c>
      <c r="J815" s="7">
        <v>3.087448325255868E-2</v>
      </c>
      <c r="K815" s="5">
        <v>0.14927121980195529</v>
      </c>
      <c r="L815">
        <v>148.15681368024639</v>
      </c>
      <c r="M815" s="10">
        <v>-0.74904688358468396</v>
      </c>
      <c r="N815" s="24" t="s">
        <v>343</v>
      </c>
      <c r="O815" s="24">
        <v>6.0571869849189568</v>
      </c>
      <c r="P815">
        <v>45.818345918450397</v>
      </c>
      <c r="Q815" t="s">
        <v>346</v>
      </c>
      <c r="R815" t="s">
        <v>347</v>
      </c>
      <c r="S815" t="s">
        <v>343</v>
      </c>
      <c r="T815" t="s">
        <v>343</v>
      </c>
    </row>
    <row r="816" spans="2:20" x14ac:dyDescent="0.25">
      <c r="B816">
        <v>811</v>
      </c>
      <c r="C816" t="s">
        <v>1155</v>
      </c>
      <c r="D816" s="10">
        <v>0.16289762941133451</v>
      </c>
      <c r="E816" s="10">
        <v>0.66951340978629692</v>
      </c>
      <c r="F816" s="10">
        <v>0.57465965074677483</v>
      </c>
      <c r="G816" s="10">
        <v>0.32500492945172382</v>
      </c>
      <c r="H816" s="6">
        <v>0.16081112340351239</v>
      </c>
      <c r="I816" s="10">
        <v>13.75138036393817</v>
      </c>
      <c r="J816" s="7">
        <v>4.1607285739420158E-2</v>
      </c>
      <c r="K816" s="5">
        <v>0.1705222422317717</v>
      </c>
      <c r="L816">
        <v>134.5699426594816</v>
      </c>
      <c r="M816" s="10">
        <v>-0.77206079391588645</v>
      </c>
      <c r="N816" s="24" t="s">
        <v>343</v>
      </c>
      <c r="O816" s="24">
        <v>4.6763523650468173</v>
      </c>
      <c r="P816">
        <v>54.221004342444303</v>
      </c>
      <c r="Q816" t="s">
        <v>47</v>
      </c>
      <c r="R816" t="s">
        <v>350</v>
      </c>
      <c r="S816" t="s">
        <v>343</v>
      </c>
      <c r="T816" t="s">
        <v>343</v>
      </c>
    </row>
    <row r="817" spans="2:20" x14ac:dyDescent="0.25">
      <c r="B817">
        <v>812</v>
      </c>
      <c r="C817" t="s">
        <v>1156</v>
      </c>
      <c r="D817" s="10">
        <v>0.29953982543106428</v>
      </c>
      <c r="E817" s="10">
        <v>0.58672467829219976</v>
      </c>
      <c r="F817" s="10">
        <v>0.6685146379479262</v>
      </c>
      <c r="G817" s="10">
        <v>0.40145530303977239</v>
      </c>
      <c r="H817" s="6">
        <v>0.16045072524592879</v>
      </c>
      <c r="I817" s="10">
        <v>11.16995025783293</v>
      </c>
      <c r="J817" s="7">
        <v>2.1289566227804431E-2</v>
      </c>
      <c r="K817" s="5">
        <v>0.10451882161563961</v>
      </c>
      <c r="L817">
        <v>229.16967809291529</v>
      </c>
      <c r="M817" s="10">
        <v>-0.61182450218298856</v>
      </c>
      <c r="N817" s="24" t="s">
        <v>343</v>
      </c>
      <c r="O817" s="24">
        <v>14.290529869020689</v>
      </c>
      <c r="P817">
        <v>50.980697323520708</v>
      </c>
      <c r="Q817" t="s">
        <v>47</v>
      </c>
      <c r="R817" t="s">
        <v>350</v>
      </c>
      <c r="S817" t="s">
        <v>343</v>
      </c>
      <c r="T817" t="s">
        <v>343</v>
      </c>
    </row>
    <row r="818" spans="2:20" x14ac:dyDescent="0.25">
      <c r="B818">
        <v>813</v>
      </c>
      <c r="C818" t="s">
        <v>1157</v>
      </c>
      <c r="D818" s="10">
        <v>0.30913892519737801</v>
      </c>
      <c r="E818" s="10">
        <v>1.3521596208582189</v>
      </c>
      <c r="F818" s="10">
        <v>0.67265763214362528</v>
      </c>
      <c r="G818" s="10">
        <v>0.3769877485083038</v>
      </c>
      <c r="H818" s="6">
        <v>0.22564401730390901</v>
      </c>
      <c r="I818" s="10">
        <v>11.00473654542524</v>
      </c>
      <c r="J818" s="7">
        <v>2.0976977534979551E-2</v>
      </c>
      <c r="K818" s="5">
        <v>0.1051751478973771</v>
      </c>
      <c r="L818">
        <v>590.01611949294488</v>
      </c>
      <c r="M818" s="10">
        <v>-6.1036516629989104E-4</v>
      </c>
      <c r="N818" s="24" t="s">
        <v>345</v>
      </c>
      <c r="O818" s="24">
        <v>98.768061236806048</v>
      </c>
      <c r="P818">
        <v>9.4859947917667427</v>
      </c>
      <c r="Q818" t="s">
        <v>348</v>
      </c>
      <c r="R818" t="s">
        <v>349</v>
      </c>
      <c r="S818" t="s">
        <v>343</v>
      </c>
      <c r="T818" t="s">
        <v>343</v>
      </c>
    </row>
    <row r="819" spans="2:20" x14ac:dyDescent="0.25">
      <c r="B819">
        <v>814</v>
      </c>
      <c r="C819" t="s">
        <v>1158</v>
      </c>
      <c r="D819" s="10">
        <v>0.25042130937427343</v>
      </c>
      <c r="E819" s="10">
        <v>1.1545690953341381</v>
      </c>
      <c r="F819" s="10">
        <v>0.55791964775908676</v>
      </c>
      <c r="G819" s="10">
        <v>0.3465836913630187</v>
      </c>
      <c r="H819" s="6">
        <v>0.2592616161057415</v>
      </c>
      <c r="I819" s="10">
        <v>5.9135258069425038</v>
      </c>
      <c r="J819" s="7">
        <v>1.871022560452824E-2</v>
      </c>
      <c r="K819" s="5">
        <v>0.1201089111396032</v>
      </c>
      <c r="L819">
        <v>219.20145993664769</v>
      </c>
      <c r="M819" s="10">
        <v>-0.62870901359548403</v>
      </c>
      <c r="N819" s="24" t="s">
        <v>343</v>
      </c>
      <c r="O819" s="24">
        <v>13.27745918427096</v>
      </c>
      <c r="P819">
        <v>51.983754948090763</v>
      </c>
      <c r="Q819" t="s">
        <v>47</v>
      </c>
      <c r="R819" t="s">
        <v>350</v>
      </c>
      <c r="S819" t="s">
        <v>343</v>
      </c>
      <c r="T819" t="s">
        <v>343</v>
      </c>
    </row>
    <row r="820" spans="2:20" x14ac:dyDescent="0.25">
      <c r="B820">
        <v>815</v>
      </c>
      <c r="C820" t="s">
        <v>1159</v>
      </c>
      <c r="D820" s="10">
        <v>0.27146413182030282</v>
      </c>
      <c r="E820" s="10">
        <v>1.165776452996325</v>
      </c>
      <c r="F820" s="10">
        <v>0.55849033073282295</v>
      </c>
      <c r="G820" s="10">
        <v>0.27883640289158718</v>
      </c>
      <c r="H820" s="6">
        <v>0.2436833737179652</v>
      </c>
      <c r="I820" s="10">
        <v>8.5534572606979431</v>
      </c>
      <c r="J820" s="7">
        <v>2.7694060543119799E-2</v>
      </c>
      <c r="K820" s="5">
        <v>0.11391033543527671</v>
      </c>
      <c r="L820">
        <v>351.69166534566352</v>
      </c>
      <c r="M820" s="10">
        <v>-0.404292538132831</v>
      </c>
      <c r="N820" s="24" t="s">
        <v>343</v>
      </c>
      <c r="O820" s="24">
        <v>26.742447712030138</v>
      </c>
      <c r="P820">
        <v>20.844488787590251</v>
      </c>
      <c r="Q820" t="s">
        <v>348</v>
      </c>
      <c r="R820" t="s">
        <v>375</v>
      </c>
      <c r="S820" t="s">
        <v>343</v>
      </c>
      <c r="T820" t="s">
        <v>343</v>
      </c>
    </row>
    <row r="821" spans="2:20" x14ac:dyDescent="0.25">
      <c r="B821">
        <v>816</v>
      </c>
      <c r="C821" t="s">
        <v>1160</v>
      </c>
      <c r="D821" s="10">
        <v>0.30759990098836731</v>
      </c>
      <c r="E821" s="10">
        <v>0.98609416620710166</v>
      </c>
      <c r="F821" s="10">
        <v>0.57394860930688019</v>
      </c>
      <c r="G821" s="10">
        <v>0.41669210375465981</v>
      </c>
      <c r="H821" s="6">
        <v>0.22905593366900351</v>
      </c>
      <c r="I821" s="10">
        <v>6.1912505755420231</v>
      </c>
      <c r="J821" s="7">
        <v>1.8327999613827091E-2</v>
      </c>
      <c r="K821" s="5">
        <v>0.1006121294917198</v>
      </c>
      <c r="L821">
        <v>163.9667050799971</v>
      </c>
      <c r="M821" s="10">
        <v>-0.72226754473147459</v>
      </c>
      <c r="N821" s="24" t="s">
        <v>343</v>
      </c>
      <c r="O821" s="24">
        <v>7.6639473161115212</v>
      </c>
      <c r="P821">
        <v>49.506264559438463</v>
      </c>
      <c r="Q821" t="s">
        <v>346</v>
      </c>
      <c r="R821" t="s">
        <v>347</v>
      </c>
      <c r="S821" t="s">
        <v>343</v>
      </c>
      <c r="T821" t="s">
        <v>343</v>
      </c>
    </row>
    <row r="822" spans="2:20" x14ac:dyDescent="0.25">
      <c r="B822">
        <v>817</v>
      </c>
      <c r="C822" t="s">
        <v>1161</v>
      </c>
      <c r="D822" s="10">
        <v>0.27315818149014381</v>
      </c>
      <c r="E822" s="10">
        <v>1.223090091561327</v>
      </c>
      <c r="F822" s="10">
        <v>0.5750932123669068</v>
      </c>
      <c r="G822" s="10">
        <v>0.30009665297054688</v>
      </c>
      <c r="H822" s="6">
        <v>0.17809637970860831</v>
      </c>
      <c r="I822" s="10">
        <v>3.2122278072024399</v>
      </c>
      <c r="J822" s="7">
        <v>3.5332606998966037E-2</v>
      </c>
      <c r="K822" s="5">
        <v>0.15918403310008999</v>
      </c>
      <c r="L822">
        <v>159.6922856436999</v>
      </c>
      <c r="M822" s="10">
        <v>-0.72950770366685802</v>
      </c>
      <c r="N822" s="24" t="s">
        <v>343</v>
      </c>
      <c r="O822" s="24">
        <v>7.2295377799885152</v>
      </c>
      <c r="P822">
        <v>54.889509758591458</v>
      </c>
      <c r="Q822" t="s">
        <v>47</v>
      </c>
      <c r="R822" t="s">
        <v>350</v>
      </c>
      <c r="S822" t="s">
        <v>343</v>
      </c>
      <c r="T822" t="s">
        <v>343</v>
      </c>
    </row>
    <row r="823" spans="2:20" x14ac:dyDescent="0.25">
      <c r="B823">
        <v>818</v>
      </c>
      <c r="C823" t="s">
        <v>1162</v>
      </c>
      <c r="D823" s="10">
        <v>0.18440624686628179</v>
      </c>
      <c r="E823" s="10">
        <v>1.1350787292797191</v>
      </c>
      <c r="F823" s="10">
        <v>0.68710065748656923</v>
      </c>
      <c r="G823" s="10">
        <v>0.42050539796562009</v>
      </c>
      <c r="H823" s="6">
        <v>0.22766510020529609</v>
      </c>
      <c r="I823" s="10">
        <v>10.81643865916357</v>
      </c>
      <c r="J823" s="7">
        <v>3.2570161159686417E-2</v>
      </c>
      <c r="K823" s="5">
        <v>0.17561410690832069</v>
      </c>
      <c r="L823">
        <v>251.26798703054169</v>
      </c>
      <c r="M823" s="10">
        <v>-0.57439362500865598</v>
      </c>
      <c r="N823" s="24" t="s">
        <v>343</v>
      </c>
      <c r="O823" s="24">
        <v>16.536382499480641</v>
      </c>
      <c r="P823">
        <v>58.481429665760309</v>
      </c>
      <c r="Q823" t="s">
        <v>47</v>
      </c>
      <c r="R823" t="s">
        <v>350</v>
      </c>
      <c r="S823" t="s">
        <v>343</v>
      </c>
      <c r="T823" t="s">
        <v>343</v>
      </c>
    </row>
    <row r="824" spans="2:20" x14ac:dyDescent="0.25">
      <c r="B824">
        <v>819</v>
      </c>
      <c r="C824" t="s">
        <v>1163</v>
      </c>
      <c r="D824" s="10">
        <v>0.25220613762669009</v>
      </c>
      <c r="E824" s="10">
        <v>0.95865107454697807</v>
      </c>
      <c r="F824" s="10">
        <v>0.60884412151814826</v>
      </c>
      <c r="G824" s="10">
        <v>0.37455399381489862</v>
      </c>
      <c r="H824" s="6">
        <v>0.24016433646462221</v>
      </c>
      <c r="I824" s="10">
        <v>5.5942014967469564</v>
      </c>
      <c r="J824" s="7">
        <v>2.402707653793568E-2</v>
      </c>
      <c r="K824" s="5">
        <v>0.19092592275188111</v>
      </c>
      <c r="L824">
        <v>95.682432566274343</v>
      </c>
      <c r="M824" s="10">
        <v>-0.83792979855433858</v>
      </c>
      <c r="N824" s="24" t="s">
        <v>343</v>
      </c>
      <c r="O824" s="24">
        <v>0.72421208673968351</v>
      </c>
      <c r="P824">
        <v>54.030339969685897</v>
      </c>
      <c r="Q824" t="s">
        <v>47</v>
      </c>
      <c r="R824" t="s">
        <v>350</v>
      </c>
      <c r="S824" t="s">
        <v>343</v>
      </c>
      <c r="T824" t="s">
        <v>343</v>
      </c>
    </row>
    <row r="825" spans="2:20" x14ac:dyDescent="0.25">
      <c r="B825">
        <v>820</v>
      </c>
      <c r="C825" t="s">
        <v>1164</v>
      </c>
      <c r="D825" s="10">
        <v>0.25707440742125698</v>
      </c>
      <c r="E825" s="10">
        <v>1.357236842036889</v>
      </c>
      <c r="F825" s="10">
        <v>0.51213881867086541</v>
      </c>
      <c r="G825" s="10">
        <v>0.32200091414873322</v>
      </c>
      <c r="H825" s="6">
        <v>0.23299285196859071</v>
      </c>
      <c r="I825" s="10">
        <v>7.3705643337706626</v>
      </c>
      <c r="J825" s="7">
        <v>3.5289427022799497E-2</v>
      </c>
      <c r="K825" s="5">
        <v>0.14188553017883221</v>
      </c>
      <c r="L825">
        <v>108.1720367899599</v>
      </c>
      <c r="M825" s="10">
        <v>-0.81677447653524959</v>
      </c>
      <c r="N825" s="24" t="s">
        <v>343</v>
      </c>
      <c r="O825" s="24">
        <v>1.993531407885023</v>
      </c>
      <c r="P825">
        <v>52.707415776657399</v>
      </c>
      <c r="Q825" t="s">
        <v>47</v>
      </c>
      <c r="R825" t="s">
        <v>350</v>
      </c>
      <c r="S825" t="s">
        <v>343</v>
      </c>
      <c r="T825" t="s">
        <v>343</v>
      </c>
    </row>
    <row r="826" spans="2:20" x14ac:dyDescent="0.25">
      <c r="B826">
        <v>821</v>
      </c>
      <c r="C826" t="s">
        <v>1165</v>
      </c>
      <c r="D826" s="10">
        <v>0.2278609074083818</v>
      </c>
      <c r="E826" s="10">
        <v>0.51075444465286535</v>
      </c>
      <c r="F826" s="10">
        <v>0.57819956720803733</v>
      </c>
      <c r="G826" s="10">
        <v>0.2489331488311981</v>
      </c>
      <c r="H826" s="6">
        <v>0.22152161974291851</v>
      </c>
      <c r="I826" s="10">
        <v>6.1310266589125284</v>
      </c>
      <c r="J826" s="7">
        <v>1.344737072539004E-2</v>
      </c>
      <c r="K826" s="5">
        <v>0.12657346253294899</v>
      </c>
      <c r="L826">
        <v>82.35668756379313</v>
      </c>
      <c r="M826" s="10">
        <v>-0.8605014046375109</v>
      </c>
      <c r="N826" s="24" t="s">
        <v>343</v>
      </c>
      <c r="O826" s="24">
        <v>0</v>
      </c>
      <c r="P826">
        <v>61.099966070530627</v>
      </c>
      <c r="Q826" t="s">
        <v>47</v>
      </c>
      <c r="R826" t="s">
        <v>350</v>
      </c>
      <c r="S826" t="s">
        <v>343</v>
      </c>
      <c r="T826" t="s">
        <v>343</v>
      </c>
    </row>
    <row r="827" spans="2:20" x14ac:dyDescent="0.25">
      <c r="B827">
        <v>822</v>
      </c>
      <c r="C827" t="s">
        <v>1166</v>
      </c>
      <c r="D827" s="10">
        <v>0.27783107769995558</v>
      </c>
      <c r="E827" s="10">
        <v>1.3377176908942261</v>
      </c>
      <c r="F827" s="10">
        <v>0.60307813155607548</v>
      </c>
      <c r="G827" s="10">
        <v>0.29113214575576291</v>
      </c>
      <c r="H827" s="6">
        <v>0.12706968775360539</v>
      </c>
      <c r="I827" s="10">
        <v>5.1959944211001554</v>
      </c>
      <c r="J827" s="7">
        <v>3.6233494118443482E-2</v>
      </c>
      <c r="K827" s="5">
        <v>0.18207073263395729</v>
      </c>
      <c r="L827">
        <v>164.90432392962171</v>
      </c>
      <c r="M827" s="10">
        <v>-0.72067937361414158</v>
      </c>
      <c r="N827" s="24" t="s">
        <v>343</v>
      </c>
      <c r="O827" s="24">
        <v>7.7592375831515099</v>
      </c>
      <c r="P827">
        <v>53.693724927702043</v>
      </c>
      <c r="Q827" t="s">
        <v>47</v>
      </c>
      <c r="R827" t="s">
        <v>350</v>
      </c>
      <c r="S827" t="s">
        <v>343</v>
      </c>
      <c r="T827" t="s">
        <v>343</v>
      </c>
    </row>
    <row r="828" spans="2:20" x14ac:dyDescent="0.25">
      <c r="B828">
        <v>823</v>
      </c>
      <c r="C828" t="s">
        <v>1167</v>
      </c>
      <c r="D828" s="10">
        <v>0.30949872236304238</v>
      </c>
      <c r="E828" s="10">
        <v>0.74158197819875138</v>
      </c>
      <c r="F828" s="10">
        <v>0.60634064746363081</v>
      </c>
      <c r="G828" s="10">
        <v>0.43559560360739608</v>
      </c>
      <c r="H828" s="6">
        <v>0.2189572399672213</v>
      </c>
      <c r="I828" s="10">
        <v>3.7383125682212879</v>
      </c>
      <c r="J828" s="7">
        <v>3.1101786355429581E-2</v>
      </c>
      <c r="K828" s="5">
        <v>0.18021758321974229</v>
      </c>
      <c r="L828">
        <v>114.3470780514876</v>
      </c>
      <c r="M828" s="10">
        <v>-0.80631497885788983</v>
      </c>
      <c r="N828" s="24" t="s">
        <v>343</v>
      </c>
      <c r="O828" s="24">
        <v>2.621101268526608</v>
      </c>
      <c r="P828">
        <v>51.086550337644553</v>
      </c>
      <c r="Q828" t="s">
        <v>47</v>
      </c>
      <c r="R828" t="s">
        <v>350</v>
      </c>
      <c r="S828" t="s">
        <v>343</v>
      </c>
      <c r="T828" t="s">
        <v>343</v>
      </c>
    </row>
    <row r="829" spans="2:20" x14ac:dyDescent="0.25">
      <c r="B829">
        <v>824</v>
      </c>
      <c r="C829" t="s">
        <v>1168</v>
      </c>
      <c r="D829" s="10">
        <v>0.30809096206508418</v>
      </c>
      <c r="E829" s="10">
        <v>0.88123888174163523</v>
      </c>
      <c r="F829" s="10">
        <v>0.5921660988219275</v>
      </c>
      <c r="G829" s="10">
        <v>0.41995435565705791</v>
      </c>
      <c r="H829" s="6">
        <v>0.19174419832243661</v>
      </c>
      <c r="I829" s="10">
        <v>6.7167889964841496</v>
      </c>
      <c r="J829" s="7">
        <v>3.205290064903233E-2</v>
      </c>
      <c r="K829" s="5">
        <v>0.15936010503870179</v>
      </c>
      <c r="L829">
        <v>195.98086484947211</v>
      </c>
      <c r="M829" s="10">
        <v>-0.66804085772329702</v>
      </c>
      <c r="N829" s="24" t="s">
        <v>343</v>
      </c>
      <c r="O829" s="24">
        <v>10.91754853660218</v>
      </c>
      <c r="P829">
        <v>57.482335869581547</v>
      </c>
      <c r="Q829" t="s">
        <v>47</v>
      </c>
      <c r="R829" t="s">
        <v>350</v>
      </c>
      <c r="S829" t="s">
        <v>343</v>
      </c>
      <c r="T829" t="s">
        <v>343</v>
      </c>
    </row>
    <row r="830" spans="2:20" x14ac:dyDescent="0.25">
      <c r="B830">
        <v>825</v>
      </c>
      <c r="C830" t="s">
        <v>1169</v>
      </c>
      <c r="D830" s="10">
        <v>0.2321342994246611</v>
      </c>
      <c r="E830" s="10">
        <v>0.43501325149873982</v>
      </c>
      <c r="F830" s="10">
        <v>0.4862114002015997</v>
      </c>
      <c r="G830" s="10">
        <v>0.36646772884550161</v>
      </c>
      <c r="H830" s="6">
        <v>0.26423539073245278</v>
      </c>
      <c r="I830" s="10">
        <v>3.8991941587332279</v>
      </c>
      <c r="J830" s="7">
        <v>1.2263229507786961E-2</v>
      </c>
      <c r="K830" s="5">
        <v>0.1259491586709838</v>
      </c>
      <c r="L830">
        <v>84.269631699626771</v>
      </c>
      <c r="M830" s="10">
        <v>-0.85726119394121503</v>
      </c>
      <c r="N830" s="24" t="s">
        <v>343</v>
      </c>
      <c r="O830" s="24">
        <v>0</v>
      </c>
      <c r="P830">
        <v>56.719230444461793</v>
      </c>
      <c r="Q830" t="s">
        <v>47</v>
      </c>
      <c r="R830" t="s">
        <v>350</v>
      </c>
      <c r="S830" t="s">
        <v>343</v>
      </c>
      <c r="T830" t="s">
        <v>343</v>
      </c>
    </row>
    <row r="831" spans="2:20" x14ac:dyDescent="0.25">
      <c r="B831">
        <v>826</v>
      </c>
      <c r="C831" t="s">
        <v>1170</v>
      </c>
      <c r="D831" s="10">
        <v>0.17811808733452081</v>
      </c>
      <c r="E831" s="10">
        <v>0.89411818281396993</v>
      </c>
      <c r="F831" s="10">
        <v>0.44873422916067202</v>
      </c>
      <c r="G831" s="10">
        <v>0.34259094207166801</v>
      </c>
      <c r="H831" s="6">
        <v>0.21107848250656069</v>
      </c>
      <c r="I831" s="10">
        <v>8.9435105444354512</v>
      </c>
      <c r="J831" s="7">
        <v>3.1634725410489721E-2</v>
      </c>
      <c r="K831" s="5">
        <v>0.1863091715160638</v>
      </c>
      <c r="L831">
        <v>184.73358794114031</v>
      </c>
      <c r="M831" s="10">
        <v>-0.68709188292571211</v>
      </c>
      <c r="N831" s="24" t="s">
        <v>343</v>
      </c>
      <c r="O831" s="24">
        <v>9.7744870244572759</v>
      </c>
      <c r="P831">
        <v>67.505331941498525</v>
      </c>
      <c r="Q831" t="s">
        <v>47</v>
      </c>
      <c r="R831" t="s">
        <v>350</v>
      </c>
      <c r="S831" t="s">
        <v>343</v>
      </c>
      <c r="T831" t="s">
        <v>343</v>
      </c>
    </row>
    <row r="832" spans="2:20" x14ac:dyDescent="0.25">
      <c r="B832">
        <v>827</v>
      </c>
      <c r="C832" t="s">
        <v>1171</v>
      </c>
      <c r="D832" s="10">
        <v>0.31757459183397352</v>
      </c>
      <c r="E832" s="10">
        <v>0.97232742704401254</v>
      </c>
      <c r="F832" s="10">
        <v>0.52783919361538212</v>
      </c>
      <c r="G832" s="10">
        <v>0.38237138945262411</v>
      </c>
      <c r="H832" s="6">
        <v>0.2112340884352949</v>
      </c>
      <c r="I832" s="10">
        <v>3.2158651413761841</v>
      </c>
      <c r="J832" s="7">
        <v>2.7294270833892239E-2</v>
      </c>
      <c r="K832" s="5">
        <v>0.11694812698571901</v>
      </c>
      <c r="L832">
        <v>240.33126485706461</v>
      </c>
      <c r="M832" s="10">
        <v>-0.59291862189962574</v>
      </c>
      <c r="N832" s="24" t="s">
        <v>343</v>
      </c>
      <c r="O832" s="24">
        <v>15.42488268602246</v>
      </c>
      <c r="P832">
        <v>58.098406565323373</v>
      </c>
      <c r="Q832" t="s">
        <v>47</v>
      </c>
      <c r="R832" t="s">
        <v>350</v>
      </c>
      <c r="S832" t="s">
        <v>343</v>
      </c>
      <c r="T832" t="s">
        <v>343</v>
      </c>
    </row>
    <row r="833" spans="2:20" x14ac:dyDescent="0.25">
      <c r="B833">
        <v>828</v>
      </c>
      <c r="C833" t="s">
        <v>1172</v>
      </c>
      <c r="D833" s="10">
        <v>0.2942236938313495</v>
      </c>
      <c r="E833" s="10">
        <v>1.397471695989376</v>
      </c>
      <c r="F833" s="10">
        <v>0.55115576018566592</v>
      </c>
      <c r="G833" s="10">
        <v>0.34257458812552632</v>
      </c>
      <c r="H833" s="6">
        <v>0.26910827810546251</v>
      </c>
      <c r="I833" s="10">
        <v>13.34021867607146</v>
      </c>
      <c r="J833" s="7">
        <v>2.7005187581093031E-2</v>
      </c>
      <c r="K833" s="5">
        <v>0.1041464178461501</v>
      </c>
      <c r="L833">
        <v>501.67795292195012</v>
      </c>
      <c r="M833" s="10">
        <v>-0.1502405957897206</v>
      </c>
      <c r="N833" s="24" t="s">
        <v>343</v>
      </c>
      <c r="O833" s="24">
        <v>49.454286799953103</v>
      </c>
      <c r="P833">
        <v>45.574088398097373</v>
      </c>
      <c r="Q833" t="s">
        <v>346</v>
      </c>
      <c r="R833" t="s">
        <v>347</v>
      </c>
      <c r="S833" t="s">
        <v>343</v>
      </c>
      <c r="T833" t="s">
        <v>343</v>
      </c>
    </row>
    <row r="834" spans="2:20" x14ac:dyDescent="0.25">
      <c r="B834">
        <v>829</v>
      </c>
      <c r="C834" t="s">
        <v>1173</v>
      </c>
      <c r="D834" s="10">
        <v>0.17994602899252271</v>
      </c>
      <c r="E834" s="10">
        <v>1.3727116521786791</v>
      </c>
      <c r="F834" s="10">
        <v>0.45606910228978248</v>
      </c>
      <c r="G834" s="10">
        <v>0.38174706495821092</v>
      </c>
      <c r="H834" s="6">
        <v>0.13403816846713579</v>
      </c>
      <c r="I834" s="10">
        <v>13.631225213979439</v>
      </c>
      <c r="J834" s="7">
        <v>2.1264868992690759E-2</v>
      </c>
      <c r="K834" s="5">
        <v>0.17567873704909959</v>
      </c>
      <c r="L834">
        <v>299.49423264274049</v>
      </c>
      <c r="M834" s="10">
        <v>-0.49270634834035798</v>
      </c>
      <c r="N834" s="24" t="s">
        <v>343</v>
      </c>
      <c r="O834" s="24">
        <v>21.437619099578519</v>
      </c>
      <c r="P834">
        <v>13.10280947244817</v>
      </c>
      <c r="Q834" t="s">
        <v>348</v>
      </c>
      <c r="R834" t="s">
        <v>371</v>
      </c>
      <c r="S834" t="s">
        <v>343</v>
      </c>
      <c r="T834" t="s">
        <v>343</v>
      </c>
    </row>
    <row r="835" spans="2:20" x14ac:dyDescent="0.25">
      <c r="B835">
        <v>830</v>
      </c>
      <c r="C835" t="s">
        <v>1174</v>
      </c>
      <c r="D835" s="10">
        <v>0.30733470121877959</v>
      </c>
      <c r="E835" s="10">
        <v>1.363037021061716</v>
      </c>
      <c r="F835" s="10">
        <v>0.65189150788515993</v>
      </c>
      <c r="G835" s="10">
        <v>0.30762890192523468</v>
      </c>
      <c r="H835" s="6">
        <v>0.16144744276505291</v>
      </c>
      <c r="I835" s="10">
        <v>6.3511923312600587</v>
      </c>
      <c r="J835" s="7">
        <v>1.0266485916909389E-2</v>
      </c>
      <c r="K835" s="5">
        <v>0.1535476107412736</v>
      </c>
      <c r="L835">
        <v>154.19608830427441</v>
      </c>
      <c r="M835" s="10">
        <v>-0.73881735211636623</v>
      </c>
      <c r="N835" s="24" t="s">
        <v>343</v>
      </c>
      <c r="O835" s="24">
        <v>6.67095887301803</v>
      </c>
      <c r="P835">
        <v>44.287116054959043</v>
      </c>
      <c r="Q835" t="s">
        <v>346</v>
      </c>
      <c r="R835" t="s">
        <v>347</v>
      </c>
      <c r="S835" t="s">
        <v>343</v>
      </c>
      <c r="T835" t="s">
        <v>343</v>
      </c>
    </row>
    <row r="836" spans="2:20" x14ac:dyDescent="0.25">
      <c r="B836">
        <v>831</v>
      </c>
      <c r="C836" t="s">
        <v>1175</v>
      </c>
      <c r="D836" s="10">
        <v>0.29918341792994052</v>
      </c>
      <c r="E836" s="10">
        <v>0.68322686611226302</v>
      </c>
      <c r="F836" s="10">
        <v>0.5294601337526712</v>
      </c>
      <c r="G836" s="10">
        <v>0.42446938794052458</v>
      </c>
      <c r="H836" s="6">
        <v>0.21841191584535391</v>
      </c>
      <c r="I836" s="10">
        <v>5.8621410488711696</v>
      </c>
      <c r="J836" s="7">
        <v>2.479230900161555E-2</v>
      </c>
      <c r="K836" s="5">
        <v>0.1234144426262599</v>
      </c>
      <c r="L836">
        <v>220.0877729626329</v>
      </c>
      <c r="M836" s="10">
        <v>-0.62720774605020246</v>
      </c>
      <c r="N836" s="24" t="s">
        <v>343</v>
      </c>
      <c r="O836" s="24">
        <v>13.36753523698785</v>
      </c>
      <c r="P836">
        <v>59.363085079850173</v>
      </c>
      <c r="Q836" t="s">
        <v>47</v>
      </c>
      <c r="R836" t="s">
        <v>350</v>
      </c>
      <c r="S836" t="s">
        <v>343</v>
      </c>
      <c r="T836" t="s">
        <v>343</v>
      </c>
    </row>
    <row r="837" spans="2:20" x14ac:dyDescent="0.25">
      <c r="B837">
        <v>832</v>
      </c>
      <c r="C837" t="s">
        <v>1176</v>
      </c>
      <c r="D837" s="10">
        <v>0.2430140891401715</v>
      </c>
      <c r="E837" s="10">
        <v>1.390393148619548</v>
      </c>
      <c r="F837" s="10">
        <v>0.67754451400641114</v>
      </c>
      <c r="G837" s="10">
        <v>0.39442193656235869</v>
      </c>
      <c r="H837" s="6">
        <v>0.16728543840515619</v>
      </c>
      <c r="I837" s="10">
        <v>4.1484571967198134</v>
      </c>
      <c r="J837" s="7">
        <v>2.4032067847900851E-2</v>
      </c>
      <c r="K837" s="5">
        <v>0.16373508792042021</v>
      </c>
      <c r="L837">
        <v>140.47143092466439</v>
      </c>
      <c r="M837" s="10">
        <v>-0.76206464973022436</v>
      </c>
      <c r="N837" s="24" t="s">
        <v>343</v>
      </c>
      <c r="O837" s="24">
        <v>5.2761210161865364</v>
      </c>
      <c r="P837">
        <v>53.304248411964721</v>
      </c>
      <c r="Q837" t="s">
        <v>47</v>
      </c>
      <c r="R837" t="s">
        <v>350</v>
      </c>
      <c r="S837" t="s">
        <v>343</v>
      </c>
      <c r="T837" t="s">
        <v>343</v>
      </c>
    </row>
    <row r="838" spans="2:20" x14ac:dyDescent="0.25">
      <c r="B838">
        <v>833</v>
      </c>
      <c r="C838" t="s">
        <v>1177</v>
      </c>
      <c r="D838" s="10">
        <v>0.2546040697191887</v>
      </c>
      <c r="E838" s="10">
        <v>0.80102596675462179</v>
      </c>
      <c r="F838" s="10">
        <v>0.48014662803898889</v>
      </c>
      <c r="G838" s="10">
        <v>0.31259463825409223</v>
      </c>
      <c r="H838" s="6">
        <v>0.17192252218936829</v>
      </c>
      <c r="I838" s="10">
        <v>12.954108192387361</v>
      </c>
      <c r="J838" s="7">
        <v>2.4798189256152282E-2</v>
      </c>
      <c r="K838" s="5">
        <v>0.17283806976221269</v>
      </c>
      <c r="L838">
        <v>143.73936753385431</v>
      </c>
      <c r="M838" s="10">
        <v>-0.75652930609024938</v>
      </c>
      <c r="N838" s="24" t="s">
        <v>343</v>
      </c>
      <c r="O838" s="24">
        <v>5.6082416345850348</v>
      </c>
      <c r="P838">
        <v>21.044680693260759</v>
      </c>
      <c r="Q838" t="s">
        <v>348</v>
      </c>
      <c r="R838" t="s">
        <v>371</v>
      </c>
      <c r="S838" t="s">
        <v>343</v>
      </c>
      <c r="T838" t="s">
        <v>343</v>
      </c>
    </row>
    <row r="839" spans="2:20" x14ac:dyDescent="0.25">
      <c r="B839">
        <v>834</v>
      </c>
      <c r="C839" t="s">
        <v>1178</v>
      </c>
      <c r="D839" s="10">
        <v>0.22384043261922079</v>
      </c>
      <c r="E839" s="10">
        <v>1.23701988463809</v>
      </c>
      <c r="F839" s="10">
        <v>0.45480308880370152</v>
      </c>
      <c r="G839" s="10">
        <v>0.42274654526115713</v>
      </c>
      <c r="H839" s="6">
        <v>0.25389674096956633</v>
      </c>
      <c r="I839" s="10">
        <v>9.4555031782989474</v>
      </c>
      <c r="J839" s="7">
        <v>3.1419790230301517E-2</v>
      </c>
      <c r="K839" s="5">
        <v>0.1802318653775179</v>
      </c>
      <c r="L839">
        <v>235.3452971496464</v>
      </c>
      <c r="M839" s="10">
        <v>-0.60136402581620285</v>
      </c>
      <c r="N839" s="24" t="s">
        <v>343</v>
      </c>
      <c r="O839" s="24">
        <v>14.91815845102783</v>
      </c>
      <c r="P839">
        <v>56.869877262770537</v>
      </c>
      <c r="Q839" t="s">
        <v>47</v>
      </c>
      <c r="R839" t="s">
        <v>350</v>
      </c>
      <c r="S839" t="s">
        <v>343</v>
      </c>
      <c r="T839" t="s">
        <v>343</v>
      </c>
    </row>
    <row r="840" spans="2:20" x14ac:dyDescent="0.25">
      <c r="B840">
        <v>835</v>
      </c>
      <c r="C840" t="s">
        <v>1179</v>
      </c>
      <c r="D840" s="10">
        <v>0.168761862211525</v>
      </c>
      <c r="E840" s="10">
        <v>0.53795196592086914</v>
      </c>
      <c r="F840" s="10">
        <v>0.56540218714044366</v>
      </c>
      <c r="G840" s="10">
        <v>0.34721535678769938</v>
      </c>
      <c r="H840" s="6">
        <v>0.2069030857559695</v>
      </c>
      <c r="I840" s="10">
        <v>9.7113741529791717</v>
      </c>
      <c r="J840" s="7">
        <v>2.0496717499105341E-2</v>
      </c>
      <c r="K840" s="5">
        <v>0.12680197151702</v>
      </c>
      <c r="L840">
        <v>119.7158742190899</v>
      </c>
      <c r="M840" s="10">
        <v>-0.79722112690339131</v>
      </c>
      <c r="N840" s="24" t="s">
        <v>343</v>
      </c>
      <c r="O840" s="24">
        <v>3.1667323857965211</v>
      </c>
      <c r="P840">
        <v>59.844004504185087</v>
      </c>
      <c r="Q840" t="s">
        <v>47</v>
      </c>
      <c r="R840" t="s">
        <v>350</v>
      </c>
      <c r="S840" t="s">
        <v>343</v>
      </c>
      <c r="T840" t="s">
        <v>343</v>
      </c>
    </row>
    <row r="841" spans="2:20" x14ac:dyDescent="0.25">
      <c r="B841">
        <v>836</v>
      </c>
      <c r="C841" t="s">
        <v>1180</v>
      </c>
      <c r="D841" s="10">
        <v>0.21363155866334421</v>
      </c>
      <c r="E841" s="10">
        <v>0.85641649762226257</v>
      </c>
      <c r="F841" s="10">
        <v>0.48917362757468369</v>
      </c>
      <c r="G841" s="10">
        <v>0.27842055024224149</v>
      </c>
      <c r="H841" s="6">
        <v>0.1354298374206232</v>
      </c>
      <c r="I841" s="10">
        <v>12.854421088621979</v>
      </c>
      <c r="J841" s="7">
        <v>1.9428420723198211E-2</v>
      </c>
      <c r="K841" s="5">
        <v>0.1024308078689352</v>
      </c>
      <c r="L841">
        <v>129.43380890722901</v>
      </c>
      <c r="M841" s="10">
        <v>-0.78076055425384494</v>
      </c>
      <c r="N841" s="24" t="s">
        <v>343</v>
      </c>
      <c r="O841" s="24">
        <v>4.1543667447692982</v>
      </c>
      <c r="P841">
        <v>9.6152410581371797</v>
      </c>
      <c r="Q841" t="s">
        <v>348</v>
      </c>
      <c r="R841" t="s">
        <v>371</v>
      </c>
      <c r="S841" t="s">
        <v>343</v>
      </c>
      <c r="T841" t="s">
        <v>343</v>
      </c>
    </row>
    <row r="842" spans="2:20" x14ac:dyDescent="0.25">
      <c r="B842">
        <v>837</v>
      </c>
      <c r="C842" t="s">
        <v>1181</v>
      </c>
      <c r="D842" s="10">
        <v>0.28845655177568191</v>
      </c>
      <c r="E842" s="10">
        <v>1.362613305740366</v>
      </c>
      <c r="F842" s="10">
        <v>0.68372381165024387</v>
      </c>
      <c r="G842" s="10">
        <v>0.25709674164077578</v>
      </c>
      <c r="H842" s="6">
        <v>0.16662938785989331</v>
      </c>
      <c r="I842" s="10">
        <v>13.018654732422579</v>
      </c>
      <c r="J842" s="7">
        <v>2.7422344781564811E-2</v>
      </c>
      <c r="K842" s="5">
        <v>0.14845368790255101</v>
      </c>
      <c r="L842">
        <v>295.90361220361518</v>
      </c>
      <c r="M842" s="10">
        <v>-0.49878826497098788</v>
      </c>
      <c r="N842" s="24" t="s">
        <v>343</v>
      </c>
      <c r="O842" s="24">
        <v>21.072704101740729</v>
      </c>
      <c r="P842">
        <v>51.424041548277749</v>
      </c>
      <c r="Q842" t="s">
        <v>47</v>
      </c>
      <c r="R842" t="s">
        <v>350</v>
      </c>
      <c r="S842" t="s">
        <v>343</v>
      </c>
      <c r="T842" t="s">
        <v>343</v>
      </c>
    </row>
    <row r="843" spans="2:20" x14ac:dyDescent="0.25">
      <c r="B843">
        <v>838</v>
      </c>
      <c r="C843" t="s">
        <v>1182</v>
      </c>
      <c r="D843" s="10">
        <v>0.16074112368073651</v>
      </c>
      <c r="E843" s="10">
        <v>1.34173453661577</v>
      </c>
      <c r="F843" s="10">
        <v>0.44267888359797208</v>
      </c>
      <c r="G843" s="10">
        <v>0.39391326448018849</v>
      </c>
      <c r="H843" s="6">
        <v>0.13140875647491271</v>
      </c>
      <c r="I843" s="10">
        <v>12.11175836681562</v>
      </c>
      <c r="J843" s="7">
        <v>3.073111865948339E-2</v>
      </c>
      <c r="K843" s="5">
        <v>0.1813274668223874</v>
      </c>
      <c r="L843">
        <v>242.76867028348701</v>
      </c>
      <c r="M843" s="10">
        <v>-0.58879006059667816</v>
      </c>
      <c r="N843" s="24" t="s">
        <v>343</v>
      </c>
      <c r="O843" s="24">
        <v>15.672596364199309</v>
      </c>
      <c r="P843">
        <v>13.7276157527316</v>
      </c>
      <c r="Q843" t="s">
        <v>348</v>
      </c>
      <c r="R843" t="s">
        <v>371</v>
      </c>
      <c r="S843" t="s">
        <v>343</v>
      </c>
      <c r="T843" t="s">
        <v>343</v>
      </c>
    </row>
    <row r="844" spans="2:20" x14ac:dyDescent="0.25">
      <c r="B844">
        <v>839</v>
      </c>
      <c r="C844" t="s">
        <v>1183</v>
      </c>
      <c r="D844" s="10">
        <v>0.21335986747058311</v>
      </c>
      <c r="E844" s="10">
        <v>1.052108365603569</v>
      </c>
      <c r="F844" s="10">
        <v>0.54728111551534908</v>
      </c>
      <c r="G844" s="10">
        <v>0.43032657692576243</v>
      </c>
      <c r="H844" s="6">
        <v>0.2034194900170718</v>
      </c>
      <c r="I844" s="10">
        <v>11.507857172096269</v>
      </c>
      <c r="J844" s="7">
        <v>2.9856494932984531E-2</v>
      </c>
      <c r="K844" s="5">
        <v>0.1197430270398841</v>
      </c>
      <c r="L844">
        <v>371.63510369942128</v>
      </c>
      <c r="M844" s="10">
        <v>-0.37051165500913058</v>
      </c>
      <c r="N844" s="24" t="s">
        <v>343</v>
      </c>
      <c r="O844" s="24">
        <v>28.76930069945216</v>
      </c>
      <c r="P844">
        <v>55.879092331719228</v>
      </c>
      <c r="Q844" t="s">
        <v>47</v>
      </c>
      <c r="R844" t="s">
        <v>350</v>
      </c>
      <c r="S844" t="s">
        <v>343</v>
      </c>
      <c r="T844" t="s">
        <v>343</v>
      </c>
    </row>
    <row r="845" spans="2:20" x14ac:dyDescent="0.25">
      <c r="B845">
        <v>840</v>
      </c>
      <c r="C845" t="s">
        <v>1184</v>
      </c>
      <c r="D845" s="10">
        <v>0.22370699097455091</v>
      </c>
      <c r="E845" s="10">
        <v>1.177595754808366</v>
      </c>
      <c r="F845" s="10">
        <v>0.68095442054974376</v>
      </c>
      <c r="G845" s="10">
        <v>0.41763723749079962</v>
      </c>
      <c r="H845" s="6">
        <v>0.14599022945639839</v>
      </c>
      <c r="I845" s="10">
        <v>12.649653445299821</v>
      </c>
      <c r="J845" s="7">
        <v>4.0857460694605531E-2</v>
      </c>
      <c r="K845" s="5">
        <v>0.14000691994626119</v>
      </c>
      <c r="L845">
        <v>345.39766356119492</v>
      </c>
      <c r="M845" s="10">
        <v>-0.41495353524326328</v>
      </c>
      <c r="N845" s="24" t="s">
        <v>343</v>
      </c>
      <c r="O845" s="24">
        <v>26.102787885404201</v>
      </c>
      <c r="P845">
        <v>50.026774410786743</v>
      </c>
      <c r="Q845" t="s">
        <v>47</v>
      </c>
      <c r="R845" t="s">
        <v>350</v>
      </c>
      <c r="S845" t="s">
        <v>343</v>
      </c>
      <c r="T845" t="s">
        <v>343</v>
      </c>
    </row>
    <row r="846" spans="2:20" x14ac:dyDescent="0.25">
      <c r="B846">
        <v>841</v>
      </c>
      <c r="C846" t="s">
        <v>1185</v>
      </c>
      <c r="D846" s="10">
        <v>0.2459832964700677</v>
      </c>
      <c r="E846" s="10">
        <v>0.49406936626264147</v>
      </c>
      <c r="F846" s="10">
        <v>0.53994873374973973</v>
      </c>
      <c r="G846" s="10">
        <v>0.38424322664887339</v>
      </c>
      <c r="H846" s="6">
        <v>0.24856727250376601</v>
      </c>
      <c r="I846" s="10">
        <v>12.635676673529749</v>
      </c>
      <c r="J846" s="7">
        <v>3.6920042042068717E-2</v>
      </c>
      <c r="K846" s="5">
        <v>0.1243599698330644</v>
      </c>
      <c r="L846">
        <v>311.56174275111078</v>
      </c>
      <c r="M846" s="10">
        <v>-0.47226598387892499</v>
      </c>
      <c r="N846" s="24" t="s">
        <v>343</v>
      </c>
      <c r="O846" s="24">
        <v>22.664040967264501</v>
      </c>
      <c r="P846">
        <v>57.299423882194738</v>
      </c>
      <c r="Q846" t="s">
        <v>47</v>
      </c>
      <c r="R846" t="s">
        <v>350</v>
      </c>
      <c r="S846" t="s">
        <v>343</v>
      </c>
      <c r="T846" t="s">
        <v>343</v>
      </c>
    </row>
    <row r="847" spans="2:20" x14ac:dyDescent="0.25">
      <c r="B847">
        <v>842</v>
      </c>
      <c r="C847" t="s">
        <v>1186</v>
      </c>
      <c r="D847" s="10">
        <v>0.30717689862604169</v>
      </c>
      <c r="E847" s="10">
        <v>1.0938244044325729</v>
      </c>
      <c r="F847" s="10">
        <v>0.46420841295611981</v>
      </c>
      <c r="G847" s="10">
        <v>0.27110251223304899</v>
      </c>
      <c r="H847" s="6">
        <v>0.206597103968475</v>
      </c>
      <c r="I847" s="10">
        <v>7.0550934189908938</v>
      </c>
      <c r="J847" s="7">
        <v>1.1826646373125339E-2</v>
      </c>
      <c r="K847" s="5">
        <v>0.10126945188527139</v>
      </c>
      <c r="L847">
        <v>176.24790220964641</v>
      </c>
      <c r="M847" s="10">
        <v>-0.70146522982985982</v>
      </c>
      <c r="N847" s="24" t="s">
        <v>343</v>
      </c>
      <c r="O847" s="24">
        <v>8.9120862102084075</v>
      </c>
      <c r="P847">
        <v>51.907115664956727</v>
      </c>
      <c r="Q847" t="s">
        <v>47</v>
      </c>
      <c r="R847" t="s">
        <v>350</v>
      </c>
      <c r="S847" t="s">
        <v>343</v>
      </c>
      <c r="T847" t="s">
        <v>343</v>
      </c>
    </row>
    <row r="848" spans="2:20" x14ac:dyDescent="0.25">
      <c r="B848">
        <v>843</v>
      </c>
      <c r="C848" t="s">
        <v>1187</v>
      </c>
      <c r="D848" s="10">
        <v>0.2154153590985538</v>
      </c>
      <c r="E848" s="10">
        <v>0.97985588916890953</v>
      </c>
      <c r="F848" s="10">
        <v>0.51875268514406458</v>
      </c>
      <c r="G848" s="10">
        <v>0.26068969671486381</v>
      </c>
      <c r="H848" s="6">
        <v>0.12890634628966419</v>
      </c>
      <c r="I848" s="10">
        <v>13.707303419768831</v>
      </c>
      <c r="J848" s="7">
        <v>2.9721639530183461E-2</v>
      </c>
      <c r="K848" s="5">
        <v>0.18535978916211801</v>
      </c>
      <c r="L848">
        <v>202.4250851335479</v>
      </c>
      <c r="M848" s="10">
        <v>-0.65712541534178182</v>
      </c>
      <c r="N848" s="24" t="s">
        <v>343</v>
      </c>
      <c r="O848" s="24">
        <v>11.57247507949309</v>
      </c>
      <c r="P848">
        <v>17.72641841217207</v>
      </c>
      <c r="Q848" t="s">
        <v>348</v>
      </c>
      <c r="R848" t="s">
        <v>375</v>
      </c>
      <c r="S848" t="s">
        <v>343</v>
      </c>
      <c r="T848" t="s">
        <v>343</v>
      </c>
    </row>
    <row r="849" spans="2:20" x14ac:dyDescent="0.25">
      <c r="B849">
        <v>844</v>
      </c>
      <c r="C849" t="s">
        <v>1188</v>
      </c>
      <c r="D849" s="10">
        <v>0.21551251230339641</v>
      </c>
      <c r="E849" s="10">
        <v>0.40070690932637071</v>
      </c>
      <c r="F849" s="10">
        <v>0.56948270239695264</v>
      </c>
      <c r="G849" s="10">
        <v>0.31590651706257961</v>
      </c>
      <c r="H849" s="6">
        <v>0.1651313495436478</v>
      </c>
      <c r="I849" s="10">
        <v>10.80045434476428</v>
      </c>
      <c r="J849" s="7">
        <v>2.4623497332145691E-2</v>
      </c>
      <c r="K849" s="5">
        <v>0.1128300565373542</v>
      </c>
      <c r="L849">
        <v>108.9962162332192</v>
      </c>
      <c r="M849" s="10">
        <v>-0.81537845299347889</v>
      </c>
      <c r="N849" s="24" t="s">
        <v>343</v>
      </c>
      <c r="O849" s="24">
        <v>2.0772928203912642</v>
      </c>
      <c r="P849">
        <v>62.235980402390233</v>
      </c>
      <c r="Q849" t="s">
        <v>47</v>
      </c>
      <c r="R849" t="s">
        <v>350</v>
      </c>
      <c r="S849" t="s">
        <v>343</v>
      </c>
      <c r="T849" t="s">
        <v>343</v>
      </c>
    </row>
    <row r="850" spans="2:20" x14ac:dyDescent="0.25">
      <c r="B850">
        <v>845</v>
      </c>
      <c r="C850" t="s">
        <v>1189</v>
      </c>
      <c r="D850" s="10">
        <v>0.27800019969755968</v>
      </c>
      <c r="E850" s="10">
        <v>0.42447490724864378</v>
      </c>
      <c r="F850" s="10">
        <v>0.48813943870926663</v>
      </c>
      <c r="G850" s="10">
        <v>0.42808039588772923</v>
      </c>
      <c r="H850" s="6">
        <v>0.212450650085419</v>
      </c>
      <c r="I850" s="10">
        <v>7.0723037741392822</v>
      </c>
      <c r="J850" s="7">
        <v>2.2636795269607511E-2</v>
      </c>
      <c r="K850" s="5">
        <v>0.17284287599658321</v>
      </c>
      <c r="L850">
        <v>127.852310789325</v>
      </c>
      <c r="M850" s="10">
        <v>-0.78343935026352085</v>
      </c>
      <c r="N850" s="24" t="s">
        <v>343</v>
      </c>
      <c r="O850" s="24">
        <v>3.993638984188749</v>
      </c>
      <c r="P850">
        <v>64.020351444614121</v>
      </c>
      <c r="Q850" t="s">
        <v>47</v>
      </c>
      <c r="R850" t="s">
        <v>350</v>
      </c>
      <c r="S850" t="s">
        <v>343</v>
      </c>
      <c r="T850" t="s">
        <v>343</v>
      </c>
    </row>
    <row r="851" spans="2:20" x14ac:dyDescent="0.25">
      <c r="B851">
        <v>846</v>
      </c>
      <c r="C851" t="s">
        <v>1190</v>
      </c>
      <c r="D851" s="10">
        <v>0.23235487054236911</v>
      </c>
      <c r="E851" s="10">
        <v>0.41928797952638802</v>
      </c>
      <c r="F851" s="10">
        <v>0.5613060433372481</v>
      </c>
      <c r="G851" s="10">
        <v>0.45158197946746609</v>
      </c>
      <c r="H851" s="6">
        <v>0.17032474772907419</v>
      </c>
      <c r="I851" s="10">
        <v>7.8625446900305977</v>
      </c>
      <c r="J851" s="7">
        <v>4.3526356714354467E-2</v>
      </c>
      <c r="K851" s="5">
        <v>0.13292730702020769</v>
      </c>
      <c r="L851">
        <v>158.9913758027904</v>
      </c>
      <c r="M851" s="10">
        <v>-0.73069492890836474</v>
      </c>
      <c r="N851" s="24" t="s">
        <v>343</v>
      </c>
      <c r="O851" s="24">
        <v>7.1583042654981206</v>
      </c>
      <c r="P851">
        <v>53.74062869109563</v>
      </c>
      <c r="Q851" t="s">
        <v>47</v>
      </c>
      <c r="R851" t="s">
        <v>350</v>
      </c>
      <c r="S851" t="s">
        <v>343</v>
      </c>
      <c r="T851" t="s">
        <v>343</v>
      </c>
    </row>
    <row r="852" spans="2:20" x14ac:dyDescent="0.25">
      <c r="B852">
        <v>847</v>
      </c>
      <c r="C852" t="s">
        <v>1191</v>
      </c>
      <c r="D852" s="10">
        <v>0.19593677167039711</v>
      </c>
      <c r="E852" s="10">
        <v>1.0967926283128191</v>
      </c>
      <c r="F852" s="10">
        <v>0.65744923090431773</v>
      </c>
      <c r="G852" s="10">
        <v>0.29309938806635571</v>
      </c>
      <c r="H852" s="6">
        <v>0.19697650028909339</v>
      </c>
      <c r="I852" s="10">
        <v>10.558441641096181</v>
      </c>
      <c r="J852" s="7">
        <v>2.5987852388481839E-2</v>
      </c>
      <c r="K852" s="5">
        <v>0.1263797813461332</v>
      </c>
      <c r="L852">
        <v>206.76554277244671</v>
      </c>
      <c r="M852" s="10">
        <v>-0.64977339862319095</v>
      </c>
      <c r="N852" s="24" t="s">
        <v>343</v>
      </c>
      <c r="O852" s="24">
        <v>12.01359608260854</v>
      </c>
      <c r="P852">
        <v>59.813943261297752</v>
      </c>
      <c r="Q852" t="s">
        <v>47</v>
      </c>
      <c r="R852" t="s">
        <v>350</v>
      </c>
      <c r="S852" t="s">
        <v>343</v>
      </c>
      <c r="T852" t="s">
        <v>343</v>
      </c>
    </row>
    <row r="853" spans="2:20" x14ac:dyDescent="0.25">
      <c r="B853">
        <v>848</v>
      </c>
      <c r="C853" t="s">
        <v>1192</v>
      </c>
      <c r="D853" s="10">
        <v>0.23239032258123091</v>
      </c>
      <c r="E853" s="10">
        <v>0.45588672907232958</v>
      </c>
      <c r="F853" s="10">
        <v>0.66688067225111936</v>
      </c>
      <c r="G853" s="10">
        <v>0.40766104752797838</v>
      </c>
      <c r="H853" s="6">
        <v>0.25640434420241037</v>
      </c>
      <c r="I853" s="10">
        <v>6.9720880059814707</v>
      </c>
      <c r="J853" s="7">
        <v>3.5180221323909307E-2</v>
      </c>
      <c r="K853" s="5">
        <v>0.18939774421801001</v>
      </c>
      <c r="L853">
        <v>75.822770825992478</v>
      </c>
      <c r="M853" s="10">
        <v>-0.87156877796323651</v>
      </c>
      <c r="N853" s="24" t="s">
        <v>343</v>
      </c>
      <c r="O853" s="24">
        <v>0</v>
      </c>
      <c r="P853">
        <v>56.735493518608322</v>
      </c>
      <c r="Q853" t="s">
        <v>47</v>
      </c>
      <c r="R853" t="s">
        <v>350</v>
      </c>
      <c r="S853" t="s">
        <v>343</v>
      </c>
      <c r="T853" t="s">
        <v>343</v>
      </c>
    </row>
    <row r="854" spans="2:20" x14ac:dyDescent="0.25">
      <c r="B854">
        <v>849</v>
      </c>
      <c r="C854" t="s">
        <v>1193</v>
      </c>
      <c r="D854" s="10">
        <v>0.18253712326076801</v>
      </c>
      <c r="E854" s="10">
        <v>0.81450549822591745</v>
      </c>
      <c r="F854" s="10">
        <v>0.45280779102479041</v>
      </c>
      <c r="G854" s="10">
        <v>0.36625122771958529</v>
      </c>
      <c r="H854" s="6">
        <v>0.17250539557594169</v>
      </c>
      <c r="I854" s="10">
        <v>12.09213483222018</v>
      </c>
      <c r="J854" s="7">
        <v>4.3848043948488818E-2</v>
      </c>
      <c r="K854" s="5">
        <v>0.162433951240361</v>
      </c>
      <c r="L854">
        <v>189.66185470355541</v>
      </c>
      <c r="M854" s="10">
        <v>-0.67874421485812475</v>
      </c>
      <c r="N854" s="24" t="s">
        <v>343</v>
      </c>
      <c r="O854" s="24">
        <v>10.27534710851252</v>
      </c>
      <c r="P854">
        <v>26.600015636812088</v>
      </c>
      <c r="Q854" t="s">
        <v>348</v>
      </c>
      <c r="R854" t="s">
        <v>371</v>
      </c>
      <c r="S854" t="s">
        <v>343</v>
      </c>
      <c r="T854" t="s">
        <v>343</v>
      </c>
    </row>
    <row r="855" spans="2:20" x14ac:dyDescent="0.25">
      <c r="B855">
        <v>850</v>
      </c>
      <c r="C855" t="s">
        <v>1194</v>
      </c>
      <c r="D855" s="10">
        <v>0.18822191784099571</v>
      </c>
      <c r="E855" s="10">
        <v>0.69267998646553353</v>
      </c>
      <c r="F855" s="10">
        <v>0.48183487309366912</v>
      </c>
      <c r="G855" s="10">
        <v>0.2469976207571474</v>
      </c>
      <c r="H855" s="6">
        <v>0.1703809293704682</v>
      </c>
      <c r="I855" s="10">
        <v>4.6286998331062392</v>
      </c>
      <c r="J855" s="7">
        <v>1.528500475658439E-2</v>
      </c>
      <c r="K855" s="5">
        <v>0.16525765288254021</v>
      </c>
      <c r="L855">
        <v>38.201629125597918</v>
      </c>
      <c r="M855" s="10">
        <v>-0.93529276417957208</v>
      </c>
      <c r="N855" s="24" t="s">
        <v>343</v>
      </c>
      <c r="O855" s="24">
        <v>0</v>
      </c>
      <c r="P855">
        <v>56.327116185819747</v>
      </c>
      <c r="Q855" t="s">
        <v>47</v>
      </c>
      <c r="R855" t="s">
        <v>350</v>
      </c>
      <c r="S855" t="s">
        <v>343</v>
      </c>
      <c r="T855" t="s">
        <v>343</v>
      </c>
    </row>
    <row r="856" spans="2:20" x14ac:dyDescent="0.25">
      <c r="B856">
        <v>851</v>
      </c>
      <c r="C856" t="s">
        <v>1195</v>
      </c>
      <c r="D856" s="10">
        <v>0.2397388436383168</v>
      </c>
      <c r="E856" s="10">
        <v>0.90555455484723946</v>
      </c>
      <c r="F856" s="10">
        <v>0.51157543529936911</v>
      </c>
      <c r="G856" s="10">
        <v>0.35944159698524669</v>
      </c>
      <c r="H856" s="6">
        <v>0.24296352619690481</v>
      </c>
      <c r="I856" s="10">
        <v>12.98353728582059</v>
      </c>
      <c r="J856" s="7">
        <v>1.1911569175213349E-2</v>
      </c>
      <c r="K856" s="5">
        <v>0.17216702725311531</v>
      </c>
      <c r="L856">
        <v>277.52160855890611</v>
      </c>
      <c r="M856" s="10">
        <v>-0.52992433617830559</v>
      </c>
      <c r="N856" s="24" t="s">
        <v>343</v>
      </c>
      <c r="O856" s="24">
        <v>19.20453982930167</v>
      </c>
      <c r="P856">
        <v>48.254996685003483</v>
      </c>
      <c r="Q856" t="s">
        <v>346</v>
      </c>
      <c r="R856" t="s">
        <v>347</v>
      </c>
      <c r="S856" t="s">
        <v>343</v>
      </c>
      <c r="T856" t="s">
        <v>343</v>
      </c>
    </row>
    <row r="857" spans="2:20" x14ac:dyDescent="0.25">
      <c r="B857">
        <v>852</v>
      </c>
      <c r="C857" t="s">
        <v>1196</v>
      </c>
      <c r="D857" s="10">
        <v>0.22702807192072769</v>
      </c>
      <c r="E857" s="10">
        <v>1.077124135941343</v>
      </c>
      <c r="F857" s="10">
        <v>0.59466512123077642</v>
      </c>
      <c r="G857" s="10">
        <v>0.41730688865765819</v>
      </c>
      <c r="H857" s="6">
        <v>0.16781347843751551</v>
      </c>
      <c r="I857" s="10">
        <v>6.3131726302026996</v>
      </c>
      <c r="J857" s="7">
        <v>2.0976708030645799E-2</v>
      </c>
      <c r="K857" s="5">
        <v>0.13238866692215309</v>
      </c>
      <c r="L857">
        <v>210.14115690341629</v>
      </c>
      <c r="M857" s="10">
        <v>-0.64405566708631634</v>
      </c>
      <c r="N857" s="24" t="s">
        <v>343</v>
      </c>
      <c r="O857" s="24">
        <v>12.356659974821021</v>
      </c>
      <c r="P857">
        <v>60.497423823648717</v>
      </c>
      <c r="Q857" t="s">
        <v>47</v>
      </c>
      <c r="R857" t="s">
        <v>350</v>
      </c>
      <c r="S857" t="s">
        <v>343</v>
      </c>
      <c r="T857" t="s">
        <v>343</v>
      </c>
    </row>
    <row r="858" spans="2:20" x14ac:dyDescent="0.25">
      <c r="B858">
        <v>853</v>
      </c>
      <c r="C858" t="s">
        <v>1197</v>
      </c>
      <c r="D858" s="10">
        <v>0.30637534417089601</v>
      </c>
      <c r="E858" s="10">
        <v>1.0531947909434649</v>
      </c>
      <c r="F858" s="10">
        <v>0.53385863728604144</v>
      </c>
      <c r="G858" s="10">
        <v>0.30074701233568579</v>
      </c>
      <c r="H858" s="6">
        <v>0.13169375162105881</v>
      </c>
      <c r="I858" s="10">
        <v>4.67984063877444</v>
      </c>
      <c r="J858" s="7">
        <v>1.1555549287155679E-2</v>
      </c>
      <c r="K858" s="5">
        <v>0.15354812566609849</v>
      </c>
      <c r="L858">
        <v>116.5379358318355</v>
      </c>
      <c r="M858" s="10">
        <v>-0.80260402845376178</v>
      </c>
      <c r="N858" s="24" t="s">
        <v>343</v>
      </c>
      <c r="O858" s="24">
        <v>2.843758292774297</v>
      </c>
      <c r="P858">
        <v>49.421381545422832</v>
      </c>
      <c r="Q858" t="s">
        <v>346</v>
      </c>
      <c r="R858" t="s">
        <v>347</v>
      </c>
      <c r="S858" t="s">
        <v>343</v>
      </c>
      <c r="T858" t="s">
        <v>343</v>
      </c>
    </row>
    <row r="859" spans="2:20" x14ac:dyDescent="0.25">
      <c r="B859">
        <v>854</v>
      </c>
      <c r="C859" t="s">
        <v>1198</v>
      </c>
      <c r="D859" s="10">
        <v>0.21798302385866131</v>
      </c>
      <c r="E859" s="10">
        <v>0.8670719075058142</v>
      </c>
      <c r="F859" s="10">
        <v>0.65945063749597954</v>
      </c>
      <c r="G859" s="10">
        <v>0.43741955727350151</v>
      </c>
      <c r="H859" s="6">
        <v>0.1471417431356242</v>
      </c>
      <c r="I859" s="10">
        <v>12.43826709590626</v>
      </c>
      <c r="J859" s="7">
        <v>1.408676139387202E-2</v>
      </c>
      <c r="K859" s="5">
        <v>0.12567121768445411</v>
      </c>
      <c r="L859">
        <v>222.388989188903</v>
      </c>
      <c r="M859" s="10">
        <v>-0.6233098667074789</v>
      </c>
      <c r="N859" s="24" t="s">
        <v>343</v>
      </c>
      <c r="O859" s="24">
        <v>13.60140799755127</v>
      </c>
      <c r="P859">
        <v>53.571560441314659</v>
      </c>
      <c r="Q859" t="s">
        <v>47</v>
      </c>
      <c r="R859" t="s">
        <v>350</v>
      </c>
      <c r="S859" t="s">
        <v>343</v>
      </c>
      <c r="T859" t="s">
        <v>343</v>
      </c>
    </row>
    <row r="860" spans="2:20" x14ac:dyDescent="0.25">
      <c r="B860">
        <v>855</v>
      </c>
      <c r="C860" t="s">
        <v>1199</v>
      </c>
      <c r="D860" s="10">
        <v>0.25289413604448702</v>
      </c>
      <c r="E860" s="10">
        <v>0.81076836097142402</v>
      </c>
      <c r="F860" s="10">
        <v>0.62633468575356377</v>
      </c>
      <c r="G860" s="10">
        <v>0.29197728951242008</v>
      </c>
      <c r="H860" s="6">
        <v>0.26232003761944522</v>
      </c>
      <c r="I860" s="10">
        <v>5.6340956282936663</v>
      </c>
      <c r="J860" s="7">
        <v>4.4709843788229363E-2</v>
      </c>
      <c r="K860" s="5">
        <v>0.1792814439703026</v>
      </c>
      <c r="L860">
        <v>95.027362937212615</v>
      </c>
      <c r="M860" s="10">
        <v>-0.83903937806538864</v>
      </c>
      <c r="N860" s="24" t="s">
        <v>343</v>
      </c>
      <c r="O860" s="24">
        <v>0.65763731607668063</v>
      </c>
      <c r="P860">
        <v>56.768528127659927</v>
      </c>
      <c r="Q860" t="s">
        <v>47</v>
      </c>
      <c r="R860" t="s">
        <v>350</v>
      </c>
      <c r="S860" t="s">
        <v>343</v>
      </c>
      <c r="T860" t="s">
        <v>343</v>
      </c>
    </row>
    <row r="861" spans="2:20" x14ac:dyDescent="0.25">
      <c r="B861">
        <v>856</v>
      </c>
      <c r="C861" t="s">
        <v>1200</v>
      </c>
      <c r="D861" s="10">
        <v>0.26116228606712488</v>
      </c>
      <c r="E861" s="10">
        <v>0.73759715463448461</v>
      </c>
      <c r="F861" s="10">
        <v>0.46611856600951213</v>
      </c>
      <c r="G861" s="10">
        <v>0.25682408918169192</v>
      </c>
      <c r="H861" s="6">
        <v>0.25999391888665818</v>
      </c>
      <c r="I861" s="10">
        <v>12.27735311854561</v>
      </c>
      <c r="J861" s="7">
        <v>4.3606261666871822E-2</v>
      </c>
      <c r="K861" s="5">
        <v>0.15693420103337269</v>
      </c>
      <c r="L861">
        <v>66.597850645393024</v>
      </c>
      <c r="M861" s="10">
        <v>-0.88719426565089887</v>
      </c>
      <c r="N861" s="24" t="s">
        <v>343</v>
      </c>
      <c r="O861" s="24">
        <v>0</v>
      </c>
      <c r="P861">
        <v>12.64966429210822</v>
      </c>
      <c r="Q861" t="s">
        <v>348</v>
      </c>
      <c r="R861" t="s">
        <v>371</v>
      </c>
      <c r="S861" t="s">
        <v>343</v>
      </c>
      <c r="T861" t="s">
        <v>343</v>
      </c>
    </row>
    <row r="862" spans="2:20" x14ac:dyDescent="0.25">
      <c r="B862">
        <v>857</v>
      </c>
      <c r="C862" t="s">
        <v>1201</v>
      </c>
      <c r="D862" s="10">
        <v>0.16209511305413341</v>
      </c>
      <c r="E862" s="10">
        <v>1.2481009431348169</v>
      </c>
      <c r="F862" s="10">
        <v>0.60238495065314368</v>
      </c>
      <c r="G862" s="10">
        <v>0.27518664807670412</v>
      </c>
      <c r="H862" s="6">
        <v>0.15372181361672221</v>
      </c>
      <c r="I862" s="10">
        <v>6.2589084379354372</v>
      </c>
      <c r="J862" s="7">
        <v>3.4195243063561372E-2</v>
      </c>
      <c r="K862" s="5">
        <v>0.12312364847390619</v>
      </c>
      <c r="L862">
        <v>212.8797485292323</v>
      </c>
      <c r="M862" s="10">
        <v>-0.63941694622012213</v>
      </c>
      <c r="N862" s="24" t="s">
        <v>343</v>
      </c>
      <c r="O862" s="24">
        <v>12.63498322679267</v>
      </c>
      <c r="P862">
        <v>60.707038361549976</v>
      </c>
      <c r="Q862" t="s">
        <v>47</v>
      </c>
      <c r="R862" t="s">
        <v>350</v>
      </c>
      <c r="S862" t="s">
        <v>343</v>
      </c>
      <c r="T862" t="s">
        <v>343</v>
      </c>
    </row>
    <row r="863" spans="2:20" x14ac:dyDescent="0.25">
      <c r="B863">
        <v>858</v>
      </c>
      <c r="C863" t="s">
        <v>1202</v>
      </c>
      <c r="D863" s="10">
        <v>0.26616597952267368</v>
      </c>
      <c r="E863" s="10">
        <v>0.66393698535990942</v>
      </c>
      <c r="F863" s="10">
        <v>0.46938328259021439</v>
      </c>
      <c r="G863" s="10">
        <v>0.42414063111860212</v>
      </c>
      <c r="H863" s="6">
        <v>0.20302528096480291</v>
      </c>
      <c r="I863" s="10">
        <v>13.272507164195719</v>
      </c>
      <c r="J863" s="7">
        <v>3.6354544986150698E-2</v>
      </c>
      <c r="K863" s="5">
        <v>0.18547704860056891</v>
      </c>
      <c r="L863">
        <v>210.09439580112721</v>
      </c>
      <c r="M863" s="10">
        <v>-0.64413487265273606</v>
      </c>
      <c r="N863" s="24" t="s">
        <v>343</v>
      </c>
      <c r="O863" s="24">
        <v>12.35190764083584</v>
      </c>
      <c r="P863">
        <v>18.923712034811832</v>
      </c>
      <c r="Q863" t="s">
        <v>348</v>
      </c>
      <c r="R863" t="s">
        <v>371</v>
      </c>
      <c r="S863" t="s">
        <v>343</v>
      </c>
      <c r="T863" t="s">
        <v>343</v>
      </c>
    </row>
    <row r="864" spans="2:20" x14ac:dyDescent="0.25">
      <c r="B864">
        <v>859</v>
      </c>
      <c r="C864" t="s">
        <v>1203</v>
      </c>
      <c r="D864" s="10">
        <v>0.18848575469916021</v>
      </c>
      <c r="E864" s="10">
        <v>0.58530240328424421</v>
      </c>
      <c r="F864" s="10">
        <v>0.50630927410547966</v>
      </c>
      <c r="G864" s="10">
        <v>0.33180730218869631</v>
      </c>
      <c r="H864" s="6">
        <v>0.14060521506345039</v>
      </c>
      <c r="I864" s="10">
        <v>5.4098540378144238</v>
      </c>
      <c r="J864" s="7">
        <v>1.4917222717505891E-2</v>
      </c>
      <c r="K864" s="5">
        <v>0.1551798000459659</v>
      </c>
      <c r="L864">
        <v>122.76107994735411</v>
      </c>
      <c r="M864" s="10">
        <v>-0.79206305250471398</v>
      </c>
      <c r="N864" s="24" t="s">
        <v>343</v>
      </c>
      <c r="O864" s="24">
        <v>3.4762168497171611</v>
      </c>
      <c r="P864">
        <v>66.234432691195394</v>
      </c>
      <c r="Q864" t="s">
        <v>47</v>
      </c>
      <c r="R864" t="s">
        <v>350</v>
      </c>
      <c r="S864" t="s">
        <v>343</v>
      </c>
      <c r="T864" t="s">
        <v>343</v>
      </c>
    </row>
    <row r="865" spans="2:20" x14ac:dyDescent="0.25">
      <c r="B865">
        <v>860</v>
      </c>
      <c r="C865" t="s">
        <v>1204</v>
      </c>
      <c r="D865" s="10">
        <v>0.31377125079511281</v>
      </c>
      <c r="E865" s="10">
        <v>1.1176470430207981</v>
      </c>
      <c r="F865" s="10">
        <v>0.48624636471889932</v>
      </c>
      <c r="G865" s="10">
        <v>0.41532802399676472</v>
      </c>
      <c r="H865" s="6">
        <v>0.22120164427673039</v>
      </c>
      <c r="I865" s="10">
        <v>3.7661499017920139</v>
      </c>
      <c r="J865" s="7">
        <v>3.0833245158401971E-2</v>
      </c>
      <c r="K865" s="5">
        <v>0.14702789780945419</v>
      </c>
      <c r="L865">
        <v>311.66990388161122</v>
      </c>
      <c r="M865" s="10">
        <v>-0.47208277682890948</v>
      </c>
      <c r="N865" s="24" t="s">
        <v>343</v>
      </c>
      <c r="O865" s="24">
        <v>22.67503339026543</v>
      </c>
      <c r="P865">
        <v>17.689127167047889</v>
      </c>
      <c r="Q865" t="s">
        <v>348</v>
      </c>
      <c r="R865" t="s">
        <v>353</v>
      </c>
      <c r="S865" t="s">
        <v>343</v>
      </c>
      <c r="T865" t="s">
        <v>343</v>
      </c>
    </row>
    <row r="866" spans="2:20" x14ac:dyDescent="0.25">
      <c r="B866">
        <v>861</v>
      </c>
      <c r="C866" t="s">
        <v>1205</v>
      </c>
      <c r="D866" s="10">
        <v>0.1837860364404981</v>
      </c>
      <c r="E866" s="10">
        <v>0.695739807866399</v>
      </c>
      <c r="F866" s="10">
        <v>0.4849961067921833</v>
      </c>
      <c r="G866" s="10">
        <v>0.35687127341771091</v>
      </c>
      <c r="H866" s="6">
        <v>0.1477958694014716</v>
      </c>
      <c r="I866" s="10">
        <v>13.30184279676628</v>
      </c>
      <c r="J866" s="7">
        <v>1.5404446054285689E-2</v>
      </c>
      <c r="K866" s="5">
        <v>0.1032763207110369</v>
      </c>
      <c r="L866">
        <v>176.43167565300749</v>
      </c>
      <c r="M866" s="10">
        <v>-0.7011539480387613</v>
      </c>
      <c r="N866" s="24" t="s">
        <v>343</v>
      </c>
      <c r="O866" s="24">
        <v>8.9307631176743243</v>
      </c>
      <c r="P866">
        <v>15.67755545409887</v>
      </c>
      <c r="Q866" t="s">
        <v>348</v>
      </c>
      <c r="R866" t="s">
        <v>371</v>
      </c>
      <c r="S866" t="s">
        <v>343</v>
      </c>
      <c r="T866" t="s">
        <v>343</v>
      </c>
    </row>
    <row r="867" spans="2:20" x14ac:dyDescent="0.25">
      <c r="B867">
        <v>862</v>
      </c>
      <c r="C867" t="s">
        <v>1206</v>
      </c>
      <c r="D867" s="10">
        <v>0.22633985979632379</v>
      </c>
      <c r="E867" s="10">
        <v>1.231698459732995</v>
      </c>
      <c r="F867" s="10">
        <v>0.60026283644198331</v>
      </c>
      <c r="G867" s="10">
        <v>0.34572300745477491</v>
      </c>
      <c r="H867" s="6">
        <v>0.12746856343824059</v>
      </c>
      <c r="I867" s="10">
        <v>4.8218831646801821</v>
      </c>
      <c r="J867" s="7">
        <v>2.3243515463577079E-2</v>
      </c>
      <c r="K867" s="5">
        <v>0.18643119049025819</v>
      </c>
      <c r="L867">
        <v>105.45850932698001</v>
      </c>
      <c r="M867" s="10">
        <v>-0.82137074285873446</v>
      </c>
      <c r="N867" s="24" t="s">
        <v>343</v>
      </c>
      <c r="O867" s="24">
        <v>1.717755428475932</v>
      </c>
      <c r="P867">
        <v>55.728657996548357</v>
      </c>
      <c r="Q867" t="s">
        <v>47</v>
      </c>
      <c r="R867" t="s">
        <v>350</v>
      </c>
      <c r="S867" t="s">
        <v>343</v>
      </c>
      <c r="T867" t="s">
        <v>343</v>
      </c>
    </row>
    <row r="868" spans="2:20" x14ac:dyDescent="0.25">
      <c r="B868">
        <v>863</v>
      </c>
      <c r="C868" t="s">
        <v>1207</v>
      </c>
      <c r="D868" s="10">
        <v>0.17365594689258301</v>
      </c>
      <c r="E868" s="10">
        <v>0.66067759050085917</v>
      </c>
      <c r="F868" s="10">
        <v>0.586537279864082</v>
      </c>
      <c r="G868" s="10">
        <v>0.41752089332834241</v>
      </c>
      <c r="H868" s="6">
        <v>0.2437345210813199</v>
      </c>
      <c r="I868" s="10">
        <v>13.385457958945031</v>
      </c>
      <c r="J868" s="7">
        <v>2.2087075888643459E-2</v>
      </c>
      <c r="K868" s="5">
        <v>0.19046602202298091</v>
      </c>
      <c r="L868">
        <v>184.1673597695092</v>
      </c>
      <c r="M868" s="10">
        <v>-0.68805097971473761</v>
      </c>
      <c r="N868" s="24" t="s">
        <v>343</v>
      </c>
      <c r="O868" s="24">
        <v>9.7169412171157425</v>
      </c>
      <c r="P868">
        <v>57.079754873522752</v>
      </c>
      <c r="Q868" t="s">
        <v>47</v>
      </c>
      <c r="R868" t="s">
        <v>350</v>
      </c>
      <c r="S868" t="s">
        <v>343</v>
      </c>
      <c r="T868" t="s">
        <v>343</v>
      </c>
    </row>
    <row r="869" spans="2:20" x14ac:dyDescent="0.25">
      <c r="B869">
        <v>864</v>
      </c>
      <c r="C869" t="s">
        <v>1208</v>
      </c>
      <c r="D869" s="10">
        <v>0.31949988029535159</v>
      </c>
      <c r="E869" s="10">
        <v>1.0721393070320471</v>
      </c>
      <c r="F869" s="10">
        <v>0.48576731972480902</v>
      </c>
      <c r="G869" s="10">
        <v>0.33316727457672268</v>
      </c>
      <c r="H869" s="6">
        <v>0.16881005740854391</v>
      </c>
      <c r="I869" s="10">
        <v>12.0637508513017</v>
      </c>
      <c r="J869" s="7">
        <v>3.1488616141594213E-2</v>
      </c>
      <c r="K869" s="5">
        <v>0.15344686964459139</v>
      </c>
      <c r="L869">
        <v>319.49445572165831</v>
      </c>
      <c r="M869" s="10">
        <v>-0.45882928129241068</v>
      </c>
      <c r="N869" s="24" t="s">
        <v>343</v>
      </c>
      <c r="O869" s="24">
        <v>23.470243122455361</v>
      </c>
      <c r="P869">
        <v>18.72749965706765</v>
      </c>
      <c r="Q869" t="s">
        <v>348</v>
      </c>
      <c r="R869" t="s">
        <v>371</v>
      </c>
      <c r="S869" t="s">
        <v>343</v>
      </c>
      <c r="T869" t="s">
        <v>343</v>
      </c>
    </row>
    <row r="870" spans="2:20" x14ac:dyDescent="0.25">
      <c r="B870">
        <v>865</v>
      </c>
      <c r="C870" t="s">
        <v>1209</v>
      </c>
      <c r="D870" s="10">
        <v>0.24035120165299881</v>
      </c>
      <c r="E870" s="10">
        <v>0.34961990691386968</v>
      </c>
      <c r="F870" s="10">
        <v>0.69744492940879221</v>
      </c>
      <c r="G870" s="10">
        <v>0.41644720083460107</v>
      </c>
      <c r="H870" s="6">
        <v>0.13627836053401449</v>
      </c>
      <c r="I870" s="10">
        <v>3.9011792868829849</v>
      </c>
      <c r="J870" s="7">
        <v>1.27892588071656E-2</v>
      </c>
      <c r="K870" s="5">
        <v>0.14203876859338299</v>
      </c>
      <c r="L870">
        <v>101.46789604463</v>
      </c>
      <c r="M870" s="10">
        <v>-0.82813018115075554</v>
      </c>
      <c r="N870" s="24" t="s">
        <v>343</v>
      </c>
      <c r="O870" s="24">
        <v>1.3121891309546641</v>
      </c>
      <c r="P870">
        <v>55.632148672394052</v>
      </c>
      <c r="Q870" t="s">
        <v>47</v>
      </c>
      <c r="R870" t="s">
        <v>350</v>
      </c>
      <c r="S870" t="s">
        <v>343</v>
      </c>
      <c r="T870" t="s">
        <v>343</v>
      </c>
    </row>
    <row r="871" spans="2:20" x14ac:dyDescent="0.25">
      <c r="B871">
        <v>866</v>
      </c>
      <c r="C871" t="s">
        <v>1210</v>
      </c>
      <c r="D871" s="10">
        <v>0.25526160277120702</v>
      </c>
      <c r="E871" s="10">
        <v>0.72411916812135191</v>
      </c>
      <c r="F871" s="10">
        <v>0.54967755041575639</v>
      </c>
      <c r="G871" s="10">
        <v>0.26214567629195801</v>
      </c>
      <c r="H871" s="6">
        <v>0.2450855926293338</v>
      </c>
      <c r="I871" s="10">
        <v>7.8964871883722907</v>
      </c>
      <c r="J871" s="7">
        <v>1.362117244725959E-2</v>
      </c>
      <c r="K871" s="5">
        <v>0.13415868127044561</v>
      </c>
      <c r="L871">
        <v>127.3121354066331</v>
      </c>
      <c r="M871" s="10">
        <v>-0.78435431794087618</v>
      </c>
      <c r="N871" s="24" t="s">
        <v>343</v>
      </c>
      <c r="O871" s="24">
        <v>3.9387409235474351</v>
      </c>
      <c r="P871">
        <v>63.676723224239467</v>
      </c>
      <c r="Q871" t="s">
        <v>47</v>
      </c>
      <c r="R871" t="s">
        <v>350</v>
      </c>
      <c r="S871" t="s">
        <v>343</v>
      </c>
      <c r="T871" t="s">
        <v>343</v>
      </c>
    </row>
    <row r="872" spans="2:20" x14ac:dyDescent="0.25">
      <c r="B872">
        <v>867</v>
      </c>
      <c r="C872" t="s">
        <v>1211</v>
      </c>
      <c r="D872" s="10">
        <v>0.17073223638214841</v>
      </c>
      <c r="E872" s="10">
        <v>0.67755319246430656</v>
      </c>
      <c r="F872" s="10">
        <v>0.46523802532028352</v>
      </c>
      <c r="G872" s="10">
        <v>0.37998837941863639</v>
      </c>
      <c r="H872" s="6">
        <v>0.23435962163192231</v>
      </c>
      <c r="I872" s="10">
        <v>3.8073962394862719</v>
      </c>
      <c r="J872" s="7">
        <v>3.1347617347421211E-2</v>
      </c>
      <c r="K872" s="5">
        <v>0.1254645583409234</v>
      </c>
      <c r="L872">
        <v>123.3264726198671</v>
      </c>
      <c r="M872" s="10">
        <v>-0.79110537091288557</v>
      </c>
      <c r="N872" s="24" t="s">
        <v>343</v>
      </c>
      <c r="O872" s="24">
        <v>3.5336777452268682</v>
      </c>
      <c r="P872">
        <v>67.318694125434973</v>
      </c>
      <c r="Q872" t="s">
        <v>47</v>
      </c>
      <c r="R872" t="s">
        <v>350</v>
      </c>
      <c r="S872" t="s">
        <v>343</v>
      </c>
      <c r="T872" t="s">
        <v>343</v>
      </c>
    </row>
    <row r="873" spans="2:20" x14ac:dyDescent="0.25">
      <c r="B873">
        <v>868</v>
      </c>
      <c r="C873" t="s">
        <v>1212</v>
      </c>
      <c r="D873" s="10">
        <v>0.27999367526386842</v>
      </c>
      <c r="E873" s="10">
        <v>1.1983466132035161</v>
      </c>
      <c r="F873" s="10">
        <v>0.47134794440832989</v>
      </c>
      <c r="G873" s="10">
        <v>0.39456915244143659</v>
      </c>
      <c r="H873" s="6">
        <v>0.22256376756479521</v>
      </c>
      <c r="I873" s="10">
        <v>6.6276522107299236</v>
      </c>
      <c r="J873" s="7">
        <v>3.226411799288692E-2</v>
      </c>
      <c r="K873" s="5">
        <v>0.15458028709139959</v>
      </c>
      <c r="L873">
        <v>386.32513562508012</v>
      </c>
      <c r="M873" s="10">
        <v>-0.34562917272289018</v>
      </c>
      <c r="N873" s="24" t="s">
        <v>343</v>
      </c>
      <c r="O873" s="24">
        <v>30.262249636626589</v>
      </c>
      <c r="P873">
        <v>23.942483798895839</v>
      </c>
      <c r="Q873" t="s">
        <v>348</v>
      </c>
      <c r="R873" t="s">
        <v>375</v>
      </c>
      <c r="S873" t="s">
        <v>343</v>
      </c>
      <c r="T873" t="s">
        <v>343</v>
      </c>
    </row>
    <row r="874" spans="2:20" x14ac:dyDescent="0.25">
      <c r="B874">
        <v>869</v>
      </c>
      <c r="C874" t="s">
        <v>1213</v>
      </c>
      <c r="D874" s="10">
        <v>0.19358489489529371</v>
      </c>
      <c r="E874" s="10">
        <v>1.3637609435511411</v>
      </c>
      <c r="F874" s="10">
        <v>0.59181236556891459</v>
      </c>
      <c r="G874" s="10">
        <v>0.43780142715118342</v>
      </c>
      <c r="H874" s="6">
        <v>0.25668730647667942</v>
      </c>
      <c r="I874" s="10">
        <v>6.866533860639854</v>
      </c>
      <c r="J874" s="7">
        <v>2.189588488351063E-2</v>
      </c>
      <c r="K874" s="5">
        <v>0.1121690300363837</v>
      </c>
      <c r="L874">
        <v>400.55984615227391</v>
      </c>
      <c r="M874" s="10">
        <v>-0.32151792951149888</v>
      </c>
      <c r="N874" s="24" t="s">
        <v>343</v>
      </c>
      <c r="O874" s="24">
        <v>31.708924229310071</v>
      </c>
      <c r="P874">
        <v>51.164649444073767</v>
      </c>
      <c r="Q874" t="s">
        <v>47</v>
      </c>
      <c r="R874" t="s">
        <v>350</v>
      </c>
      <c r="S874" t="s">
        <v>343</v>
      </c>
      <c r="T874" t="s">
        <v>343</v>
      </c>
    </row>
    <row r="875" spans="2:20" x14ac:dyDescent="0.25">
      <c r="B875">
        <v>870</v>
      </c>
      <c r="C875" t="s">
        <v>1214</v>
      </c>
      <c r="D875" s="10">
        <v>0.30368868631051421</v>
      </c>
      <c r="E875" s="10">
        <v>0.8069694043622575</v>
      </c>
      <c r="F875" s="10">
        <v>0.69455804487970285</v>
      </c>
      <c r="G875" s="10">
        <v>0.2893512621175629</v>
      </c>
      <c r="H875" s="6">
        <v>0.19338391303059529</v>
      </c>
      <c r="I875" s="10">
        <v>9.5959666336033091</v>
      </c>
      <c r="J875" s="7">
        <v>1.5140489472632E-2</v>
      </c>
      <c r="K875" s="5">
        <v>0.1873214927832883</v>
      </c>
      <c r="L875">
        <v>160.67895543126309</v>
      </c>
      <c r="M875" s="10">
        <v>-0.72783644838057593</v>
      </c>
      <c r="N875" s="24" t="s">
        <v>343</v>
      </c>
      <c r="O875" s="24">
        <v>7.3298130971654416</v>
      </c>
      <c r="P875">
        <v>52.398786363706002</v>
      </c>
      <c r="Q875" t="s">
        <v>47</v>
      </c>
      <c r="R875" t="s">
        <v>350</v>
      </c>
      <c r="S875" t="s">
        <v>343</v>
      </c>
      <c r="T875" t="s">
        <v>343</v>
      </c>
    </row>
    <row r="876" spans="2:20" x14ac:dyDescent="0.25">
      <c r="B876">
        <v>871</v>
      </c>
      <c r="C876" t="s">
        <v>1215</v>
      </c>
      <c r="D876" s="10">
        <v>0.19282234247712121</v>
      </c>
      <c r="E876" s="10">
        <v>1.2073199048691341</v>
      </c>
      <c r="F876" s="10">
        <v>0.58870728642099146</v>
      </c>
      <c r="G876" s="10">
        <v>0.37292837362042741</v>
      </c>
      <c r="H876" s="6">
        <v>0.13920847463801969</v>
      </c>
      <c r="I876" s="10">
        <v>13.734851246274239</v>
      </c>
      <c r="J876" s="7">
        <v>4.1012797052706433E-2</v>
      </c>
      <c r="K876" s="5">
        <v>0.116716080115493</v>
      </c>
      <c r="L876">
        <v>471.94332255009238</v>
      </c>
      <c r="M876" s="10">
        <v>-0.20060613735286301</v>
      </c>
      <c r="N876" s="24" t="s">
        <v>343</v>
      </c>
      <c r="O876" s="24">
        <v>38.963631758828221</v>
      </c>
      <c r="P876">
        <v>53.209046628455489</v>
      </c>
      <c r="Q876" t="s">
        <v>47</v>
      </c>
      <c r="R876" t="s">
        <v>350</v>
      </c>
      <c r="S876" t="s">
        <v>343</v>
      </c>
      <c r="T876" t="s">
        <v>343</v>
      </c>
    </row>
    <row r="877" spans="2:20" x14ac:dyDescent="0.25">
      <c r="B877">
        <v>872</v>
      </c>
      <c r="C877" t="s">
        <v>1216</v>
      </c>
      <c r="D877" s="10">
        <v>0.19051003530618671</v>
      </c>
      <c r="E877" s="10">
        <v>1.069664171053101</v>
      </c>
      <c r="F877" s="10">
        <v>0.68675078392032562</v>
      </c>
      <c r="G877" s="10">
        <v>0.33531644401162908</v>
      </c>
      <c r="H877" s="6">
        <v>0.12920196148426791</v>
      </c>
      <c r="I877" s="10">
        <v>4.8673978411831502</v>
      </c>
      <c r="J877" s="7">
        <v>1.1853207924551631E-2</v>
      </c>
      <c r="K877" s="5">
        <v>0.17082375992263421</v>
      </c>
      <c r="L877">
        <v>166.94588888280589</v>
      </c>
      <c r="M877" s="10">
        <v>-0.71722130054521349</v>
      </c>
      <c r="N877" s="24" t="s">
        <v>343</v>
      </c>
      <c r="O877" s="24">
        <v>7.9667219672871887</v>
      </c>
      <c r="P877">
        <v>61.313300038980017</v>
      </c>
      <c r="Q877" t="s">
        <v>47</v>
      </c>
      <c r="R877" t="s">
        <v>350</v>
      </c>
      <c r="S877" t="s">
        <v>343</v>
      </c>
      <c r="T877" t="s">
        <v>343</v>
      </c>
    </row>
    <row r="878" spans="2:20" x14ac:dyDescent="0.25">
      <c r="B878">
        <v>873</v>
      </c>
      <c r="C878" t="s">
        <v>1217</v>
      </c>
      <c r="D878" s="10">
        <v>0.16584794685569521</v>
      </c>
      <c r="E878" s="10">
        <v>1.364124586430062</v>
      </c>
      <c r="F878" s="10">
        <v>0.55547454119708695</v>
      </c>
      <c r="G878" s="10">
        <v>0.32420976421968639</v>
      </c>
      <c r="H878" s="6">
        <v>0.16776615269394879</v>
      </c>
      <c r="I878" s="10">
        <v>6.6206606122369331</v>
      </c>
      <c r="J878" s="7">
        <v>3.5108143116164933E-2</v>
      </c>
      <c r="K878" s="5">
        <v>0.12915433837502191</v>
      </c>
      <c r="L878">
        <v>252.03756692014781</v>
      </c>
      <c r="M878" s="10">
        <v>-0.57309008407233419</v>
      </c>
      <c r="N878" s="24" t="s">
        <v>343</v>
      </c>
      <c r="O878" s="24">
        <v>16.61459495565995</v>
      </c>
      <c r="P878">
        <v>23.06287392513422</v>
      </c>
      <c r="Q878" t="s">
        <v>348</v>
      </c>
      <c r="R878" t="s">
        <v>353</v>
      </c>
      <c r="S878" t="s">
        <v>343</v>
      </c>
      <c r="T878" t="s">
        <v>343</v>
      </c>
    </row>
    <row r="879" spans="2:20" x14ac:dyDescent="0.25">
      <c r="B879">
        <v>874</v>
      </c>
      <c r="C879" t="s">
        <v>1218</v>
      </c>
      <c r="D879" s="10">
        <v>0.23553071121759989</v>
      </c>
      <c r="E879" s="10">
        <v>1.192219365777107</v>
      </c>
      <c r="F879" s="10">
        <v>0.55331868694952313</v>
      </c>
      <c r="G879" s="10">
        <v>0.26347698214663062</v>
      </c>
      <c r="H879" s="6">
        <v>0.13302462452061239</v>
      </c>
      <c r="I879" s="10">
        <v>9.4581274363598347</v>
      </c>
      <c r="J879" s="7">
        <v>1.490156513449345E-2</v>
      </c>
      <c r="K879" s="5">
        <v>0.1214767523794744</v>
      </c>
      <c r="L879">
        <v>275.96409291974493</v>
      </c>
      <c r="M879" s="10">
        <v>-0.53256250983906395</v>
      </c>
      <c r="N879" s="24" t="s">
        <v>343</v>
      </c>
      <c r="O879" s="24">
        <v>19.046249409656159</v>
      </c>
      <c r="P879">
        <v>25.57154358659858</v>
      </c>
      <c r="Q879" t="s">
        <v>348</v>
      </c>
      <c r="R879" t="s">
        <v>353</v>
      </c>
      <c r="S879" t="s">
        <v>343</v>
      </c>
      <c r="T879" t="s">
        <v>343</v>
      </c>
    </row>
    <row r="880" spans="2:20" x14ac:dyDescent="0.25">
      <c r="B880">
        <v>875</v>
      </c>
      <c r="C880" t="s">
        <v>1219</v>
      </c>
      <c r="D880" s="10">
        <v>0.25037458132201862</v>
      </c>
      <c r="E880" s="10">
        <v>0.38522587256010349</v>
      </c>
      <c r="F880" s="10">
        <v>0.57000191342212936</v>
      </c>
      <c r="G880" s="10">
        <v>0.26953133273088731</v>
      </c>
      <c r="H880" s="6">
        <v>0.20032641605206281</v>
      </c>
      <c r="I880" s="10">
        <v>4.8856294085155687</v>
      </c>
      <c r="J880" s="7">
        <v>3.2308086794943132E-2</v>
      </c>
      <c r="K880" s="5">
        <v>0.15299757203870409</v>
      </c>
      <c r="L880">
        <v>136.3116696640046</v>
      </c>
      <c r="M880" s="10">
        <v>-0.76911059669665438</v>
      </c>
      <c r="N880" s="24" t="s">
        <v>343</v>
      </c>
      <c r="O880" s="24">
        <v>4.8533641982007438</v>
      </c>
      <c r="P880">
        <v>65.609289127178997</v>
      </c>
      <c r="Q880" t="s">
        <v>47</v>
      </c>
      <c r="R880" t="s">
        <v>350</v>
      </c>
      <c r="S880" t="s">
        <v>343</v>
      </c>
      <c r="T880" t="s">
        <v>343</v>
      </c>
    </row>
    <row r="881" spans="2:20" x14ac:dyDescent="0.25">
      <c r="B881">
        <v>876</v>
      </c>
      <c r="C881" t="s">
        <v>1220</v>
      </c>
      <c r="D881" s="10">
        <v>0.17051338230853641</v>
      </c>
      <c r="E881" s="10">
        <v>1.0846098946204601</v>
      </c>
      <c r="F881" s="10">
        <v>0.62133061912044429</v>
      </c>
      <c r="G881" s="10">
        <v>0.4241374615184822</v>
      </c>
      <c r="H881" s="6">
        <v>0.12217485267347369</v>
      </c>
      <c r="I881" s="10">
        <v>10.81780628484591</v>
      </c>
      <c r="J881" s="7">
        <v>3.3227954642511492E-2</v>
      </c>
      <c r="K881" s="5">
        <v>0.172686873210153</v>
      </c>
      <c r="L881">
        <v>256.24963540177669</v>
      </c>
      <c r="M881" s="10">
        <v>-0.565955537332548</v>
      </c>
      <c r="N881" s="24" t="s">
        <v>343</v>
      </c>
      <c r="O881" s="24">
        <v>17.04266776004712</v>
      </c>
      <c r="P881">
        <v>58.48242469903267</v>
      </c>
      <c r="Q881" t="s">
        <v>47</v>
      </c>
      <c r="R881" t="s">
        <v>350</v>
      </c>
      <c r="S881" t="s">
        <v>343</v>
      </c>
      <c r="T881" t="s">
        <v>343</v>
      </c>
    </row>
    <row r="882" spans="2:20" x14ac:dyDescent="0.25">
      <c r="B882">
        <v>877</v>
      </c>
      <c r="C882" t="s">
        <v>1221</v>
      </c>
      <c r="D882" s="10">
        <v>0.28408441867120171</v>
      </c>
      <c r="E882" s="10">
        <v>0.88904968696461095</v>
      </c>
      <c r="F882" s="10">
        <v>0.53558015127734648</v>
      </c>
      <c r="G882" s="10">
        <v>0.40494575511162367</v>
      </c>
      <c r="H882" s="6">
        <v>0.18656449522640639</v>
      </c>
      <c r="I882" s="10">
        <v>7.4402568747500766</v>
      </c>
      <c r="J882" s="7">
        <v>3.8149087296237963E-2</v>
      </c>
      <c r="K882" s="5">
        <v>0.16903998354932989</v>
      </c>
      <c r="L882">
        <v>195.69722017802391</v>
      </c>
      <c r="M882" s="10">
        <v>-0.66852130484203798</v>
      </c>
      <c r="N882" s="24" t="s">
        <v>343</v>
      </c>
      <c r="O882" s="24">
        <v>10.88872170947772</v>
      </c>
      <c r="P882">
        <v>56.16332779879108</v>
      </c>
      <c r="Q882" t="s">
        <v>47</v>
      </c>
      <c r="R882" t="s">
        <v>350</v>
      </c>
      <c r="S882" t="s">
        <v>343</v>
      </c>
      <c r="T882" t="s">
        <v>343</v>
      </c>
    </row>
    <row r="883" spans="2:20" x14ac:dyDescent="0.25">
      <c r="B883">
        <v>878</v>
      </c>
      <c r="C883" t="s">
        <v>1222</v>
      </c>
      <c r="D883" s="10">
        <v>0.23252621355968439</v>
      </c>
      <c r="E883" s="10">
        <v>0.31807966372555979</v>
      </c>
      <c r="F883" s="10">
        <v>0.66461036849652877</v>
      </c>
      <c r="G883" s="10">
        <v>0.32411504866404212</v>
      </c>
      <c r="H883" s="6">
        <v>0.14676904347803779</v>
      </c>
      <c r="I883" s="10">
        <v>13.44529525198849</v>
      </c>
      <c r="J883" s="7">
        <v>2.3825877879465308E-2</v>
      </c>
      <c r="K883" s="5">
        <v>0.12220685333523471</v>
      </c>
      <c r="L883">
        <v>189.3583259474436</v>
      </c>
      <c r="M883" s="10">
        <v>-0.67925834232466364</v>
      </c>
      <c r="N883" s="24" t="s">
        <v>343</v>
      </c>
      <c r="O883" s="24">
        <v>10.24449946052018</v>
      </c>
      <c r="P883">
        <v>24.619933696312071</v>
      </c>
      <c r="Q883" t="s">
        <v>348</v>
      </c>
      <c r="R883" t="s">
        <v>351</v>
      </c>
      <c r="S883" t="s">
        <v>343</v>
      </c>
      <c r="T883" t="s">
        <v>343</v>
      </c>
    </row>
    <row r="884" spans="2:20" x14ac:dyDescent="0.25">
      <c r="B884">
        <v>879</v>
      </c>
      <c r="C884" t="s">
        <v>1223</v>
      </c>
      <c r="D884" s="10">
        <v>0.2439024430924128</v>
      </c>
      <c r="E884" s="10">
        <v>0.57644425459798798</v>
      </c>
      <c r="F884" s="10">
        <v>0.44761316003971802</v>
      </c>
      <c r="G884" s="10">
        <v>0.42226704790571878</v>
      </c>
      <c r="H884" s="6">
        <v>0.17524020658007369</v>
      </c>
      <c r="I884" s="10">
        <v>9.928580397372988</v>
      </c>
      <c r="J884" s="7">
        <v>1.0762876388147319E-2</v>
      </c>
      <c r="K884" s="5">
        <v>0.13139772327561211</v>
      </c>
      <c r="L884">
        <v>196.17304162242741</v>
      </c>
      <c r="M884" s="10">
        <v>-0.66771534208295769</v>
      </c>
      <c r="N884" s="24" t="s">
        <v>343</v>
      </c>
      <c r="O884" s="24">
        <v>10.937079475022539</v>
      </c>
      <c r="P884">
        <v>57.566986288686081</v>
      </c>
      <c r="Q884" t="s">
        <v>47</v>
      </c>
      <c r="R884" t="s">
        <v>350</v>
      </c>
      <c r="S884" t="s">
        <v>343</v>
      </c>
      <c r="T884" t="s">
        <v>343</v>
      </c>
    </row>
    <row r="885" spans="2:20" x14ac:dyDescent="0.25">
      <c r="B885">
        <v>880</v>
      </c>
      <c r="C885" t="s">
        <v>1224</v>
      </c>
      <c r="D885" s="10">
        <v>0.23052203951011649</v>
      </c>
      <c r="E885" s="10">
        <v>1.3139307695295821</v>
      </c>
      <c r="F885" s="10">
        <v>0.55433869070739494</v>
      </c>
      <c r="G885" s="10">
        <v>0.25776856066118731</v>
      </c>
      <c r="H885" s="6">
        <v>0.2212551112156034</v>
      </c>
      <c r="I885" s="10">
        <v>6.9938878233110451</v>
      </c>
      <c r="J885" s="7">
        <v>3.8386728508914739E-2</v>
      </c>
      <c r="K885" s="5">
        <v>0.1825390573850357</v>
      </c>
      <c r="L885">
        <v>134.9409180251721</v>
      </c>
      <c r="M885" s="10">
        <v>-0.77143242305786941</v>
      </c>
      <c r="N885" s="24" t="s">
        <v>343</v>
      </c>
      <c r="O885" s="24">
        <v>4.7140546165278394</v>
      </c>
      <c r="P885">
        <v>16.20842438427497</v>
      </c>
      <c r="Q885" t="s">
        <v>348</v>
      </c>
      <c r="R885" t="s">
        <v>375</v>
      </c>
      <c r="S885" t="s">
        <v>343</v>
      </c>
      <c r="T885" t="s">
        <v>343</v>
      </c>
    </row>
    <row r="886" spans="2:20" x14ac:dyDescent="0.25">
      <c r="B886">
        <v>881</v>
      </c>
      <c r="C886" t="s">
        <v>1225</v>
      </c>
      <c r="D886" s="10">
        <v>0.22412208974005221</v>
      </c>
      <c r="E886" s="10">
        <v>1.3186675100654279</v>
      </c>
      <c r="F886" s="10">
        <v>0.57285788099477863</v>
      </c>
      <c r="G886" s="10">
        <v>0.37745026174729712</v>
      </c>
      <c r="H886" s="6">
        <v>0.17264456565760519</v>
      </c>
      <c r="I886" s="10">
        <v>10.91420433175629</v>
      </c>
      <c r="J886" s="7">
        <v>2.5542380678248679E-2</v>
      </c>
      <c r="K886" s="5">
        <v>0.16870815572905881</v>
      </c>
      <c r="L886">
        <v>322.91764483219742</v>
      </c>
      <c r="M886" s="10">
        <v>-0.45303096561573319</v>
      </c>
      <c r="N886" s="24" t="s">
        <v>343</v>
      </c>
      <c r="O886" s="24">
        <v>23.818142063056001</v>
      </c>
      <c r="P886">
        <v>64.095726915872632</v>
      </c>
      <c r="Q886" t="s">
        <v>47</v>
      </c>
      <c r="R886" t="s">
        <v>350</v>
      </c>
      <c r="S886" t="s">
        <v>343</v>
      </c>
      <c r="T886" t="s">
        <v>343</v>
      </c>
    </row>
    <row r="887" spans="2:20" x14ac:dyDescent="0.25">
      <c r="B887">
        <v>882</v>
      </c>
      <c r="C887" t="s">
        <v>1226</v>
      </c>
      <c r="D887" s="10">
        <v>0.24954245300931491</v>
      </c>
      <c r="E887" s="10">
        <v>1.1787355062206979</v>
      </c>
      <c r="F887" s="10">
        <v>0.59782838194840493</v>
      </c>
      <c r="G887" s="10">
        <v>0.43099873159714341</v>
      </c>
      <c r="H887" s="6">
        <v>0.17120098308003229</v>
      </c>
      <c r="I887" s="10">
        <v>12.22630035788946</v>
      </c>
      <c r="J887" s="7">
        <v>3.9648143685915307E-2</v>
      </c>
      <c r="K887" s="5">
        <v>0.16770592100849341</v>
      </c>
      <c r="L887">
        <v>458.49099333872499</v>
      </c>
      <c r="M887" s="10">
        <v>-0.22339215613107011</v>
      </c>
      <c r="N887" s="24" t="s">
        <v>343</v>
      </c>
      <c r="O887" s="24">
        <v>37.596470632135798</v>
      </c>
      <c r="P887">
        <v>19.841457329187119</v>
      </c>
      <c r="Q887" t="s">
        <v>348</v>
      </c>
      <c r="R887" t="s">
        <v>375</v>
      </c>
      <c r="S887" t="s">
        <v>343</v>
      </c>
      <c r="T887" t="s">
        <v>343</v>
      </c>
    </row>
    <row r="888" spans="2:20" x14ac:dyDescent="0.25">
      <c r="B888">
        <v>883</v>
      </c>
      <c r="C888" t="s">
        <v>1227</v>
      </c>
      <c r="D888" s="10">
        <v>0.184838439348914</v>
      </c>
      <c r="E888" s="10">
        <v>1.3799575636057879</v>
      </c>
      <c r="F888" s="10">
        <v>0.51177869721512448</v>
      </c>
      <c r="G888" s="10">
        <v>0.42455013082687493</v>
      </c>
      <c r="H888" s="6">
        <v>0.26861260992592528</v>
      </c>
      <c r="I888" s="10">
        <v>11.805277404324521</v>
      </c>
      <c r="J888" s="7">
        <v>3.7159473238133137E-2</v>
      </c>
      <c r="K888" s="5">
        <v>0.12554598225152969</v>
      </c>
      <c r="L888">
        <v>725.68875886870705</v>
      </c>
      <c r="M888" s="10">
        <v>0.22919662661418241</v>
      </c>
      <c r="N888" s="24" t="s">
        <v>343</v>
      </c>
      <c r="O888" s="24">
        <v>37.248202403149058</v>
      </c>
      <c r="P888">
        <v>52.675395030115162</v>
      </c>
      <c r="Q888" t="s">
        <v>47</v>
      </c>
      <c r="R888" t="s">
        <v>350</v>
      </c>
      <c r="S888" t="s">
        <v>343</v>
      </c>
      <c r="T888" t="s">
        <v>343</v>
      </c>
    </row>
    <row r="889" spans="2:20" x14ac:dyDescent="0.25">
      <c r="B889">
        <v>884</v>
      </c>
      <c r="C889" t="s">
        <v>1228</v>
      </c>
      <c r="D889" s="10">
        <v>0.18910850087924341</v>
      </c>
      <c r="E889" s="10">
        <v>1.1871997470866249</v>
      </c>
      <c r="F889" s="10">
        <v>0.5511447924563172</v>
      </c>
      <c r="G889" s="10">
        <v>0.32201220718720908</v>
      </c>
      <c r="H889" s="6">
        <v>0.22782220840894299</v>
      </c>
      <c r="I889" s="10">
        <v>5.8904083354155219</v>
      </c>
      <c r="J889" s="7">
        <v>2.7440738743143268E-2</v>
      </c>
      <c r="K889" s="5">
        <v>0.17524040922907139</v>
      </c>
      <c r="L889">
        <v>129.15382961615961</v>
      </c>
      <c r="M889" s="10">
        <v>-0.78123479282499331</v>
      </c>
      <c r="N889" s="24" t="s">
        <v>343</v>
      </c>
      <c r="O889" s="24">
        <v>4.1259124305004056</v>
      </c>
      <c r="P889">
        <v>57.588734681394598</v>
      </c>
      <c r="Q889" t="s">
        <v>47</v>
      </c>
      <c r="R889" t="s">
        <v>350</v>
      </c>
      <c r="S889" t="s">
        <v>343</v>
      </c>
      <c r="T889" t="s">
        <v>343</v>
      </c>
    </row>
    <row r="890" spans="2:20" x14ac:dyDescent="0.25">
      <c r="B890">
        <v>885</v>
      </c>
      <c r="C890" t="s">
        <v>1229</v>
      </c>
      <c r="D890" s="10">
        <v>0.2978856993621628</v>
      </c>
      <c r="E890" s="10">
        <v>0.31122460601376972</v>
      </c>
      <c r="F890" s="10">
        <v>0.56597981505565476</v>
      </c>
      <c r="G890" s="10">
        <v>0.4039514476725376</v>
      </c>
      <c r="H890" s="6">
        <v>0.19707925677750771</v>
      </c>
      <c r="I890" s="10">
        <v>7.5868168736374493</v>
      </c>
      <c r="J890" s="7">
        <v>4.4978979314741922E-2</v>
      </c>
      <c r="K890" s="5">
        <v>0.1340496905660816</v>
      </c>
      <c r="L890">
        <v>152.80527030935059</v>
      </c>
      <c r="M890" s="10">
        <v>-0.74117316756300444</v>
      </c>
      <c r="N890" s="24" t="s">
        <v>343</v>
      </c>
      <c r="O890" s="24">
        <v>6.529609946219729</v>
      </c>
      <c r="P890">
        <v>58.160493997876721</v>
      </c>
      <c r="Q890" t="s">
        <v>47</v>
      </c>
      <c r="R890" t="s">
        <v>350</v>
      </c>
      <c r="S890" t="s">
        <v>343</v>
      </c>
      <c r="T890" t="s">
        <v>343</v>
      </c>
    </row>
    <row r="891" spans="2:20" x14ac:dyDescent="0.25">
      <c r="B891">
        <v>886</v>
      </c>
      <c r="C891" t="s">
        <v>1230</v>
      </c>
      <c r="D891" s="10">
        <v>0.31137847394138118</v>
      </c>
      <c r="E891" s="10">
        <v>0.61661777433166298</v>
      </c>
      <c r="F891" s="10">
        <v>0.61859659445763537</v>
      </c>
      <c r="G891" s="10">
        <v>0.33404299201437299</v>
      </c>
      <c r="H891" s="6">
        <v>0.20690634764963689</v>
      </c>
      <c r="I891" s="10">
        <v>7.973954271335554</v>
      </c>
      <c r="J891" s="7">
        <v>2.6172627696253319E-2</v>
      </c>
      <c r="K891" s="5">
        <v>0.13813209941513441</v>
      </c>
      <c r="L891">
        <v>282.76368805983492</v>
      </c>
      <c r="M891" s="10">
        <v>-0.52104512128040636</v>
      </c>
      <c r="N891" s="24" t="s">
        <v>343</v>
      </c>
      <c r="O891" s="24">
        <v>19.737292723175621</v>
      </c>
      <c r="P891">
        <v>59.226111276085128</v>
      </c>
      <c r="Q891" t="s">
        <v>47</v>
      </c>
      <c r="R891" t="s">
        <v>350</v>
      </c>
      <c r="S891" t="s">
        <v>343</v>
      </c>
      <c r="T891" t="s">
        <v>343</v>
      </c>
    </row>
    <row r="892" spans="2:20" x14ac:dyDescent="0.25">
      <c r="B892">
        <v>887</v>
      </c>
      <c r="C892" t="s">
        <v>1231</v>
      </c>
      <c r="D892" s="10">
        <v>0.21972949060476049</v>
      </c>
      <c r="E892" s="10">
        <v>0.33368660046153908</v>
      </c>
      <c r="F892" s="10">
        <v>0.64112148803131164</v>
      </c>
      <c r="G892" s="10">
        <v>0.42483039616578888</v>
      </c>
      <c r="H892" s="6">
        <v>0.21302739472782159</v>
      </c>
      <c r="I892" s="10">
        <v>7.2722173138961308</v>
      </c>
      <c r="J892" s="7">
        <v>3.4377661701643573E-2</v>
      </c>
      <c r="K892" s="5">
        <v>0.127318303455069</v>
      </c>
      <c r="L892">
        <v>163.9231027182152</v>
      </c>
      <c r="M892" s="10">
        <v>-0.72234139991437452</v>
      </c>
      <c r="N892" s="24" t="s">
        <v>343</v>
      </c>
      <c r="O892" s="24">
        <v>7.6595160051375331</v>
      </c>
      <c r="P892">
        <v>24.18756303446418</v>
      </c>
      <c r="Q892" t="s">
        <v>348</v>
      </c>
      <c r="R892" t="s">
        <v>353</v>
      </c>
      <c r="S892" t="s">
        <v>343</v>
      </c>
      <c r="T892" t="s">
        <v>343</v>
      </c>
    </row>
    <row r="893" spans="2:20" x14ac:dyDescent="0.25">
      <c r="B893">
        <v>888</v>
      </c>
      <c r="C893" t="s">
        <v>1232</v>
      </c>
      <c r="D893" s="10">
        <v>0.20331914770296861</v>
      </c>
      <c r="E893" s="10">
        <v>0.40351876561131539</v>
      </c>
      <c r="F893" s="10">
        <v>0.63183510510938468</v>
      </c>
      <c r="G893" s="10">
        <v>0.35676762903410508</v>
      </c>
      <c r="H893" s="6">
        <v>0.1236863098411263</v>
      </c>
      <c r="I893" s="10">
        <v>6.4194994114139927</v>
      </c>
      <c r="J893" s="7">
        <v>3.3443133697299711E-2</v>
      </c>
      <c r="K893" s="5">
        <v>0.111532073468728</v>
      </c>
      <c r="L893">
        <v>144.3602021530229</v>
      </c>
      <c r="M893" s="10">
        <v>-0.75547771501867622</v>
      </c>
      <c r="N893" s="24" t="s">
        <v>343</v>
      </c>
      <c r="O893" s="24">
        <v>5.6713370988794267</v>
      </c>
      <c r="P893">
        <v>58.804053663728851</v>
      </c>
      <c r="Q893" t="s">
        <v>47</v>
      </c>
      <c r="R893" t="s">
        <v>350</v>
      </c>
      <c r="S893" t="s">
        <v>343</v>
      </c>
      <c r="T893" t="s">
        <v>343</v>
      </c>
    </row>
    <row r="894" spans="2:20" x14ac:dyDescent="0.25">
      <c r="B894">
        <v>889</v>
      </c>
      <c r="C894" t="s">
        <v>1233</v>
      </c>
      <c r="D894" s="10">
        <v>0.26303992691824252</v>
      </c>
      <c r="E894" s="10">
        <v>0.5407248986458536</v>
      </c>
      <c r="F894" s="10">
        <v>0.52881159359529217</v>
      </c>
      <c r="G894" s="10">
        <v>0.40826855080310909</v>
      </c>
      <c r="H894" s="6">
        <v>0.13203968857878709</v>
      </c>
      <c r="I894" s="10">
        <v>11.28022579209483</v>
      </c>
      <c r="J894" s="7">
        <v>2.8132335026175199E-2</v>
      </c>
      <c r="K894" s="5">
        <v>0.1399373884846008</v>
      </c>
      <c r="L894">
        <v>155.2521753870237</v>
      </c>
      <c r="M894" s="10">
        <v>-0.73702851542341552</v>
      </c>
      <c r="N894" s="24" t="s">
        <v>343</v>
      </c>
      <c r="O894" s="24">
        <v>6.7782890745950652</v>
      </c>
      <c r="P894">
        <v>54.632834741876607</v>
      </c>
      <c r="Q894" t="s">
        <v>47</v>
      </c>
      <c r="R894" t="s">
        <v>350</v>
      </c>
      <c r="S894" t="s">
        <v>343</v>
      </c>
      <c r="T894" t="s">
        <v>343</v>
      </c>
    </row>
    <row r="895" spans="2:20" x14ac:dyDescent="0.25">
      <c r="B895">
        <v>890</v>
      </c>
      <c r="C895" t="s">
        <v>1234</v>
      </c>
      <c r="D895" s="10">
        <v>0.22539746737569541</v>
      </c>
      <c r="E895" s="10">
        <v>0.85391440095807458</v>
      </c>
      <c r="F895" s="10">
        <v>0.69985713597791044</v>
      </c>
      <c r="G895" s="10">
        <v>0.25728574810416782</v>
      </c>
      <c r="H895" s="6">
        <v>0.21737840270349779</v>
      </c>
      <c r="I895" s="10">
        <v>3.1344666777466221</v>
      </c>
      <c r="J895" s="7">
        <v>3.0487260115148289E-2</v>
      </c>
      <c r="K895" s="5">
        <v>0.101609252682625</v>
      </c>
      <c r="L895">
        <v>134.59798468203019</v>
      </c>
      <c r="M895" s="10">
        <v>-0.77201329537178076</v>
      </c>
      <c r="N895" s="24" t="s">
        <v>343</v>
      </c>
      <c r="O895" s="24">
        <v>4.6792022776931574</v>
      </c>
      <c r="P895">
        <v>51.383424969864997</v>
      </c>
      <c r="Q895" t="s">
        <v>47</v>
      </c>
      <c r="R895" t="s">
        <v>350</v>
      </c>
      <c r="S895" t="s">
        <v>343</v>
      </c>
      <c r="T895" t="s">
        <v>343</v>
      </c>
    </row>
    <row r="896" spans="2:20" x14ac:dyDescent="0.25">
      <c r="B896">
        <v>891</v>
      </c>
      <c r="C896" t="s">
        <v>1235</v>
      </c>
      <c r="D896" s="10">
        <v>0.16406181690565519</v>
      </c>
      <c r="E896" s="10">
        <v>1.232285203808219</v>
      </c>
      <c r="F896" s="10">
        <v>0.66065298106466663</v>
      </c>
      <c r="G896" s="10">
        <v>0.36980571375394983</v>
      </c>
      <c r="H896" s="6">
        <v>0.17467032882724709</v>
      </c>
      <c r="I896" s="10">
        <v>6.2289865174464794</v>
      </c>
      <c r="J896" s="7">
        <v>3.7951306662231163E-2</v>
      </c>
      <c r="K896" s="5">
        <v>0.1433114727455897</v>
      </c>
      <c r="L896">
        <v>198.81793409370741</v>
      </c>
      <c r="M896" s="10">
        <v>-0.66323533207353869</v>
      </c>
      <c r="N896" s="24" t="s">
        <v>343</v>
      </c>
      <c r="O896" s="24">
        <v>11.205880075587681</v>
      </c>
      <c r="P896">
        <v>21.505288706103538</v>
      </c>
      <c r="Q896" t="s">
        <v>348</v>
      </c>
      <c r="R896" t="s">
        <v>351</v>
      </c>
      <c r="S896" t="s">
        <v>343</v>
      </c>
      <c r="T896" t="s">
        <v>343</v>
      </c>
    </row>
    <row r="897" spans="2:20" x14ac:dyDescent="0.25">
      <c r="B897">
        <v>892</v>
      </c>
      <c r="C897" t="s">
        <v>1236</v>
      </c>
      <c r="D897" s="10">
        <v>0.18498441557859049</v>
      </c>
      <c r="E897" s="10">
        <v>1.248163431772819</v>
      </c>
      <c r="F897" s="10">
        <v>0.50760607701769189</v>
      </c>
      <c r="G897" s="10">
        <v>0.36106251904325448</v>
      </c>
      <c r="H897" s="6">
        <v>0.12831660603478881</v>
      </c>
      <c r="I897" s="10">
        <v>4.5577898267019403</v>
      </c>
      <c r="J897" s="7">
        <v>3.000646437280393E-2</v>
      </c>
      <c r="K897" s="5">
        <v>0.1688756116197995</v>
      </c>
      <c r="L897">
        <v>181.83609025573051</v>
      </c>
      <c r="M897" s="10">
        <v>-0.69199976435146326</v>
      </c>
      <c r="N897" s="24" t="s">
        <v>343</v>
      </c>
      <c r="O897" s="24">
        <v>9.4800141389122032</v>
      </c>
      <c r="P897">
        <v>66.265657188126653</v>
      </c>
      <c r="Q897" t="s">
        <v>47</v>
      </c>
      <c r="R897" t="s">
        <v>350</v>
      </c>
      <c r="S897" t="s">
        <v>343</v>
      </c>
      <c r="T897" t="s">
        <v>343</v>
      </c>
    </row>
    <row r="898" spans="2:20" x14ac:dyDescent="0.25">
      <c r="B898">
        <v>893</v>
      </c>
      <c r="C898" t="s">
        <v>1237</v>
      </c>
      <c r="D898" s="10">
        <v>0.27455555661558362</v>
      </c>
      <c r="E898" s="10">
        <v>0.97782204441302611</v>
      </c>
      <c r="F898" s="10">
        <v>0.49072750947493521</v>
      </c>
      <c r="G898" s="10">
        <v>0.37419487878173519</v>
      </c>
      <c r="H898" s="6">
        <v>0.16462698690774391</v>
      </c>
      <c r="I898" s="10">
        <v>4.4164624748994186</v>
      </c>
      <c r="J898" s="7">
        <v>2.575519068495212E-2</v>
      </c>
      <c r="K898" s="5">
        <v>0.19127077811262511</v>
      </c>
      <c r="L898">
        <v>112.4330388811665</v>
      </c>
      <c r="M898" s="10">
        <v>-0.8095570443613348</v>
      </c>
      <c r="N898" s="24" t="s">
        <v>343</v>
      </c>
      <c r="O898" s="24">
        <v>2.4265773383199161</v>
      </c>
      <c r="P898">
        <v>22.280598368208491</v>
      </c>
      <c r="Q898" t="s">
        <v>348</v>
      </c>
      <c r="R898" t="s">
        <v>353</v>
      </c>
      <c r="S898" t="s">
        <v>343</v>
      </c>
      <c r="T898" t="s">
        <v>343</v>
      </c>
    </row>
    <row r="899" spans="2:20" x14ac:dyDescent="0.25">
      <c r="B899">
        <v>894</v>
      </c>
      <c r="C899" t="s">
        <v>1238</v>
      </c>
      <c r="D899" s="10">
        <v>0.26542783070562431</v>
      </c>
      <c r="E899" s="10">
        <v>1.3209935329728579</v>
      </c>
      <c r="F899" s="10">
        <v>0.5216455251516815</v>
      </c>
      <c r="G899" s="10">
        <v>0.39304115374142978</v>
      </c>
      <c r="H899" s="6">
        <v>0.1395425130632085</v>
      </c>
      <c r="I899" s="10">
        <v>6.0465453358722652</v>
      </c>
      <c r="J899" s="7">
        <v>3.3172886611825159E-2</v>
      </c>
      <c r="K899" s="5">
        <v>0.1074682487337732</v>
      </c>
      <c r="L899">
        <v>260.30889676806589</v>
      </c>
      <c r="M899" s="10">
        <v>-0.55907982055037486</v>
      </c>
      <c r="N899" s="24" t="s">
        <v>343</v>
      </c>
      <c r="O899" s="24">
        <v>17.455210766977508</v>
      </c>
      <c r="P899">
        <v>57.375724965466922</v>
      </c>
      <c r="Q899" t="s">
        <v>47</v>
      </c>
      <c r="R899" t="s">
        <v>350</v>
      </c>
      <c r="S899" t="s">
        <v>343</v>
      </c>
      <c r="T899" t="s">
        <v>343</v>
      </c>
    </row>
    <row r="900" spans="2:20" x14ac:dyDescent="0.25">
      <c r="B900">
        <v>895</v>
      </c>
      <c r="C900" t="s">
        <v>1239</v>
      </c>
      <c r="D900" s="10">
        <v>0.16433535880055741</v>
      </c>
      <c r="E900" s="10">
        <v>0.85006855924922875</v>
      </c>
      <c r="F900" s="10">
        <v>0.55760966177990767</v>
      </c>
      <c r="G900" s="10">
        <v>0.44198397340751128</v>
      </c>
      <c r="H900" s="6">
        <v>0.2574470763339482</v>
      </c>
      <c r="I900" s="10">
        <v>11.383684002265531</v>
      </c>
      <c r="J900" s="7">
        <v>1.1242816238010199E-2</v>
      </c>
      <c r="K900" s="5">
        <v>0.126722616896672</v>
      </c>
      <c r="L900">
        <v>382.87728843035802</v>
      </c>
      <c r="M900" s="10">
        <v>-0.35146925511226101</v>
      </c>
      <c r="N900" s="24" t="s">
        <v>343</v>
      </c>
      <c r="O900" s="24">
        <v>29.911844693264339</v>
      </c>
      <c r="P900">
        <v>43.468192965196423</v>
      </c>
      <c r="Q900" t="s">
        <v>346</v>
      </c>
      <c r="R900" t="s">
        <v>347</v>
      </c>
      <c r="S900" t="s">
        <v>343</v>
      </c>
      <c r="T900" t="s">
        <v>343</v>
      </c>
    </row>
    <row r="901" spans="2:20" x14ac:dyDescent="0.25">
      <c r="B901">
        <v>896</v>
      </c>
      <c r="C901" t="s">
        <v>1240</v>
      </c>
      <c r="D901" s="10">
        <v>0.19551554590927189</v>
      </c>
      <c r="E901" s="10">
        <v>1.277939648546522</v>
      </c>
      <c r="F901" s="10">
        <v>0.6612078383630996</v>
      </c>
      <c r="G901" s="10">
        <v>0.41285005799072683</v>
      </c>
      <c r="H901" s="6">
        <v>0.15043880888296729</v>
      </c>
      <c r="I901" s="10">
        <v>13.66364055986277</v>
      </c>
      <c r="J901" s="7">
        <v>1.382178562515322E-2</v>
      </c>
      <c r="K901" s="5">
        <v>0.14694244990311151</v>
      </c>
      <c r="L901">
        <v>428.88390047469881</v>
      </c>
      <c r="M901" s="10">
        <v>-0.27354167026857401</v>
      </c>
      <c r="N901" s="24" t="s">
        <v>343</v>
      </c>
      <c r="O901" s="24">
        <v>34.587499783885562</v>
      </c>
      <c r="P901">
        <v>50.775000379748377</v>
      </c>
      <c r="Q901" t="s">
        <v>47</v>
      </c>
      <c r="R901" t="s">
        <v>350</v>
      </c>
      <c r="S901" t="s">
        <v>343</v>
      </c>
      <c r="T901" t="s">
        <v>343</v>
      </c>
    </row>
    <row r="902" spans="2:20" x14ac:dyDescent="0.25">
      <c r="B902">
        <v>897</v>
      </c>
      <c r="C902" t="s">
        <v>1241</v>
      </c>
      <c r="D902" s="10">
        <v>0.1969719674540914</v>
      </c>
      <c r="E902" s="10">
        <v>0.79947178196521329</v>
      </c>
      <c r="F902" s="10">
        <v>0.64237418858657891</v>
      </c>
      <c r="G902" s="10">
        <v>0.28832035811567902</v>
      </c>
      <c r="H902" s="6">
        <v>0.14155367960910789</v>
      </c>
      <c r="I902" s="10">
        <v>8.6608031319520862</v>
      </c>
      <c r="J902" s="7">
        <v>1.4389923300727451E-2</v>
      </c>
      <c r="K902" s="5">
        <v>0.1161868551266821</v>
      </c>
      <c r="L902">
        <v>213.55509666476561</v>
      </c>
      <c r="M902" s="10">
        <v>-0.63827301827602423</v>
      </c>
      <c r="N902" s="24" t="s">
        <v>343</v>
      </c>
      <c r="O902" s="24">
        <v>12.703618903438549</v>
      </c>
      <c r="P902">
        <v>64.369571969213069</v>
      </c>
      <c r="Q902" t="s">
        <v>47</v>
      </c>
      <c r="R902" t="s">
        <v>350</v>
      </c>
      <c r="S902" t="s">
        <v>343</v>
      </c>
      <c r="T902" t="s">
        <v>343</v>
      </c>
    </row>
    <row r="903" spans="2:20" x14ac:dyDescent="0.25">
      <c r="B903">
        <v>898</v>
      </c>
      <c r="C903" t="s">
        <v>1242</v>
      </c>
      <c r="D903" s="10">
        <v>0.26750283897579652</v>
      </c>
      <c r="E903" s="10">
        <v>0.6049475081640705</v>
      </c>
      <c r="F903" s="10">
        <v>0.6613239921115277</v>
      </c>
      <c r="G903" s="10">
        <v>0.42169717924426109</v>
      </c>
      <c r="H903" s="6">
        <v>0.2139253225632925</v>
      </c>
      <c r="I903" s="10">
        <v>6.7286899933460962</v>
      </c>
      <c r="J903" s="7">
        <v>2.4901868224181629E-2</v>
      </c>
      <c r="K903" s="5">
        <v>0.11109870959724891</v>
      </c>
      <c r="L903">
        <v>186.96363359712319</v>
      </c>
      <c r="M903" s="10">
        <v>-0.68331455474744029</v>
      </c>
      <c r="N903" s="24" t="s">
        <v>343</v>
      </c>
      <c r="O903" s="24">
        <v>10.00112671515358</v>
      </c>
      <c r="P903">
        <v>56.389720939229491</v>
      </c>
      <c r="Q903" t="s">
        <v>47</v>
      </c>
      <c r="R903" t="s">
        <v>350</v>
      </c>
      <c r="S903" t="s">
        <v>343</v>
      </c>
      <c r="T903" t="s">
        <v>343</v>
      </c>
    </row>
    <row r="904" spans="2:20" x14ac:dyDescent="0.25">
      <c r="B904">
        <v>899</v>
      </c>
      <c r="C904" t="s">
        <v>1243</v>
      </c>
      <c r="D904" s="10">
        <v>0.1631536860406983</v>
      </c>
      <c r="E904" s="10">
        <v>1.3080542099104699</v>
      </c>
      <c r="F904" s="10">
        <v>0.51070884987668541</v>
      </c>
      <c r="G904" s="10">
        <v>0.26685752907532101</v>
      </c>
      <c r="H904" s="6">
        <v>0.1982867895415249</v>
      </c>
      <c r="I904" s="10">
        <v>12.120875129421959</v>
      </c>
      <c r="J904" s="7">
        <v>4.051213339478707E-2</v>
      </c>
      <c r="K904" s="5">
        <v>0.1429702200178023</v>
      </c>
      <c r="L904">
        <v>426.360228825121</v>
      </c>
      <c r="M904" s="10">
        <v>-0.27781635227298968</v>
      </c>
      <c r="N904" s="24" t="s">
        <v>343</v>
      </c>
      <c r="O904" s="24">
        <v>34.331018863620614</v>
      </c>
      <c r="P904">
        <v>15.084559153095521</v>
      </c>
      <c r="Q904" t="s">
        <v>348</v>
      </c>
      <c r="R904" t="s">
        <v>375</v>
      </c>
      <c r="S904" t="s">
        <v>343</v>
      </c>
      <c r="T904" t="s">
        <v>343</v>
      </c>
    </row>
    <row r="905" spans="2:20" x14ac:dyDescent="0.25">
      <c r="B905">
        <v>900</v>
      </c>
      <c r="C905" t="s">
        <v>1244</v>
      </c>
      <c r="D905" s="10">
        <v>0.1766573731175318</v>
      </c>
      <c r="E905" s="10">
        <v>0.72672858324675615</v>
      </c>
      <c r="F905" s="10">
        <v>0.59429991783747738</v>
      </c>
      <c r="G905" s="10">
        <v>0.37688368884851531</v>
      </c>
      <c r="H905" s="6">
        <v>0.2063898681053688</v>
      </c>
      <c r="I905" s="10">
        <v>3.738137677950744</v>
      </c>
      <c r="J905" s="7">
        <v>3.2515310921838757E-2</v>
      </c>
      <c r="K905" s="5">
        <v>0.15516940024475959</v>
      </c>
      <c r="L905">
        <v>66.688525930740639</v>
      </c>
      <c r="M905" s="10">
        <v>-0.88704067672795583</v>
      </c>
      <c r="N905" s="24" t="s">
        <v>343</v>
      </c>
      <c r="O905" s="24">
        <v>0</v>
      </c>
      <c r="P905">
        <v>58.173053595415148</v>
      </c>
      <c r="Q905" t="s">
        <v>47</v>
      </c>
      <c r="R905" t="s">
        <v>350</v>
      </c>
      <c r="S905" t="s">
        <v>343</v>
      </c>
      <c r="T905" t="s">
        <v>343</v>
      </c>
    </row>
    <row r="906" spans="2:20" x14ac:dyDescent="0.25">
      <c r="B906">
        <v>901</v>
      </c>
      <c r="C906" t="s">
        <v>1245</v>
      </c>
      <c r="D906" s="10">
        <v>0.28798657365971031</v>
      </c>
      <c r="E906" s="10">
        <v>0.85374451972890775</v>
      </c>
      <c r="F906" s="10">
        <v>0.51364475619211736</v>
      </c>
      <c r="G906" s="10">
        <v>0.43420583781410749</v>
      </c>
      <c r="H906" s="6">
        <v>0.18539222220604731</v>
      </c>
      <c r="I906" s="10">
        <v>4.0248473606693107</v>
      </c>
      <c r="J906" s="7">
        <v>4.4041646757895327E-2</v>
      </c>
      <c r="K906" s="5">
        <v>0.17791973402190439</v>
      </c>
      <c r="L906">
        <v>106.9352833562546</v>
      </c>
      <c r="M906" s="10">
        <v>-0.81886933211911439</v>
      </c>
      <c r="N906" s="24" t="s">
        <v>343</v>
      </c>
      <c r="O906" s="24">
        <v>1.867840072853141</v>
      </c>
      <c r="P906">
        <v>53.752001294955143</v>
      </c>
      <c r="Q906" t="s">
        <v>47</v>
      </c>
      <c r="R906" t="s">
        <v>350</v>
      </c>
      <c r="S906" t="s">
        <v>343</v>
      </c>
      <c r="T906" t="s">
        <v>343</v>
      </c>
    </row>
    <row r="907" spans="2:20" x14ac:dyDescent="0.25">
      <c r="B907">
        <v>902</v>
      </c>
      <c r="C907" t="s">
        <v>1246</v>
      </c>
      <c r="D907" s="10">
        <v>0.18856714592869339</v>
      </c>
      <c r="E907" s="10">
        <v>0.6617466957837449</v>
      </c>
      <c r="F907" s="10">
        <v>0.46834602178706819</v>
      </c>
      <c r="G907" s="10">
        <v>0.26224685192727892</v>
      </c>
      <c r="H907" s="6">
        <v>0.1900753966398194</v>
      </c>
      <c r="I907" s="10">
        <v>6.7990294622419336</v>
      </c>
      <c r="J907" s="7">
        <v>1.1397933928564341E-2</v>
      </c>
      <c r="K907" s="5">
        <v>0.194791325070447</v>
      </c>
      <c r="L907">
        <v>57.632603379584047</v>
      </c>
      <c r="M907" s="10">
        <v>-0.9023799104073007</v>
      </c>
      <c r="N907" s="24" t="s">
        <v>343</v>
      </c>
      <c r="O907" s="24">
        <v>0</v>
      </c>
      <c r="P907">
        <v>58.089698690260597</v>
      </c>
      <c r="Q907" t="s">
        <v>47</v>
      </c>
      <c r="R907" t="s">
        <v>350</v>
      </c>
      <c r="S907" t="s">
        <v>343</v>
      </c>
      <c r="T907" t="s">
        <v>343</v>
      </c>
    </row>
    <row r="908" spans="2:20" x14ac:dyDescent="0.25">
      <c r="B908">
        <v>903</v>
      </c>
      <c r="C908" t="s">
        <v>1247</v>
      </c>
      <c r="D908" s="10">
        <v>0.26443937725630001</v>
      </c>
      <c r="E908" s="10">
        <v>1.0291213603198031</v>
      </c>
      <c r="F908" s="10">
        <v>0.6178914133034169</v>
      </c>
      <c r="G908" s="10">
        <v>0.42693238372825743</v>
      </c>
      <c r="H908" s="6">
        <v>0.23681963337706941</v>
      </c>
      <c r="I908" s="10">
        <v>7.932493494184861</v>
      </c>
      <c r="J908" s="7">
        <v>3.527024657004825E-2</v>
      </c>
      <c r="K908" s="5">
        <v>0.17355572409878259</v>
      </c>
      <c r="L908">
        <v>292.7355426866435</v>
      </c>
      <c r="M908" s="10">
        <v>-0.50415445028879768</v>
      </c>
      <c r="N908" s="24" t="s">
        <v>343</v>
      </c>
      <c r="O908" s="24">
        <v>20.75073298267214</v>
      </c>
      <c r="P908">
        <v>60.68738366919542</v>
      </c>
      <c r="Q908" t="s">
        <v>47</v>
      </c>
      <c r="R908" t="s">
        <v>350</v>
      </c>
      <c r="S908" t="s">
        <v>343</v>
      </c>
      <c r="T908" t="s">
        <v>343</v>
      </c>
    </row>
    <row r="909" spans="2:20" x14ac:dyDescent="0.25">
      <c r="B909">
        <v>904</v>
      </c>
      <c r="C909" t="s">
        <v>1248</v>
      </c>
      <c r="D909" s="10">
        <v>0.19810924496747631</v>
      </c>
      <c r="E909" s="10">
        <v>1.394534347506639</v>
      </c>
      <c r="F909" s="10">
        <v>0.47717936331081412</v>
      </c>
      <c r="G909" s="10">
        <v>0.41569656153065399</v>
      </c>
      <c r="H909" s="6">
        <v>0.1529883277238501</v>
      </c>
      <c r="I909" s="10">
        <v>11.77621656209512</v>
      </c>
      <c r="J909" s="7">
        <v>2.099705450865871E-2</v>
      </c>
      <c r="K909" s="5">
        <v>0.1210273429368004</v>
      </c>
      <c r="L909">
        <v>415.1019235557273</v>
      </c>
      <c r="M909" s="10">
        <v>-0.29688605769340282</v>
      </c>
      <c r="N909" s="24" t="s">
        <v>343</v>
      </c>
      <c r="O909" s="24">
        <v>33.186836538395831</v>
      </c>
      <c r="P909">
        <v>14.8903260678472</v>
      </c>
      <c r="Q909" t="s">
        <v>348</v>
      </c>
      <c r="R909" t="s">
        <v>371</v>
      </c>
      <c r="S909" t="s">
        <v>343</v>
      </c>
      <c r="T909" t="s">
        <v>343</v>
      </c>
    </row>
    <row r="910" spans="2:20" x14ac:dyDescent="0.25">
      <c r="B910">
        <v>905</v>
      </c>
      <c r="C910" t="s">
        <v>1249</v>
      </c>
      <c r="D910" s="10">
        <v>0.1759106228414952</v>
      </c>
      <c r="E910" s="10">
        <v>0.32806490375124658</v>
      </c>
      <c r="F910" s="10">
        <v>0.61360141804368251</v>
      </c>
      <c r="G910" s="10">
        <v>0.35083059544459561</v>
      </c>
      <c r="H910" s="6">
        <v>0.17947939542468511</v>
      </c>
      <c r="I910" s="10">
        <v>13.17790333269369</v>
      </c>
      <c r="J910" s="7">
        <v>1.081499027438609E-2</v>
      </c>
      <c r="K910" s="5">
        <v>0.1710579165323185</v>
      </c>
      <c r="L910">
        <v>160.92142084164101</v>
      </c>
      <c r="M910" s="10">
        <v>-0.72742575211325078</v>
      </c>
      <c r="N910" s="24" t="s">
        <v>343</v>
      </c>
      <c r="O910" s="24">
        <v>7.3544548732049506</v>
      </c>
      <c r="P910">
        <v>48.675247954568292</v>
      </c>
      <c r="Q910" t="s">
        <v>346</v>
      </c>
      <c r="R910" t="s">
        <v>347</v>
      </c>
      <c r="S910" t="s">
        <v>343</v>
      </c>
      <c r="T910" t="s">
        <v>343</v>
      </c>
    </row>
    <row r="911" spans="2:20" x14ac:dyDescent="0.25">
      <c r="B911">
        <v>906</v>
      </c>
      <c r="C911" t="s">
        <v>1250</v>
      </c>
      <c r="D911" s="10">
        <v>0.19890755055991269</v>
      </c>
      <c r="E911" s="10">
        <v>1.289832806607812</v>
      </c>
      <c r="F911" s="10">
        <v>0.60847071927540641</v>
      </c>
      <c r="G911" s="10">
        <v>0.30795747250498889</v>
      </c>
      <c r="H911" s="6">
        <v>0.26367380773919241</v>
      </c>
      <c r="I911" s="10">
        <v>8.8440418849096218</v>
      </c>
      <c r="J911" s="7">
        <v>3.8907434147700967E-2</v>
      </c>
      <c r="K911" s="5">
        <v>0.15102959431031279</v>
      </c>
      <c r="L911">
        <v>311.18545979032967</v>
      </c>
      <c r="M911" s="10">
        <v>-0.47290334492440361</v>
      </c>
      <c r="N911" s="24" t="s">
        <v>343</v>
      </c>
      <c r="O911" s="24">
        <v>22.625799304535779</v>
      </c>
      <c r="P911">
        <v>52.832443556737722</v>
      </c>
      <c r="Q911" t="s">
        <v>47</v>
      </c>
      <c r="R911" t="s">
        <v>350</v>
      </c>
      <c r="S911" t="s">
        <v>343</v>
      </c>
      <c r="T911" t="s">
        <v>343</v>
      </c>
    </row>
    <row r="912" spans="2:20" x14ac:dyDescent="0.25">
      <c r="B912">
        <v>907</v>
      </c>
      <c r="C912" t="s">
        <v>1251</v>
      </c>
      <c r="D912" s="10">
        <v>0.2755627090969055</v>
      </c>
      <c r="E912" s="10">
        <v>0.30431866268819191</v>
      </c>
      <c r="F912" s="10">
        <v>0.65066459555024436</v>
      </c>
      <c r="G912" s="10">
        <v>0.32919641017573958</v>
      </c>
      <c r="H912" s="6">
        <v>0.14849785517790681</v>
      </c>
      <c r="I912" s="10">
        <v>8.4520913652840228</v>
      </c>
      <c r="J912" s="7">
        <v>1.569427402002745E-2</v>
      </c>
      <c r="K912" s="5">
        <v>0.14282690969182671</v>
      </c>
      <c r="L912">
        <v>127.5241209925333</v>
      </c>
      <c r="M912" s="10">
        <v>-0.78399524945056964</v>
      </c>
      <c r="N912" s="24" t="s">
        <v>343</v>
      </c>
      <c r="O912" s="24">
        <v>3.9602850329658281</v>
      </c>
      <c r="P912">
        <v>55.487890234456053</v>
      </c>
      <c r="Q912" t="s">
        <v>47</v>
      </c>
      <c r="R912" t="s">
        <v>350</v>
      </c>
      <c r="S912" t="s">
        <v>343</v>
      </c>
      <c r="T912" t="s">
        <v>343</v>
      </c>
    </row>
    <row r="913" spans="2:20" x14ac:dyDescent="0.25">
      <c r="B913">
        <v>908</v>
      </c>
      <c r="C913" t="s">
        <v>1252</v>
      </c>
      <c r="D913" s="10">
        <v>0.29691143489700572</v>
      </c>
      <c r="E913" s="10">
        <v>0.70065066926083208</v>
      </c>
      <c r="F913" s="10">
        <v>0.47628419718652681</v>
      </c>
      <c r="G913" s="10">
        <v>0.45310478985404662</v>
      </c>
      <c r="H913" s="6">
        <v>0.16406603925627999</v>
      </c>
      <c r="I913" s="10">
        <v>5.3431212098693761</v>
      </c>
      <c r="J913" s="7">
        <v>1.7492621841684011E-2</v>
      </c>
      <c r="K913" s="5">
        <v>0.1888942069211906</v>
      </c>
      <c r="L913">
        <v>124.81681358737249</v>
      </c>
      <c r="M913" s="10">
        <v>-0.78858098002578092</v>
      </c>
      <c r="N913" s="24" t="s">
        <v>343</v>
      </c>
      <c r="O913" s="24">
        <v>3.6851411984531519</v>
      </c>
      <c r="P913">
        <v>55.439520423193763</v>
      </c>
      <c r="Q913" t="s">
        <v>47</v>
      </c>
      <c r="R913" t="s">
        <v>350</v>
      </c>
      <c r="S913" t="s">
        <v>343</v>
      </c>
      <c r="T913" t="s">
        <v>343</v>
      </c>
    </row>
    <row r="914" spans="2:20" x14ac:dyDescent="0.25">
      <c r="B914">
        <v>909</v>
      </c>
      <c r="C914" t="s">
        <v>1253</v>
      </c>
      <c r="D914" s="10">
        <v>0.29283517833071859</v>
      </c>
      <c r="E914" s="10">
        <v>0.4854674869184657</v>
      </c>
      <c r="F914" s="10">
        <v>0.64370483861229078</v>
      </c>
      <c r="G914" s="10">
        <v>0.28437346235340621</v>
      </c>
      <c r="H914" s="6">
        <v>0.14873503864289861</v>
      </c>
      <c r="I914" s="10">
        <v>7.9629969806998169</v>
      </c>
      <c r="J914" s="7">
        <v>2.191630505276837E-2</v>
      </c>
      <c r="K914" s="5">
        <v>0.16669879575736779</v>
      </c>
      <c r="L914">
        <v>123.6401320136529</v>
      </c>
      <c r="M914" s="10">
        <v>-0.79057408382315797</v>
      </c>
      <c r="N914" s="24" t="s">
        <v>343</v>
      </c>
      <c r="O914" s="24">
        <v>3.5655549706105281</v>
      </c>
      <c r="P914">
        <v>23.87202845956956</v>
      </c>
      <c r="Q914" t="s">
        <v>348</v>
      </c>
      <c r="R914" t="s">
        <v>353</v>
      </c>
      <c r="S914" t="s">
        <v>343</v>
      </c>
      <c r="T914" t="s">
        <v>343</v>
      </c>
    </row>
    <row r="915" spans="2:20" x14ac:dyDescent="0.25">
      <c r="B915">
        <v>910</v>
      </c>
      <c r="C915" t="s">
        <v>1254</v>
      </c>
      <c r="D915" s="10">
        <v>0.22354936473895279</v>
      </c>
      <c r="E915" s="10">
        <v>1.133075958739806</v>
      </c>
      <c r="F915" s="10">
        <v>0.69981189674602162</v>
      </c>
      <c r="G915" s="10">
        <v>0.367512943322577</v>
      </c>
      <c r="H915" s="6">
        <v>0.1230743244537203</v>
      </c>
      <c r="I915" s="10">
        <v>13.160086544014501</v>
      </c>
      <c r="J915" s="7">
        <v>3.7592499090130439E-2</v>
      </c>
      <c r="K915" s="5">
        <v>0.16476084198667601</v>
      </c>
      <c r="L915">
        <v>276.63706227625681</v>
      </c>
      <c r="M915" s="10">
        <v>-0.53142261115284384</v>
      </c>
      <c r="N915" s="24" t="s">
        <v>343</v>
      </c>
      <c r="O915" s="24">
        <v>19.11464333082937</v>
      </c>
      <c r="P915">
        <v>51.917232999166458</v>
      </c>
      <c r="Q915" t="s">
        <v>47</v>
      </c>
      <c r="R915" t="s">
        <v>350</v>
      </c>
      <c r="S915" t="s">
        <v>343</v>
      </c>
      <c r="T915" t="s">
        <v>343</v>
      </c>
    </row>
    <row r="916" spans="2:20" x14ac:dyDescent="0.25">
      <c r="B916">
        <v>911</v>
      </c>
      <c r="C916" t="s">
        <v>1255</v>
      </c>
      <c r="D916" s="10">
        <v>0.26689362185130339</v>
      </c>
      <c r="E916" s="10">
        <v>0.35567192483289078</v>
      </c>
      <c r="F916" s="10">
        <v>0.66127103663233455</v>
      </c>
      <c r="G916" s="10">
        <v>0.25831296453331037</v>
      </c>
      <c r="H916" s="6">
        <v>0.16047448875625059</v>
      </c>
      <c r="I916" s="10">
        <v>7.321894899007086</v>
      </c>
      <c r="J916" s="7">
        <v>3.1860670270997003E-2</v>
      </c>
      <c r="K916" s="5">
        <v>0.101116816649122</v>
      </c>
      <c r="L916">
        <v>107.24070103185311</v>
      </c>
      <c r="M916" s="10">
        <v>-0.81835200513565765</v>
      </c>
      <c r="N916" s="24" t="s">
        <v>343</v>
      </c>
      <c r="O916" s="24">
        <v>1.898879691860536</v>
      </c>
      <c r="P916">
        <v>22.596223354221369</v>
      </c>
      <c r="Q916" t="s">
        <v>348</v>
      </c>
      <c r="R916" t="s">
        <v>351</v>
      </c>
      <c r="S916" t="s">
        <v>343</v>
      </c>
      <c r="T916" t="s">
        <v>343</v>
      </c>
    </row>
    <row r="917" spans="2:20" x14ac:dyDescent="0.25">
      <c r="B917">
        <v>912</v>
      </c>
      <c r="C917" t="s">
        <v>1256</v>
      </c>
      <c r="D917" s="10">
        <v>0.19279748726653129</v>
      </c>
      <c r="E917" s="10">
        <v>0.90883344894276052</v>
      </c>
      <c r="F917" s="10">
        <v>0.63547113984519321</v>
      </c>
      <c r="G917" s="10">
        <v>0.28793647412161788</v>
      </c>
      <c r="H917" s="6">
        <v>0.1269701168943359</v>
      </c>
      <c r="I917" s="10">
        <v>5.3175073658105863</v>
      </c>
      <c r="J917" s="7">
        <v>1.9270139754644609E-2</v>
      </c>
      <c r="K917" s="5">
        <v>0.1821817916810794</v>
      </c>
      <c r="L917">
        <v>94.532587032462786</v>
      </c>
      <c r="M917" s="10">
        <v>-0.83987744654256402</v>
      </c>
      <c r="N917" s="24" t="s">
        <v>343</v>
      </c>
      <c r="O917" s="24">
        <v>0.60735320744615251</v>
      </c>
      <c r="P917">
        <v>69.034027192349015</v>
      </c>
      <c r="Q917" t="s">
        <v>47</v>
      </c>
      <c r="R917" t="s">
        <v>350</v>
      </c>
      <c r="S917" t="s">
        <v>343</v>
      </c>
      <c r="T917" t="s">
        <v>343</v>
      </c>
    </row>
    <row r="918" spans="2:20" x14ac:dyDescent="0.25">
      <c r="B918">
        <v>913</v>
      </c>
      <c r="C918" t="s">
        <v>1257</v>
      </c>
      <c r="D918" s="10">
        <v>0.20690363684176211</v>
      </c>
      <c r="E918" s="10">
        <v>0.62441874722984392</v>
      </c>
      <c r="F918" s="10">
        <v>0.61216299222062398</v>
      </c>
      <c r="G918" s="10">
        <v>0.40792960537639461</v>
      </c>
      <c r="H918" s="6">
        <v>0.14320276896099501</v>
      </c>
      <c r="I918" s="10">
        <v>6.7102453212565738</v>
      </c>
      <c r="J918" s="7">
        <v>1.589712684138864E-2</v>
      </c>
      <c r="K918" s="5">
        <v>0.17536354535397961</v>
      </c>
      <c r="L918">
        <v>134.0016102358862</v>
      </c>
      <c r="M918" s="10">
        <v>-0.7730234549594005</v>
      </c>
      <c r="N918" s="24" t="s">
        <v>343</v>
      </c>
      <c r="O918" s="24">
        <v>4.6185927024359756</v>
      </c>
      <c r="P918">
        <v>69.116735281494925</v>
      </c>
      <c r="Q918" t="s">
        <v>47</v>
      </c>
      <c r="R918" t="s">
        <v>350</v>
      </c>
      <c r="S918" t="s">
        <v>343</v>
      </c>
      <c r="T918" t="s">
        <v>343</v>
      </c>
    </row>
    <row r="919" spans="2:20" x14ac:dyDescent="0.25">
      <c r="B919">
        <v>914</v>
      </c>
      <c r="C919" t="s">
        <v>1258</v>
      </c>
      <c r="D919" s="10">
        <v>0.3034137309633792</v>
      </c>
      <c r="E919" s="10">
        <v>0.4470372737511723</v>
      </c>
      <c r="F919" s="10">
        <v>0.54966318601821162</v>
      </c>
      <c r="G919" s="10">
        <v>0.30657178887931602</v>
      </c>
      <c r="H919" s="6">
        <v>0.17440231051014221</v>
      </c>
      <c r="I919" s="10">
        <v>8.6605407389869082</v>
      </c>
      <c r="J919" s="7">
        <v>1.383418829506528E-2</v>
      </c>
      <c r="K919" s="5">
        <v>0.12839947840339211</v>
      </c>
      <c r="L919">
        <v>120.4333518773182</v>
      </c>
      <c r="M919" s="10">
        <v>-0.79600583852199192</v>
      </c>
      <c r="N919" s="24" t="s">
        <v>343</v>
      </c>
      <c r="O919" s="24">
        <v>3.2396496886804802</v>
      </c>
      <c r="P919">
        <v>56.877043115282731</v>
      </c>
      <c r="Q919" t="s">
        <v>47</v>
      </c>
      <c r="R919" t="s">
        <v>350</v>
      </c>
      <c r="S919" t="s">
        <v>343</v>
      </c>
      <c r="T919" t="s">
        <v>343</v>
      </c>
    </row>
    <row r="920" spans="2:20" x14ac:dyDescent="0.25">
      <c r="B920">
        <v>915</v>
      </c>
      <c r="C920" t="s">
        <v>1259</v>
      </c>
      <c r="D920" s="10">
        <v>0.16208030776171781</v>
      </c>
      <c r="E920" s="10">
        <v>1.1490000333129049</v>
      </c>
      <c r="F920" s="10">
        <v>0.62993004365181648</v>
      </c>
      <c r="G920" s="10">
        <v>0.45686853552380158</v>
      </c>
      <c r="H920" s="6">
        <v>0.1231081825603437</v>
      </c>
      <c r="I920" s="10">
        <v>9.5844353365952806</v>
      </c>
      <c r="J920" s="7">
        <v>1.524358005394162E-2</v>
      </c>
      <c r="K920" s="5">
        <v>0.1277507741881278</v>
      </c>
      <c r="L920">
        <v>304.16838256020378</v>
      </c>
      <c r="M920" s="10">
        <v>-0.48478911214147918</v>
      </c>
      <c r="N920" s="24" t="s">
        <v>343</v>
      </c>
      <c r="O920" s="24">
        <v>21.91265327151125</v>
      </c>
      <c r="P920">
        <v>56.964116412530949</v>
      </c>
      <c r="Q920" t="s">
        <v>47</v>
      </c>
      <c r="R920" t="s">
        <v>350</v>
      </c>
      <c r="S920" t="s">
        <v>343</v>
      </c>
      <c r="T920" t="s">
        <v>343</v>
      </c>
    </row>
    <row r="921" spans="2:20" x14ac:dyDescent="0.25">
      <c r="B921">
        <v>916</v>
      </c>
      <c r="C921" t="s">
        <v>1260</v>
      </c>
      <c r="D921" s="10">
        <v>0.1736813649367149</v>
      </c>
      <c r="E921" s="10">
        <v>0.53915851768078238</v>
      </c>
      <c r="F921" s="10">
        <v>0.62828628913651774</v>
      </c>
      <c r="G921" s="10">
        <v>0.35017974948064479</v>
      </c>
      <c r="H921" s="6">
        <v>0.2329434848896075</v>
      </c>
      <c r="I921" s="10">
        <v>7.7567286760418606</v>
      </c>
      <c r="J921" s="7">
        <v>4.0385080357726102E-2</v>
      </c>
      <c r="K921" s="5">
        <v>0.10508045370493049</v>
      </c>
      <c r="L921">
        <v>103.5296030587447</v>
      </c>
      <c r="M921" s="10">
        <v>-0.82463799076493882</v>
      </c>
      <c r="N921" s="24" t="s">
        <v>343</v>
      </c>
      <c r="O921" s="24">
        <v>1.521720554103666</v>
      </c>
      <c r="P921">
        <v>49.734695531200089</v>
      </c>
      <c r="Q921" t="s">
        <v>346</v>
      </c>
      <c r="R921" t="s">
        <v>347</v>
      </c>
      <c r="S921" t="s">
        <v>343</v>
      </c>
      <c r="T921" t="s">
        <v>343</v>
      </c>
    </row>
    <row r="922" spans="2:20" x14ac:dyDescent="0.25">
      <c r="B922">
        <v>917</v>
      </c>
      <c r="C922" t="s">
        <v>1261</v>
      </c>
      <c r="D922" s="10">
        <v>0.19326180082336439</v>
      </c>
      <c r="E922" s="10">
        <v>0.54604273326043273</v>
      </c>
      <c r="F922" s="10">
        <v>0.60418955349869496</v>
      </c>
      <c r="G922" s="10">
        <v>0.35363865156770341</v>
      </c>
      <c r="H922" s="6">
        <v>0.239338352065432</v>
      </c>
      <c r="I922" s="10">
        <v>11.34389797494333</v>
      </c>
      <c r="J922" s="7">
        <v>4.2293918060227337E-2</v>
      </c>
      <c r="K922" s="5">
        <v>0.10483136025422431</v>
      </c>
      <c r="L922">
        <v>307.86322785219909</v>
      </c>
      <c r="M922" s="10">
        <v>-0.47853065586352589</v>
      </c>
      <c r="N922" s="24" t="s">
        <v>343</v>
      </c>
      <c r="O922" s="24">
        <v>22.288160648188441</v>
      </c>
      <c r="P922">
        <v>54.366564057324027</v>
      </c>
      <c r="Q922" t="s">
        <v>47</v>
      </c>
      <c r="R922" t="s">
        <v>350</v>
      </c>
      <c r="S922" t="s">
        <v>343</v>
      </c>
      <c r="T922" t="s">
        <v>343</v>
      </c>
    </row>
    <row r="923" spans="2:20" x14ac:dyDescent="0.25">
      <c r="B923">
        <v>918</v>
      </c>
      <c r="C923" t="s">
        <v>1262</v>
      </c>
      <c r="D923" s="10">
        <v>0.16424515261981121</v>
      </c>
      <c r="E923" s="10">
        <v>0.60258446365171525</v>
      </c>
      <c r="F923" s="10">
        <v>0.64703237835743532</v>
      </c>
      <c r="G923" s="10">
        <v>0.24798924265386171</v>
      </c>
      <c r="H923" s="6">
        <v>0.18171207036275441</v>
      </c>
      <c r="I923" s="10">
        <v>9.428987203173774</v>
      </c>
      <c r="J923" s="7">
        <v>4.3878523266194999E-2</v>
      </c>
      <c r="K923" s="5">
        <v>0.16351647877885969</v>
      </c>
      <c r="L923">
        <v>109.1979812542877</v>
      </c>
      <c r="M923" s="10">
        <v>-0.81503669644807952</v>
      </c>
      <c r="N923" s="24" t="s">
        <v>343</v>
      </c>
      <c r="O923" s="24">
        <v>2.097798213115226</v>
      </c>
      <c r="P923">
        <v>53.654740240796087</v>
      </c>
      <c r="Q923" t="s">
        <v>47</v>
      </c>
      <c r="R923" t="s">
        <v>350</v>
      </c>
      <c r="S923" t="s">
        <v>343</v>
      </c>
      <c r="T923" t="s">
        <v>343</v>
      </c>
    </row>
    <row r="924" spans="2:20" x14ac:dyDescent="0.25">
      <c r="B924">
        <v>919</v>
      </c>
      <c r="C924" t="s">
        <v>1263</v>
      </c>
      <c r="D924" s="10">
        <v>0.1890296696143676</v>
      </c>
      <c r="E924" s="10">
        <v>0.94544344021083004</v>
      </c>
      <c r="F924" s="10">
        <v>0.55667861099097704</v>
      </c>
      <c r="G924" s="10">
        <v>0.45043588490699848</v>
      </c>
      <c r="H924" s="6">
        <v>0.26769989690614038</v>
      </c>
      <c r="I924" s="10">
        <v>10.31552947412856</v>
      </c>
      <c r="J924" s="7">
        <v>3.9215615956737629E-2</v>
      </c>
      <c r="K924" s="5">
        <v>0.11769257322623911</v>
      </c>
      <c r="L924">
        <v>342.41934302649378</v>
      </c>
      <c r="M924" s="10">
        <v>-0.41999831719625558</v>
      </c>
      <c r="N924" s="24" t="s">
        <v>343</v>
      </c>
      <c r="O924" s="24">
        <v>25.800100968224669</v>
      </c>
      <c r="P924">
        <v>51.731974418029907</v>
      </c>
      <c r="Q924" t="s">
        <v>47</v>
      </c>
      <c r="R924" t="s">
        <v>350</v>
      </c>
      <c r="S924" t="s">
        <v>343</v>
      </c>
      <c r="T924" t="s">
        <v>343</v>
      </c>
    </row>
    <row r="925" spans="2:20" x14ac:dyDescent="0.25">
      <c r="B925">
        <v>920</v>
      </c>
      <c r="C925" t="s">
        <v>1264</v>
      </c>
      <c r="D925" s="10">
        <v>0.25328664975515081</v>
      </c>
      <c r="E925" s="10">
        <v>1.025632524859823</v>
      </c>
      <c r="F925" s="10">
        <v>0.47152570515442149</v>
      </c>
      <c r="G925" s="10">
        <v>0.27833135699457201</v>
      </c>
      <c r="H925" s="6">
        <v>0.2218490872211549</v>
      </c>
      <c r="I925" s="10">
        <v>12.49210817072353</v>
      </c>
      <c r="J925" s="7">
        <v>4.1058661375817242E-2</v>
      </c>
      <c r="K925" s="5">
        <v>0.18773704573466229</v>
      </c>
      <c r="L925">
        <v>163.3673257535967</v>
      </c>
      <c r="M925" s="10">
        <v>-0.72328279408881913</v>
      </c>
      <c r="N925" s="24" t="s">
        <v>343</v>
      </c>
      <c r="O925" s="24">
        <v>7.6030323546708516</v>
      </c>
      <c r="P925">
        <v>16.68573635154134</v>
      </c>
      <c r="Q925" t="s">
        <v>348</v>
      </c>
      <c r="R925" t="s">
        <v>404</v>
      </c>
      <c r="S925" t="s">
        <v>343</v>
      </c>
      <c r="T925" t="s">
        <v>343</v>
      </c>
    </row>
    <row r="926" spans="2:20" x14ac:dyDescent="0.25">
      <c r="B926">
        <v>921</v>
      </c>
      <c r="C926" t="s">
        <v>1265</v>
      </c>
      <c r="D926" s="10">
        <v>0.2274279280947997</v>
      </c>
      <c r="E926" s="10">
        <v>0.31936277607147939</v>
      </c>
      <c r="F926" s="10">
        <v>0.58535760917840174</v>
      </c>
      <c r="G926" s="10">
        <v>0.35843493173829738</v>
      </c>
      <c r="H926" s="6">
        <v>0.23155826219711231</v>
      </c>
      <c r="I926" s="10">
        <v>12.522574272999179</v>
      </c>
      <c r="J926" s="7">
        <v>3.8563622516219892E-2</v>
      </c>
      <c r="K926" s="5">
        <v>0.18002842066237049</v>
      </c>
      <c r="L926">
        <v>123.2034364148231</v>
      </c>
      <c r="M926" s="10">
        <v>-0.79131377387675028</v>
      </c>
      <c r="N926" s="24" t="s">
        <v>343</v>
      </c>
      <c r="O926" s="24">
        <v>3.5211735673949889</v>
      </c>
      <c r="P926">
        <v>23.352892459243069</v>
      </c>
      <c r="Q926" t="s">
        <v>348</v>
      </c>
      <c r="R926" t="s">
        <v>353</v>
      </c>
      <c r="S926" t="s">
        <v>343</v>
      </c>
      <c r="T926" t="s">
        <v>343</v>
      </c>
    </row>
    <row r="927" spans="2:20" x14ac:dyDescent="0.25">
      <c r="B927">
        <v>922</v>
      </c>
      <c r="C927" t="s">
        <v>1266</v>
      </c>
      <c r="D927" s="10">
        <v>0.302827473772316</v>
      </c>
      <c r="E927" s="10">
        <v>0.56605659972516931</v>
      </c>
      <c r="F927" s="10">
        <v>0.50891131746494911</v>
      </c>
      <c r="G927" s="10">
        <v>0.32704841419092101</v>
      </c>
      <c r="H927" s="6">
        <v>0.14884506354992</v>
      </c>
      <c r="I927" s="10">
        <v>5.2385914353230776</v>
      </c>
      <c r="J927" s="7">
        <v>4.353195191661105E-2</v>
      </c>
      <c r="K927" s="5">
        <v>0.13314409020305751</v>
      </c>
      <c r="L927">
        <v>187.60470415367999</v>
      </c>
      <c r="M927" s="10">
        <v>-0.68222868734779973</v>
      </c>
      <c r="N927" s="24" t="s">
        <v>343</v>
      </c>
      <c r="O927" s="24">
        <v>10.06627875913202</v>
      </c>
      <c r="P927">
        <v>18.160128954485959</v>
      </c>
      <c r="Q927" t="s">
        <v>348</v>
      </c>
      <c r="R927" t="s">
        <v>353</v>
      </c>
      <c r="S927" t="s">
        <v>343</v>
      </c>
      <c r="T927" t="s">
        <v>343</v>
      </c>
    </row>
    <row r="928" spans="2:20" x14ac:dyDescent="0.25">
      <c r="B928">
        <v>923</v>
      </c>
      <c r="C928" t="s">
        <v>1267</v>
      </c>
      <c r="D928" s="10">
        <v>0.29079096987815062</v>
      </c>
      <c r="E928" s="10">
        <v>0.77406792675581104</v>
      </c>
      <c r="F928" s="10">
        <v>0.53995260533157907</v>
      </c>
      <c r="G928" s="10">
        <v>0.3314286341638133</v>
      </c>
      <c r="H928" s="6">
        <v>0.24561564342325701</v>
      </c>
      <c r="I928" s="10">
        <v>9.8567921931591478</v>
      </c>
      <c r="J928" s="7">
        <v>3.9597782954052578E-2</v>
      </c>
      <c r="K928" s="5">
        <v>0.13610651242218141</v>
      </c>
      <c r="L928">
        <v>137.4433765673808</v>
      </c>
      <c r="M928" s="10">
        <v>-0.76719367254570758</v>
      </c>
      <c r="N928" s="24" t="s">
        <v>343</v>
      </c>
      <c r="O928" s="24">
        <v>4.9683796472575423</v>
      </c>
      <c r="P928">
        <v>53.137596001763512</v>
      </c>
      <c r="Q928" t="s">
        <v>47</v>
      </c>
      <c r="R928" t="s">
        <v>350</v>
      </c>
      <c r="S928" t="s">
        <v>343</v>
      </c>
      <c r="T928" t="s">
        <v>343</v>
      </c>
    </row>
    <row r="929" spans="2:20" x14ac:dyDescent="0.25">
      <c r="B929">
        <v>924</v>
      </c>
      <c r="C929" t="s">
        <v>1268</v>
      </c>
      <c r="D929" s="10">
        <v>0.21469077627166019</v>
      </c>
      <c r="E929" s="10">
        <v>0.66517464737735632</v>
      </c>
      <c r="F929" s="10">
        <v>0.44452787502471869</v>
      </c>
      <c r="G929" s="10">
        <v>0.38152603652794392</v>
      </c>
      <c r="H929" s="6">
        <v>0.26175695970322588</v>
      </c>
      <c r="I929" s="10">
        <v>10.883049471458261</v>
      </c>
      <c r="J929" s="7">
        <v>2.617009385662776E-2</v>
      </c>
      <c r="K929" s="5">
        <v>0.13109127328120421</v>
      </c>
      <c r="L929">
        <v>127.1658307056222</v>
      </c>
      <c r="M929" s="10">
        <v>-0.78460213388502931</v>
      </c>
      <c r="N929" s="24" t="s">
        <v>343</v>
      </c>
      <c r="O929" s="24">
        <v>3.9238719668982398</v>
      </c>
      <c r="P929">
        <v>20.191225986029909</v>
      </c>
      <c r="Q929" t="s">
        <v>348</v>
      </c>
      <c r="R929" t="s">
        <v>371</v>
      </c>
      <c r="S929" t="s">
        <v>343</v>
      </c>
      <c r="T929" t="s">
        <v>343</v>
      </c>
    </row>
    <row r="930" spans="2:20" x14ac:dyDescent="0.25">
      <c r="B930">
        <v>925</v>
      </c>
      <c r="C930" t="s">
        <v>1269</v>
      </c>
      <c r="D930" s="10">
        <v>0.20150774934900681</v>
      </c>
      <c r="E930" s="10">
        <v>1.272587724361975</v>
      </c>
      <c r="F930" s="10">
        <v>0.53952555285864967</v>
      </c>
      <c r="G930" s="10">
        <v>0.38565950896034512</v>
      </c>
      <c r="H930" s="6">
        <v>0.15544652498606881</v>
      </c>
      <c r="I930" s="10">
        <v>4.6043824858693618</v>
      </c>
      <c r="J930" s="7">
        <v>2.1313901002528338E-2</v>
      </c>
      <c r="K930" s="5">
        <v>0.1087775167532171</v>
      </c>
      <c r="L930">
        <v>197.28109275985381</v>
      </c>
      <c r="M930" s="10">
        <v>-0.66583848688354152</v>
      </c>
      <c r="N930" s="24" t="s">
        <v>343</v>
      </c>
      <c r="O930" s="24">
        <v>11.04969078698751</v>
      </c>
      <c r="P930">
        <v>56.44064560469387</v>
      </c>
      <c r="Q930" t="s">
        <v>47</v>
      </c>
      <c r="R930" t="s">
        <v>350</v>
      </c>
      <c r="S930" t="s">
        <v>343</v>
      </c>
      <c r="T930" t="s">
        <v>343</v>
      </c>
    </row>
    <row r="931" spans="2:20" x14ac:dyDescent="0.25">
      <c r="B931">
        <v>926</v>
      </c>
      <c r="C931" t="s">
        <v>1270</v>
      </c>
      <c r="D931" s="10">
        <v>0.2207507853067627</v>
      </c>
      <c r="E931" s="10">
        <v>1.16647960397506</v>
      </c>
      <c r="F931" s="10">
        <v>0.65028828759521817</v>
      </c>
      <c r="G931" s="10">
        <v>0.27394349526878131</v>
      </c>
      <c r="H931" s="6">
        <v>0.222969644157957</v>
      </c>
      <c r="I931" s="10">
        <v>12.270468207648101</v>
      </c>
      <c r="J931" s="7">
        <v>3.0447416109804819E-2</v>
      </c>
      <c r="K931" s="5">
        <v>0.1029858649767707</v>
      </c>
      <c r="L931">
        <v>247.16388391499149</v>
      </c>
      <c r="M931" s="10">
        <v>-0.58134529629094978</v>
      </c>
      <c r="N931" s="24" t="s">
        <v>343</v>
      </c>
      <c r="O931" s="24">
        <v>16.11928222254301</v>
      </c>
      <c r="P931">
        <v>48.012765908496164</v>
      </c>
      <c r="Q931" t="s">
        <v>346</v>
      </c>
      <c r="R931" t="s">
        <v>347</v>
      </c>
      <c r="S931" t="s">
        <v>343</v>
      </c>
      <c r="T931" t="s">
        <v>343</v>
      </c>
    </row>
    <row r="932" spans="2:20" x14ac:dyDescent="0.25">
      <c r="B932">
        <v>927</v>
      </c>
      <c r="C932" t="s">
        <v>1271</v>
      </c>
      <c r="D932" s="10">
        <v>0.25444719080236922</v>
      </c>
      <c r="E932" s="10">
        <v>0.98847923709271024</v>
      </c>
      <c r="F932" s="10">
        <v>0.58110781540394618</v>
      </c>
      <c r="G932" s="10">
        <v>0.34990906368681629</v>
      </c>
      <c r="H932" s="6">
        <v>0.2320411572994997</v>
      </c>
      <c r="I932" s="10">
        <v>4.985168482124644</v>
      </c>
      <c r="J932" s="7">
        <v>3.1286416473267957E-2</v>
      </c>
      <c r="K932" s="5">
        <v>0.14295265004229021</v>
      </c>
      <c r="L932">
        <v>236.5178883205588</v>
      </c>
      <c r="M932" s="10">
        <v>-0.59937785048405345</v>
      </c>
      <c r="N932" s="24" t="s">
        <v>343</v>
      </c>
      <c r="O932" s="24">
        <v>15.037328970956789</v>
      </c>
      <c r="P932">
        <v>21.924278856859349</v>
      </c>
      <c r="Q932" t="s">
        <v>348</v>
      </c>
      <c r="R932" t="s">
        <v>375</v>
      </c>
      <c r="S932" t="s">
        <v>343</v>
      </c>
      <c r="T932" t="s">
        <v>343</v>
      </c>
    </row>
    <row r="933" spans="2:20" x14ac:dyDescent="0.25">
      <c r="B933">
        <v>928</v>
      </c>
      <c r="C933" t="s">
        <v>1272</v>
      </c>
      <c r="D933" s="10">
        <v>0.20289018253166019</v>
      </c>
      <c r="E933" s="10">
        <v>0.67184665759674367</v>
      </c>
      <c r="F933" s="10">
        <v>0.44254813700283252</v>
      </c>
      <c r="G933" s="10">
        <v>0.41390503881120849</v>
      </c>
      <c r="H933" s="6">
        <v>0.16577537577143239</v>
      </c>
      <c r="I933" s="10">
        <v>11.79207365602343</v>
      </c>
      <c r="J933" s="7">
        <v>3.0122008861958979E-2</v>
      </c>
      <c r="K933" s="5">
        <v>0.18958881087669199</v>
      </c>
      <c r="L933">
        <v>146.70915367250629</v>
      </c>
      <c r="M933" s="10">
        <v>-0.75149897999137549</v>
      </c>
      <c r="N933" s="24" t="s">
        <v>343</v>
      </c>
      <c r="O933" s="24">
        <v>5.9100612005174753</v>
      </c>
      <c r="P933">
        <v>19.903330955210951</v>
      </c>
      <c r="Q933" t="s">
        <v>348</v>
      </c>
      <c r="R933" t="s">
        <v>355</v>
      </c>
      <c r="S933" t="s">
        <v>343</v>
      </c>
      <c r="T933" t="s">
        <v>343</v>
      </c>
    </row>
    <row r="934" spans="2:20" x14ac:dyDescent="0.25">
      <c r="B934">
        <v>929</v>
      </c>
      <c r="C934" t="s">
        <v>1273</v>
      </c>
      <c r="D934" s="10">
        <v>0.25986382525586138</v>
      </c>
      <c r="E934" s="10">
        <v>1.0707395793307759</v>
      </c>
      <c r="F934" s="10">
        <v>0.56215939326236031</v>
      </c>
      <c r="G934" s="10">
        <v>0.33752302638149051</v>
      </c>
      <c r="H934" s="6">
        <v>0.19125135038584451</v>
      </c>
      <c r="I934" s="10">
        <v>4.7761233228579432</v>
      </c>
      <c r="J934" s="7">
        <v>3.4735421995233808E-2</v>
      </c>
      <c r="K934" s="5">
        <v>0.1871386854778179</v>
      </c>
      <c r="L934">
        <v>95.584627099163782</v>
      </c>
      <c r="M934" s="10">
        <v>-0.83809546482485398</v>
      </c>
      <c r="N934" s="24" t="s">
        <v>343</v>
      </c>
      <c r="O934" s="24">
        <v>0.71427211050875883</v>
      </c>
      <c r="P934">
        <v>63.223442687557963</v>
      </c>
      <c r="Q934" t="s">
        <v>47</v>
      </c>
      <c r="R934" t="s">
        <v>350</v>
      </c>
      <c r="S934" t="s">
        <v>343</v>
      </c>
      <c r="T934" t="s">
        <v>343</v>
      </c>
    </row>
    <row r="935" spans="2:20" x14ac:dyDescent="0.25">
      <c r="B935">
        <v>930</v>
      </c>
      <c r="C935" t="s">
        <v>1274</v>
      </c>
      <c r="D935" s="10">
        <v>0.22550586435059849</v>
      </c>
      <c r="E935" s="10">
        <v>1.2280018141303739</v>
      </c>
      <c r="F935" s="10">
        <v>0.51577742838780594</v>
      </c>
      <c r="G935" s="10">
        <v>0.27647698358184758</v>
      </c>
      <c r="H935" s="6">
        <v>0.13463086403710861</v>
      </c>
      <c r="I935" s="10">
        <v>11.15956390492101</v>
      </c>
      <c r="J935" s="7">
        <v>3.4464180261508361E-2</v>
      </c>
      <c r="K935" s="5">
        <v>0.1769346804065296</v>
      </c>
      <c r="L935">
        <v>192.02334489985489</v>
      </c>
      <c r="M935" s="10">
        <v>-0.67474424138795697</v>
      </c>
      <c r="N935" s="24" t="s">
        <v>343</v>
      </c>
      <c r="O935" s="24">
        <v>10.515345516722579</v>
      </c>
      <c r="P935">
        <v>58.360122671128963</v>
      </c>
      <c r="Q935" t="s">
        <v>47</v>
      </c>
      <c r="R935" t="s">
        <v>350</v>
      </c>
      <c r="S935" t="s">
        <v>343</v>
      </c>
      <c r="T935" t="s">
        <v>343</v>
      </c>
    </row>
    <row r="936" spans="2:20" x14ac:dyDescent="0.25">
      <c r="B936">
        <v>931</v>
      </c>
      <c r="C936" t="s">
        <v>1275</v>
      </c>
      <c r="D936" s="10">
        <v>0.24832754893631681</v>
      </c>
      <c r="E936" s="10">
        <v>0.95431341509488532</v>
      </c>
      <c r="F936" s="10">
        <v>0.56416317040326447</v>
      </c>
      <c r="G936" s="10">
        <v>0.30890772749447187</v>
      </c>
      <c r="H936" s="6">
        <v>0.14596422059392619</v>
      </c>
      <c r="I936" s="10">
        <v>4.6296277677533011</v>
      </c>
      <c r="J936" s="7">
        <v>1.305179993737071E-2</v>
      </c>
      <c r="K936" s="5">
        <v>0.15971651810708551</v>
      </c>
      <c r="L936">
        <v>91.158780234520535</v>
      </c>
      <c r="M936" s="10">
        <v>-0.84559211675647727</v>
      </c>
      <c r="N936" s="24" t="s">
        <v>343</v>
      </c>
      <c r="O936" s="24">
        <v>0.26447299461135998</v>
      </c>
      <c r="P936">
        <v>60.734718340121283</v>
      </c>
      <c r="Q936" t="s">
        <v>47</v>
      </c>
      <c r="R936" t="s">
        <v>350</v>
      </c>
      <c r="S936" t="s">
        <v>343</v>
      </c>
      <c r="T936" t="s">
        <v>343</v>
      </c>
    </row>
    <row r="937" spans="2:20" x14ac:dyDescent="0.25">
      <c r="B937">
        <v>932</v>
      </c>
      <c r="C937" t="s">
        <v>1276</v>
      </c>
      <c r="D937" s="10">
        <v>0.2297802446616507</v>
      </c>
      <c r="E937" s="10">
        <v>1.162907613582717</v>
      </c>
      <c r="F937" s="10">
        <v>0.54522010757644801</v>
      </c>
      <c r="G937" s="10">
        <v>0.28672350410311542</v>
      </c>
      <c r="H937" s="6">
        <v>0.12923557854707921</v>
      </c>
      <c r="I937" s="10">
        <v>7.1671224194431558</v>
      </c>
      <c r="J937" s="7">
        <v>1.999328581116E-2</v>
      </c>
      <c r="K937" s="5">
        <v>0.1813411286356876</v>
      </c>
      <c r="L937">
        <v>136.10660808751271</v>
      </c>
      <c r="M937" s="10">
        <v>-0.76945793706122756</v>
      </c>
      <c r="N937" s="24" t="s">
        <v>343</v>
      </c>
      <c r="O937" s="24">
        <v>4.8325237763263402</v>
      </c>
      <c r="P937">
        <v>56.814329847690523</v>
      </c>
      <c r="Q937" t="s">
        <v>47</v>
      </c>
      <c r="R937" t="s">
        <v>350</v>
      </c>
      <c r="S937" t="s">
        <v>343</v>
      </c>
      <c r="T937" t="s">
        <v>343</v>
      </c>
    </row>
    <row r="938" spans="2:20" x14ac:dyDescent="0.25">
      <c r="B938">
        <v>933</v>
      </c>
      <c r="C938" t="s">
        <v>1277</v>
      </c>
      <c r="D938" s="10">
        <v>0.20711452152670681</v>
      </c>
      <c r="E938" s="10">
        <v>1.124015457539723</v>
      </c>
      <c r="F938" s="10">
        <v>0.68231459708491915</v>
      </c>
      <c r="G938" s="10">
        <v>0.26767984294126412</v>
      </c>
      <c r="H938" s="6">
        <v>0.20402482358179411</v>
      </c>
      <c r="I938" s="10">
        <v>4.5786774681927911</v>
      </c>
      <c r="J938" s="7">
        <v>4.1145106559533969E-2</v>
      </c>
      <c r="K938" s="5">
        <v>0.1489315091844986</v>
      </c>
      <c r="L938">
        <v>164.55972038399889</v>
      </c>
      <c r="M938" s="10">
        <v>-0.72126307497456954</v>
      </c>
      <c r="N938" s="24" t="s">
        <v>343</v>
      </c>
      <c r="O938" s="24">
        <v>7.7242155015258334</v>
      </c>
      <c r="P938">
        <v>21.054121309964341</v>
      </c>
      <c r="Q938" t="s">
        <v>348</v>
      </c>
      <c r="R938" t="s">
        <v>353</v>
      </c>
      <c r="S938" t="s">
        <v>343</v>
      </c>
      <c r="T938" t="s">
        <v>343</v>
      </c>
    </row>
    <row r="939" spans="2:20" x14ac:dyDescent="0.25">
      <c r="B939">
        <v>934</v>
      </c>
      <c r="C939" t="s">
        <v>1278</v>
      </c>
      <c r="D939" s="10">
        <v>0.31175252911394508</v>
      </c>
      <c r="E939" s="10">
        <v>0.92891104227635446</v>
      </c>
      <c r="F939" s="10">
        <v>0.45070609773038411</v>
      </c>
      <c r="G939" s="10">
        <v>0.32306784803577782</v>
      </c>
      <c r="H939" s="6">
        <v>0.21378943459159039</v>
      </c>
      <c r="I939" s="10">
        <v>5.9778660595929267</v>
      </c>
      <c r="J939" s="7">
        <v>3.0651226891294361E-2</v>
      </c>
      <c r="K939" s="5">
        <v>0.11711521263695999</v>
      </c>
      <c r="L939">
        <v>295.30413906737232</v>
      </c>
      <c r="M939" s="10">
        <v>-0.4998036732266764</v>
      </c>
      <c r="N939" s="24" t="s">
        <v>343</v>
      </c>
      <c r="O939" s="24">
        <v>21.011779606399411</v>
      </c>
      <c r="P939">
        <v>49.683203771524447</v>
      </c>
      <c r="Q939" t="s">
        <v>346</v>
      </c>
      <c r="R939" t="s">
        <v>347</v>
      </c>
      <c r="S939" t="s">
        <v>343</v>
      </c>
      <c r="T939" t="s">
        <v>343</v>
      </c>
    </row>
    <row r="940" spans="2:20" x14ac:dyDescent="0.25">
      <c r="B940">
        <v>935</v>
      </c>
      <c r="C940" t="s">
        <v>1279</v>
      </c>
      <c r="D940" s="10">
        <v>0.28217692706556169</v>
      </c>
      <c r="E940" s="10">
        <v>0.643401538503662</v>
      </c>
      <c r="F940" s="10">
        <v>0.61773288293330242</v>
      </c>
      <c r="G940" s="10">
        <v>0.35900597350357649</v>
      </c>
      <c r="H940" s="6">
        <v>0.25741793751505998</v>
      </c>
      <c r="I940" s="10">
        <v>13.82966255088833</v>
      </c>
      <c r="J940" s="7">
        <v>2.1498364436699089E-2</v>
      </c>
      <c r="K940" s="5">
        <v>0.16499618303997701</v>
      </c>
      <c r="L940">
        <v>246.76909372252621</v>
      </c>
      <c r="M940" s="10">
        <v>-0.58201400552320426</v>
      </c>
      <c r="N940" s="24" t="s">
        <v>343</v>
      </c>
      <c r="O940" s="24">
        <v>16.07915966860774</v>
      </c>
      <c r="P940">
        <v>56.58529665678055</v>
      </c>
      <c r="Q940" t="s">
        <v>47</v>
      </c>
      <c r="R940" t="s">
        <v>350</v>
      </c>
      <c r="S940" t="s">
        <v>343</v>
      </c>
      <c r="T940" t="s">
        <v>343</v>
      </c>
    </row>
    <row r="941" spans="2:20" x14ac:dyDescent="0.25">
      <c r="B941">
        <v>936</v>
      </c>
      <c r="C941" t="s">
        <v>1280</v>
      </c>
      <c r="D941" s="10">
        <v>0.1824181081226324</v>
      </c>
      <c r="E941" s="10">
        <v>1.120360373801399</v>
      </c>
      <c r="F941" s="10">
        <v>0.6612669150384527</v>
      </c>
      <c r="G941" s="10">
        <v>0.25600533556085903</v>
      </c>
      <c r="H941" s="6">
        <v>0.2013277215935402</v>
      </c>
      <c r="I941" s="10">
        <v>4.18443221676322</v>
      </c>
      <c r="J941" s="7">
        <v>3.9766052735407668E-2</v>
      </c>
      <c r="K941" s="5">
        <v>0.18746137334195709</v>
      </c>
      <c r="L941">
        <v>128.2019314731692</v>
      </c>
      <c r="M941" s="10">
        <v>-0.78284715070148569</v>
      </c>
      <c r="N941" s="24" t="s">
        <v>343</v>
      </c>
      <c r="O941" s="24">
        <v>4.0291709579108641</v>
      </c>
      <c r="P941">
        <v>26.381600940563541</v>
      </c>
      <c r="Q941" t="s">
        <v>348</v>
      </c>
      <c r="R941" t="s">
        <v>351</v>
      </c>
      <c r="S941" t="s">
        <v>343</v>
      </c>
      <c r="T941" t="s">
        <v>343</v>
      </c>
    </row>
    <row r="942" spans="2:20" x14ac:dyDescent="0.25">
      <c r="B942">
        <v>937</v>
      </c>
      <c r="C942" t="s">
        <v>1281</v>
      </c>
      <c r="D942" s="10">
        <v>0.29895487614366612</v>
      </c>
      <c r="E942" s="10">
        <v>0.52747600299336705</v>
      </c>
      <c r="F942" s="10">
        <v>0.68940203200912353</v>
      </c>
      <c r="G942" s="10">
        <v>0.37284114189020029</v>
      </c>
      <c r="H942" s="6">
        <v>0.159091705621215</v>
      </c>
      <c r="I942" s="10">
        <v>7.47111309059677</v>
      </c>
      <c r="J942" s="7">
        <v>1.8716479997593991E-2</v>
      </c>
      <c r="K942" s="5">
        <v>0.10186248425354601</v>
      </c>
      <c r="L942">
        <v>207.1168107352851</v>
      </c>
      <c r="M942" s="10">
        <v>-0.6491784088432313</v>
      </c>
      <c r="N942" s="24" t="s">
        <v>343</v>
      </c>
      <c r="O942" s="24">
        <v>12.04929546940612</v>
      </c>
      <c r="P942">
        <v>54.027937934850662</v>
      </c>
      <c r="Q942" t="s">
        <v>47</v>
      </c>
      <c r="R942" t="s">
        <v>350</v>
      </c>
      <c r="S942" t="s">
        <v>343</v>
      </c>
      <c r="T942" t="s">
        <v>343</v>
      </c>
    </row>
    <row r="943" spans="2:20" x14ac:dyDescent="0.25">
      <c r="B943">
        <v>938</v>
      </c>
      <c r="C943" t="s">
        <v>1282</v>
      </c>
      <c r="D943" s="10">
        <v>0.23798899171992219</v>
      </c>
      <c r="E943" s="10">
        <v>1.157437181118687</v>
      </c>
      <c r="F943" s="10">
        <v>0.4861854189015169</v>
      </c>
      <c r="G943" s="10">
        <v>0.4584653768373137</v>
      </c>
      <c r="H943" s="6">
        <v>0.12892103198866781</v>
      </c>
      <c r="I943" s="10">
        <v>10.446112749740751</v>
      </c>
      <c r="J943" s="7">
        <v>2.4321995253168069E-2</v>
      </c>
      <c r="K943" s="5">
        <v>0.1238871849597534</v>
      </c>
      <c r="L943">
        <v>293.8608735149536</v>
      </c>
      <c r="M943" s="10">
        <v>-0.502248326153514</v>
      </c>
      <c r="N943" s="24" t="s">
        <v>343</v>
      </c>
      <c r="O943" s="24">
        <v>20.865100430789159</v>
      </c>
      <c r="P943">
        <v>17.758616422385732</v>
      </c>
      <c r="Q943" t="s">
        <v>348</v>
      </c>
      <c r="R943" t="s">
        <v>371</v>
      </c>
      <c r="S943" t="s">
        <v>343</v>
      </c>
      <c r="T943" t="s">
        <v>343</v>
      </c>
    </row>
    <row r="944" spans="2:20" x14ac:dyDescent="0.25">
      <c r="B944">
        <v>939</v>
      </c>
      <c r="C944" t="s">
        <v>1283</v>
      </c>
      <c r="D944" s="10">
        <v>0.30312835630305462</v>
      </c>
      <c r="E944" s="10">
        <v>1.185001361356786</v>
      </c>
      <c r="F944" s="10">
        <v>0.57813924851121046</v>
      </c>
      <c r="G944" s="10">
        <v>0.45210748504441839</v>
      </c>
      <c r="H944" s="6">
        <v>0.25274295791262558</v>
      </c>
      <c r="I944" s="10">
        <v>4.0405842743701426</v>
      </c>
      <c r="J944" s="7">
        <v>1.9668917008522378E-2</v>
      </c>
      <c r="K944" s="5">
        <v>0.12521662817077081</v>
      </c>
      <c r="L944">
        <v>250.76779235072971</v>
      </c>
      <c r="M944" s="10">
        <v>-0.57524087199375984</v>
      </c>
      <c r="N944" s="24" t="s">
        <v>343</v>
      </c>
      <c r="O944" s="24">
        <v>16.48554768037441</v>
      </c>
      <c r="P944">
        <v>48.733764511008822</v>
      </c>
      <c r="Q944" t="s">
        <v>346</v>
      </c>
      <c r="R944" t="s">
        <v>347</v>
      </c>
      <c r="S944" t="s">
        <v>343</v>
      </c>
      <c r="T944" t="s">
        <v>343</v>
      </c>
    </row>
    <row r="945" spans="2:20" x14ac:dyDescent="0.25">
      <c r="B945">
        <v>940</v>
      </c>
      <c r="C945" t="s">
        <v>1284</v>
      </c>
      <c r="D945" s="10">
        <v>0.28797684095157039</v>
      </c>
      <c r="E945" s="10">
        <v>1.20435936752741</v>
      </c>
      <c r="F945" s="10">
        <v>0.45133329010247508</v>
      </c>
      <c r="G945" s="10">
        <v>0.42241816603981502</v>
      </c>
      <c r="H945" s="6">
        <v>0.19182871177920799</v>
      </c>
      <c r="I945" s="10">
        <v>4.1993628616148673</v>
      </c>
      <c r="J945" s="7">
        <v>4.0497247332495989E-2</v>
      </c>
      <c r="K945" s="5">
        <v>0.1094087561685448</v>
      </c>
      <c r="L945">
        <v>297.41424373234122</v>
      </c>
      <c r="M945" s="10">
        <v>-0.49622950523208598</v>
      </c>
      <c r="N945" s="24" t="s">
        <v>343</v>
      </c>
      <c r="O945" s="24">
        <v>21.226229686074841</v>
      </c>
      <c r="P945">
        <v>54.286682954578367</v>
      </c>
      <c r="Q945" t="s">
        <v>47</v>
      </c>
      <c r="R945" t="s">
        <v>350</v>
      </c>
      <c r="S945" t="s">
        <v>343</v>
      </c>
      <c r="T945" t="s">
        <v>343</v>
      </c>
    </row>
    <row r="946" spans="2:20" x14ac:dyDescent="0.25">
      <c r="B946">
        <v>941</v>
      </c>
      <c r="C946" t="s">
        <v>1285</v>
      </c>
      <c r="D946" s="10">
        <v>0.2280341607150774</v>
      </c>
      <c r="E946" s="10">
        <v>0.82020756807630324</v>
      </c>
      <c r="F946" s="10">
        <v>0.56978771635832293</v>
      </c>
      <c r="G946" s="10">
        <v>0.29859504481652871</v>
      </c>
      <c r="H946" s="6">
        <v>0.23059829841634821</v>
      </c>
      <c r="I946" s="10">
        <v>4.5758915977626202</v>
      </c>
      <c r="J946" s="7">
        <v>3.5490104038015093E-2</v>
      </c>
      <c r="K946" s="5">
        <v>0.1214219510328622</v>
      </c>
      <c r="L946">
        <v>103.31610095074841</v>
      </c>
      <c r="M946" s="10">
        <v>-0.82499962799263016</v>
      </c>
      <c r="N946" s="24" t="s">
        <v>343</v>
      </c>
      <c r="O946" s="24">
        <v>1.5000223204421841</v>
      </c>
      <c r="P946">
        <v>66.160789237273931</v>
      </c>
      <c r="Q946" t="s">
        <v>47</v>
      </c>
      <c r="R946" t="s">
        <v>350</v>
      </c>
      <c r="S946" t="s">
        <v>343</v>
      </c>
      <c r="T946" t="s">
        <v>343</v>
      </c>
    </row>
    <row r="947" spans="2:20" x14ac:dyDescent="0.25">
      <c r="B947">
        <v>942</v>
      </c>
      <c r="C947" t="s">
        <v>1286</v>
      </c>
      <c r="D947" s="10">
        <v>0.1635950893312188</v>
      </c>
      <c r="E947" s="10">
        <v>0.51172884454746381</v>
      </c>
      <c r="F947" s="10">
        <v>0.47261910328065532</v>
      </c>
      <c r="G947" s="10">
        <v>0.2449296712254608</v>
      </c>
      <c r="H947" s="6">
        <v>0.1221974022893383</v>
      </c>
      <c r="I947" s="10">
        <v>10.094850158363259</v>
      </c>
      <c r="J947" s="7">
        <v>2.6107897562745432E-2</v>
      </c>
      <c r="K947" s="5">
        <v>0.13647829740158479</v>
      </c>
      <c r="L947">
        <v>66.755490794208683</v>
      </c>
      <c r="M947" s="10">
        <v>-0.88692724933464073</v>
      </c>
      <c r="N947" s="24" t="s">
        <v>343</v>
      </c>
      <c r="O947" s="24">
        <v>0</v>
      </c>
      <c r="P947">
        <v>24.131246586777731</v>
      </c>
      <c r="Q947" t="s">
        <v>348</v>
      </c>
      <c r="R947" t="s">
        <v>371</v>
      </c>
      <c r="S947" t="s">
        <v>343</v>
      </c>
      <c r="T947" t="s">
        <v>343</v>
      </c>
    </row>
    <row r="948" spans="2:20" x14ac:dyDescent="0.25">
      <c r="B948">
        <v>943</v>
      </c>
      <c r="C948" t="s">
        <v>1287</v>
      </c>
      <c r="D948" s="10">
        <v>0.2029883775015914</v>
      </c>
      <c r="E948" s="10">
        <v>0.40969596007267561</v>
      </c>
      <c r="F948" s="10">
        <v>0.65785313542166546</v>
      </c>
      <c r="G948" s="10">
        <v>0.42337917463422731</v>
      </c>
      <c r="H948" s="6">
        <v>0.19322083839966259</v>
      </c>
      <c r="I948" s="10">
        <v>13.00270609777127</v>
      </c>
      <c r="J948" s="7">
        <v>4.2630529136525687E-2</v>
      </c>
      <c r="K948" s="5">
        <v>0.18928436536059079</v>
      </c>
      <c r="L948">
        <v>191.61087518411011</v>
      </c>
      <c r="M948" s="10">
        <v>-0.67544289680596903</v>
      </c>
      <c r="N948" s="24" t="s">
        <v>343</v>
      </c>
      <c r="O948" s="24">
        <v>10.47342619164186</v>
      </c>
      <c r="P948">
        <v>54.298661846979712</v>
      </c>
      <c r="Q948" t="s">
        <v>47</v>
      </c>
      <c r="R948" t="s">
        <v>350</v>
      </c>
      <c r="S948" t="s">
        <v>343</v>
      </c>
      <c r="T948" t="s">
        <v>343</v>
      </c>
    </row>
    <row r="949" spans="2:20" x14ac:dyDescent="0.25">
      <c r="B949">
        <v>944</v>
      </c>
      <c r="C949" t="s">
        <v>1288</v>
      </c>
      <c r="D949" s="10">
        <v>0.24666147434573871</v>
      </c>
      <c r="E949" s="10">
        <v>1.117697375536717</v>
      </c>
      <c r="F949" s="10">
        <v>0.46960620067739478</v>
      </c>
      <c r="G949" s="10">
        <v>0.25225845103531691</v>
      </c>
      <c r="H949" s="6">
        <v>0.16885839347497481</v>
      </c>
      <c r="I949" s="10">
        <v>12.08588399365517</v>
      </c>
      <c r="J949" s="7">
        <v>4.2460567319016061E-2</v>
      </c>
      <c r="K949" s="5">
        <v>0.18172524806704571</v>
      </c>
      <c r="L949">
        <v>281.04619685624641</v>
      </c>
      <c r="M949" s="10">
        <v>-0.52395426706486303</v>
      </c>
      <c r="N949" s="24" t="s">
        <v>343</v>
      </c>
      <c r="O949" s="24">
        <v>19.562743976108219</v>
      </c>
      <c r="P949">
        <v>17.813458642107019</v>
      </c>
      <c r="Q949" t="s">
        <v>348</v>
      </c>
      <c r="R949" t="s">
        <v>371</v>
      </c>
      <c r="S949" t="s">
        <v>343</v>
      </c>
      <c r="T949" t="s">
        <v>343</v>
      </c>
    </row>
    <row r="950" spans="2:20" x14ac:dyDescent="0.25">
      <c r="B950">
        <v>945</v>
      </c>
      <c r="C950" t="s">
        <v>1289</v>
      </c>
      <c r="D950" s="10">
        <v>0.26135651517218361</v>
      </c>
      <c r="E950" s="10">
        <v>1.2748875229827941</v>
      </c>
      <c r="F950" s="10">
        <v>0.57345497370048881</v>
      </c>
      <c r="G950" s="10">
        <v>0.28523817792356948</v>
      </c>
      <c r="H950" s="6">
        <v>0.124549690892074</v>
      </c>
      <c r="I950" s="10">
        <v>13.81360763293241</v>
      </c>
      <c r="J950" s="7">
        <v>3.4903375915685583E-2</v>
      </c>
      <c r="K950" s="5">
        <v>0.1898705913049486</v>
      </c>
      <c r="L950">
        <v>386.53372817880938</v>
      </c>
      <c r="M950" s="10">
        <v>-0.3452758514673967</v>
      </c>
      <c r="N950" s="24" t="s">
        <v>343</v>
      </c>
      <c r="O950" s="24">
        <v>30.283448911956199</v>
      </c>
      <c r="P950">
        <v>15.155720395431331</v>
      </c>
      <c r="Q950" t="s">
        <v>348</v>
      </c>
      <c r="R950" t="s">
        <v>353</v>
      </c>
      <c r="S950" t="s">
        <v>343</v>
      </c>
      <c r="T950" t="s">
        <v>343</v>
      </c>
    </row>
    <row r="951" spans="2:20" x14ac:dyDescent="0.25">
      <c r="B951">
        <v>946</v>
      </c>
      <c r="C951" t="s">
        <v>1290</v>
      </c>
      <c r="D951" s="10">
        <v>0.20126202966931239</v>
      </c>
      <c r="E951" s="10">
        <v>1.015922194720597</v>
      </c>
      <c r="F951" s="10">
        <v>0.57548497793811593</v>
      </c>
      <c r="G951" s="10">
        <v>0.35977970739829263</v>
      </c>
      <c r="H951" s="6">
        <v>0.23635092106086869</v>
      </c>
      <c r="I951" s="10">
        <v>9.3595167305933309</v>
      </c>
      <c r="J951" s="7">
        <v>4.121977716372744E-2</v>
      </c>
      <c r="K951" s="5">
        <v>0.11145431878862221</v>
      </c>
      <c r="L951">
        <v>368.58320129019529</v>
      </c>
      <c r="M951" s="10">
        <v>-0.37568107247678489</v>
      </c>
      <c r="N951" s="24" t="s">
        <v>343</v>
      </c>
      <c r="O951" s="24">
        <v>28.459135651392909</v>
      </c>
      <c r="P951">
        <v>22.671412215296421</v>
      </c>
      <c r="Q951" t="s">
        <v>348</v>
      </c>
      <c r="R951" t="s">
        <v>353</v>
      </c>
      <c r="S951" t="s">
        <v>343</v>
      </c>
      <c r="T951" t="s">
        <v>343</v>
      </c>
    </row>
    <row r="952" spans="2:20" x14ac:dyDescent="0.25">
      <c r="B952">
        <v>947</v>
      </c>
      <c r="C952" t="s">
        <v>1291</v>
      </c>
      <c r="D952" s="10">
        <v>0.18229697185165189</v>
      </c>
      <c r="E952" s="10">
        <v>0.4585760664272065</v>
      </c>
      <c r="F952" s="10">
        <v>0.69262912946221733</v>
      </c>
      <c r="G952" s="10">
        <v>0.27924316861160159</v>
      </c>
      <c r="H952" s="6">
        <v>0.19693524793404199</v>
      </c>
      <c r="I952" s="10">
        <v>13.57625035080004</v>
      </c>
      <c r="J952" s="7">
        <v>3.5178759249667603E-2</v>
      </c>
      <c r="K952" s="5">
        <v>0.1026646038538294</v>
      </c>
      <c r="L952">
        <v>167.85724698001269</v>
      </c>
      <c r="M952" s="10">
        <v>-0.71567761079525716</v>
      </c>
      <c r="N952" s="24" t="s">
        <v>343</v>
      </c>
      <c r="O952" s="24">
        <v>8.0593433522845679</v>
      </c>
      <c r="P952">
        <v>13.825160122508789</v>
      </c>
      <c r="Q952" t="s">
        <v>348</v>
      </c>
      <c r="R952" t="s">
        <v>353</v>
      </c>
      <c r="S952" t="s">
        <v>343</v>
      </c>
      <c r="T952" t="s">
        <v>343</v>
      </c>
    </row>
    <row r="953" spans="2:20" x14ac:dyDescent="0.25">
      <c r="B953">
        <v>948</v>
      </c>
      <c r="C953" t="s">
        <v>1292</v>
      </c>
      <c r="D953" s="10">
        <v>0.29358883788788792</v>
      </c>
      <c r="E953" s="10">
        <v>1.328386093369331</v>
      </c>
      <c r="F953" s="10">
        <v>0.61029498045011088</v>
      </c>
      <c r="G953" s="10">
        <v>0.42343343288570118</v>
      </c>
      <c r="H953" s="6">
        <v>0.1699770364486696</v>
      </c>
      <c r="I953" s="10">
        <v>6.354275817369972</v>
      </c>
      <c r="J953" s="7">
        <v>3.1987415363984618E-2</v>
      </c>
      <c r="K953" s="5">
        <v>0.11043890061905499</v>
      </c>
      <c r="L953">
        <v>356.14512998659387</v>
      </c>
      <c r="M953" s="10">
        <v>-0.39674910626003879</v>
      </c>
      <c r="N953" s="24" t="s">
        <v>343</v>
      </c>
      <c r="O953" s="24">
        <v>27.195053624397669</v>
      </c>
      <c r="P953">
        <v>52.273014280421108</v>
      </c>
      <c r="Q953" t="s">
        <v>47</v>
      </c>
      <c r="R953" t="s">
        <v>350</v>
      </c>
      <c r="S953" t="s">
        <v>343</v>
      </c>
      <c r="T953" t="s">
        <v>343</v>
      </c>
    </row>
    <row r="954" spans="2:20" x14ac:dyDescent="0.25">
      <c r="B954">
        <v>949</v>
      </c>
      <c r="C954" t="s">
        <v>1293</v>
      </c>
      <c r="D954" s="10">
        <v>0.31750434891256829</v>
      </c>
      <c r="E954" s="10">
        <v>1.388012215993252</v>
      </c>
      <c r="F954" s="10">
        <v>0.51483847619996848</v>
      </c>
      <c r="G954" s="10">
        <v>0.41097513317716239</v>
      </c>
      <c r="H954" s="6">
        <v>0.24086977258610989</v>
      </c>
      <c r="I954" s="10">
        <v>7.6365505323067229</v>
      </c>
      <c r="J954" s="7">
        <v>2.472740562742776E-2</v>
      </c>
      <c r="K954" s="5">
        <v>0.18685808531099959</v>
      </c>
      <c r="L954">
        <v>366.28009916669458</v>
      </c>
      <c r="M954" s="10">
        <v>-0.37958214621722469</v>
      </c>
      <c r="N954" s="24" t="s">
        <v>343</v>
      </c>
      <c r="O954" s="24">
        <v>28.22507122696652</v>
      </c>
      <c r="P954">
        <v>49.771768959003758</v>
      </c>
      <c r="Q954" t="s">
        <v>346</v>
      </c>
      <c r="R954" t="s">
        <v>347</v>
      </c>
      <c r="S954" t="s">
        <v>343</v>
      </c>
      <c r="T954" t="s">
        <v>343</v>
      </c>
    </row>
    <row r="955" spans="2:20" x14ac:dyDescent="0.25">
      <c r="B955">
        <v>950</v>
      </c>
      <c r="C955" t="s">
        <v>1294</v>
      </c>
      <c r="D955" s="10">
        <v>0.2441104291684297</v>
      </c>
      <c r="E955" s="10">
        <v>0.776716470928414</v>
      </c>
      <c r="F955" s="10">
        <v>0.50260782058391595</v>
      </c>
      <c r="G955" s="10">
        <v>0.40626929126219502</v>
      </c>
      <c r="H955" s="6">
        <v>0.187038517777525</v>
      </c>
      <c r="I955" s="10">
        <v>7.356455047627426</v>
      </c>
      <c r="J955" s="7">
        <v>1.957144167366838E-2</v>
      </c>
      <c r="K955" s="5">
        <v>0.11496142066087731</v>
      </c>
      <c r="L955">
        <v>226.2874959394594</v>
      </c>
      <c r="M955" s="10">
        <v>-0.61670644163295119</v>
      </c>
      <c r="N955" s="24" t="s">
        <v>343</v>
      </c>
      <c r="O955" s="24">
        <v>13.997613502022929</v>
      </c>
      <c r="P955">
        <v>53.778414851824152</v>
      </c>
      <c r="Q955" t="s">
        <v>47</v>
      </c>
      <c r="R955" t="s">
        <v>350</v>
      </c>
      <c r="S955" t="s">
        <v>343</v>
      </c>
      <c r="T955" t="s">
        <v>343</v>
      </c>
    </row>
    <row r="956" spans="2:20" x14ac:dyDescent="0.25">
      <c r="B956">
        <v>951</v>
      </c>
      <c r="C956" t="s">
        <v>1295</v>
      </c>
      <c r="D956" s="10">
        <v>0.18746868573572861</v>
      </c>
      <c r="E956" s="10">
        <v>0.95430781820114818</v>
      </c>
      <c r="F956" s="10">
        <v>0.47334453346771688</v>
      </c>
      <c r="G956" s="10">
        <v>0.41954807549746692</v>
      </c>
      <c r="H956" s="6">
        <v>0.1205246934552452</v>
      </c>
      <c r="I956" s="10">
        <v>3.520932283067947</v>
      </c>
      <c r="J956" s="7">
        <v>1.2109007553931791E-2</v>
      </c>
      <c r="K956" s="5">
        <v>0.15440048712438989</v>
      </c>
      <c r="L956">
        <v>122.38125194973441</v>
      </c>
      <c r="M956" s="10">
        <v>-0.79270641825574983</v>
      </c>
      <c r="N956" s="24" t="s">
        <v>343</v>
      </c>
      <c r="O956" s="24">
        <v>3.437614904655014</v>
      </c>
      <c r="P956">
        <v>60.318364844841042</v>
      </c>
      <c r="Q956" t="s">
        <v>47</v>
      </c>
      <c r="R956" t="s">
        <v>350</v>
      </c>
      <c r="S956" t="s">
        <v>343</v>
      </c>
      <c r="T956" t="s">
        <v>343</v>
      </c>
    </row>
    <row r="957" spans="2:20" x14ac:dyDescent="0.25">
      <c r="B957">
        <v>952</v>
      </c>
      <c r="C957" t="s">
        <v>1296</v>
      </c>
      <c r="D957" s="10">
        <v>0.20356917224309901</v>
      </c>
      <c r="E957" s="10">
        <v>1.154951372001823</v>
      </c>
      <c r="F957" s="10">
        <v>0.63669382825275544</v>
      </c>
      <c r="G957" s="10">
        <v>0.28833439165821467</v>
      </c>
      <c r="H957" s="6">
        <v>0.26166714480574882</v>
      </c>
      <c r="I957" s="10">
        <v>12.126757953946139</v>
      </c>
      <c r="J957" s="7">
        <v>3.8030449002738033E-2</v>
      </c>
      <c r="K957" s="5">
        <v>0.1216203251367724</v>
      </c>
      <c r="L957">
        <v>397.25186754135689</v>
      </c>
      <c r="M957" s="10">
        <v>-0.32712109767382502</v>
      </c>
      <c r="N957" s="24" t="s">
        <v>343</v>
      </c>
      <c r="O957" s="24">
        <v>31.3727341395705</v>
      </c>
      <c r="P957">
        <v>19.807045342621549</v>
      </c>
      <c r="Q957" t="s">
        <v>348</v>
      </c>
      <c r="R957" t="s">
        <v>375</v>
      </c>
      <c r="S957" t="s">
        <v>343</v>
      </c>
      <c r="T957" t="s">
        <v>343</v>
      </c>
    </row>
    <row r="958" spans="2:20" x14ac:dyDescent="0.25">
      <c r="B958">
        <v>953</v>
      </c>
      <c r="C958" t="s">
        <v>1297</v>
      </c>
      <c r="D958" s="10">
        <v>0.16294250824759471</v>
      </c>
      <c r="E958" s="10">
        <v>1.110028769055049</v>
      </c>
      <c r="F958" s="10">
        <v>0.61959673060740794</v>
      </c>
      <c r="G958" s="10">
        <v>0.40035632275294492</v>
      </c>
      <c r="H958" s="6">
        <v>0.1583524110693578</v>
      </c>
      <c r="I958" s="10">
        <v>3.2719000756160548</v>
      </c>
      <c r="J958" s="7">
        <v>1.427570782920087E-2</v>
      </c>
      <c r="K958" s="5">
        <v>0.101960365367096</v>
      </c>
      <c r="L958">
        <v>222.47984527906959</v>
      </c>
      <c r="M958" s="10">
        <v>-0.62315597153110291</v>
      </c>
      <c r="N958" s="24" t="s">
        <v>343</v>
      </c>
      <c r="O958" s="24">
        <v>13.61064170813383</v>
      </c>
      <c r="P958">
        <v>58.793335056396486</v>
      </c>
      <c r="Q958" t="s">
        <v>47</v>
      </c>
      <c r="R958" t="s">
        <v>350</v>
      </c>
      <c r="S958" t="s">
        <v>343</v>
      </c>
      <c r="T958" t="s">
        <v>343</v>
      </c>
    </row>
    <row r="959" spans="2:20" x14ac:dyDescent="0.25">
      <c r="B959">
        <v>954</v>
      </c>
      <c r="C959" t="s">
        <v>1298</v>
      </c>
      <c r="D959" s="10">
        <v>0.30628780904967978</v>
      </c>
      <c r="E959" s="10">
        <v>1.364565911126794</v>
      </c>
      <c r="F959" s="10">
        <v>0.59856805310010752</v>
      </c>
      <c r="G959" s="10">
        <v>0.31816193057018832</v>
      </c>
      <c r="H959" s="6">
        <v>0.24458632830950119</v>
      </c>
      <c r="I959" s="10">
        <v>11.028638761935129</v>
      </c>
      <c r="J959" s="7">
        <v>2.4362223423093229E-2</v>
      </c>
      <c r="K959" s="5">
        <v>0.1080390275035449</v>
      </c>
      <c r="L959">
        <v>369.26805328895671</v>
      </c>
      <c r="M959" s="10">
        <v>-0.37452104656165319</v>
      </c>
      <c r="N959" s="24" t="s">
        <v>343</v>
      </c>
      <c r="O959" s="24">
        <v>28.5287372063008</v>
      </c>
      <c r="P959">
        <v>48.06129063542226</v>
      </c>
      <c r="Q959" t="s">
        <v>346</v>
      </c>
      <c r="R959" t="s">
        <v>347</v>
      </c>
      <c r="S959" t="s">
        <v>343</v>
      </c>
      <c r="T959" t="s">
        <v>343</v>
      </c>
    </row>
    <row r="960" spans="2:20" x14ac:dyDescent="0.25">
      <c r="B960">
        <v>955</v>
      </c>
      <c r="C960" t="s">
        <v>1299</v>
      </c>
      <c r="D960" s="10">
        <v>0.1788401732624226</v>
      </c>
      <c r="E960" s="10">
        <v>0.42637140018666769</v>
      </c>
      <c r="F960" s="10">
        <v>0.45061851516699702</v>
      </c>
      <c r="G960" s="10">
        <v>0.38670584710504791</v>
      </c>
      <c r="H960" s="6">
        <v>0.24246230761219101</v>
      </c>
      <c r="I960" s="10">
        <v>7.477712609207904</v>
      </c>
      <c r="J960" s="7">
        <v>1.821219749858646E-2</v>
      </c>
      <c r="K960" s="5">
        <v>0.16743071718180921</v>
      </c>
      <c r="L960">
        <v>146.5373326057007</v>
      </c>
      <c r="M960" s="10">
        <v>-0.75179001643519194</v>
      </c>
      <c r="N960" s="24" t="s">
        <v>343</v>
      </c>
      <c r="O960" s="24">
        <v>5.8925990138884856</v>
      </c>
      <c r="P960">
        <v>61.647319112611427</v>
      </c>
      <c r="Q960" t="s">
        <v>47</v>
      </c>
      <c r="R960" t="s">
        <v>350</v>
      </c>
      <c r="S960" t="s">
        <v>343</v>
      </c>
      <c r="T960" t="s">
        <v>343</v>
      </c>
    </row>
    <row r="961" spans="2:20" x14ac:dyDescent="0.25">
      <c r="B961">
        <v>956</v>
      </c>
      <c r="C961" t="s">
        <v>1300</v>
      </c>
      <c r="D961" s="10">
        <v>0.25224263608228059</v>
      </c>
      <c r="E961" s="10">
        <v>0.93879735275708631</v>
      </c>
      <c r="F961" s="10">
        <v>0.63833550526251659</v>
      </c>
      <c r="G961" s="10">
        <v>0.26684478029885839</v>
      </c>
      <c r="H961" s="6">
        <v>0.14435608970410971</v>
      </c>
      <c r="I961" s="10">
        <v>3.0687248768459998</v>
      </c>
      <c r="J961" s="7">
        <v>2.5911920467458431E-2</v>
      </c>
      <c r="K961" s="5">
        <v>0.1173248129412672</v>
      </c>
      <c r="L961">
        <v>246.36840868999789</v>
      </c>
      <c r="M961" s="10">
        <v>-0.58269269963869008</v>
      </c>
      <c r="N961" s="24" t="s">
        <v>343</v>
      </c>
      <c r="O961" s="24">
        <v>16.038438021678591</v>
      </c>
      <c r="P961">
        <v>21.91650633144673</v>
      </c>
      <c r="Q961" t="s">
        <v>348</v>
      </c>
      <c r="R961" t="s">
        <v>353</v>
      </c>
      <c r="S961" t="s">
        <v>343</v>
      </c>
      <c r="T961" t="s">
        <v>343</v>
      </c>
    </row>
    <row r="962" spans="2:20" x14ac:dyDescent="0.25">
      <c r="B962">
        <v>957</v>
      </c>
      <c r="C962" t="s">
        <v>1301</v>
      </c>
      <c r="D962" s="10">
        <v>0.20384883530995301</v>
      </c>
      <c r="E962" s="10">
        <v>1.061124561640401</v>
      </c>
      <c r="F962" s="10">
        <v>0.60689077005860459</v>
      </c>
      <c r="G962" s="10">
        <v>0.39522904761419331</v>
      </c>
      <c r="H962" s="6">
        <v>0.19110040218221649</v>
      </c>
      <c r="I962" s="10">
        <v>6.1894159314907942</v>
      </c>
      <c r="J962" s="7">
        <v>2.1024433891359679E-2</v>
      </c>
      <c r="K962" s="5">
        <v>0.12176822451618061</v>
      </c>
      <c r="L962">
        <v>442.49371241718097</v>
      </c>
      <c r="M962" s="10">
        <v>-0.25048890181363481</v>
      </c>
      <c r="N962" s="24" t="s">
        <v>343</v>
      </c>
      <c r="O962" s="24">
        <v>35.970665891181923</v>
      </c>
      <c r="P962">
        <v>19.979214500937861</v>
      </c>
      <c r="Q962" t="s">
        <v>348</v>
      </c>
      <c r="R962" t="s">
        <v>625</v>
      </c>
      <c r="S962" t="s">
        <v>343</v>
      </c>
      <c r="T962" t="s">
        <v>343</v>
      </c>
    </row>
    <row r="963" spans="2:20" x14ac:dyDescent="0.25">
      <c r="B963">
        <v>958</v>
      </c>
      <c r="C963" t="s">
        <v>1302</v>
      </c>
      <c r="D963" s="10">
        <v>0.24866848040252701</v>
      </c>
      <c r="E963" s="10">
        <v>1.2791082666064371</v>
      </c>
      <c r="F963" s="10">
        <v>0.69061110570872697</v>
      </c>
      <c r="G963" s="10">
        <v>0.45386370013817162</v>
      </c>
      <c r="H963" s="6">
        <v>0.12602984677477391</v>
      </c>
      <c r="I963" s="10">
        <v>6.8074046551071001</v>
      </c>
      <c r="J963" s="7">
        <v>3.9039284618922268E-2</v>
      </c>
      <c r="K963" s="5">
        <v>0.13583936757825019</v>
      </c>
      <c r="L963">
        <v>337.20208424656278</v>
      </c>
      <c r="M963" s="10">
        <v>-0.42883548990162013</v>
      </c>
      <c r="N963" s="24" t="s">
        <v>343</v>
      </c>
      <c r="O963" s="24">
        <v>25.269870605902799</v>
      </c>
      <c r="P963">
        <v>19.498886573157531</v>
      </c>
      <c r="Q963" t="s">
        <v>348</v>
      </c>
      <c r="R963" t="s">
        <v>353</v>
      </c>
      <c r="S963" t="s">
        <v>343</v>
      </c>
      <c r="T963" t="s">
        <v>343</v>
      </c>
    </row>
    <row r="964" spans="2:20" x14ac:dyDescent="0.25">
      <c r="B964">
        <v>959</v>
      </c>
      <c r="C964" t="s">
        <v>1303</v>
      </c>
      <c r="D964" s="10">
        <v>0.26422726213629832</v>
      </c>
      <c r="E964" s="10">
        <v>1.261520590489966</v>
      </c>
      <c r="F964" s="10">
        <v>0.59267255376797112</v>
      </c>
      <c r="G964" s="10">
        <v>0.2495920803701176</v>
      </c>
      <c r="H964" s="6">
        <v>0.17318275093326929</v>
      </c>
      <c r="I964" s="10">
        <v>13.61172718166017</v>
      </c>
      <c r="J964" s="7">
        <v>4.4236249643393767E-2</v>
      </c>
      <c r="K964" s="5">
        <v>0.1624379482129365</v>
      </c>
      <c r="L964">
        <v>198.22289516308459</v>
      </c>
      <c r="M964" s="10">
        <v>-0.66424322951894743</v>
      </c>
      <c r="N964" s="24" t="s">
        <v>343</v>
      </c>
      <c r="O964" s="24">
        <v>11.145406228863161</v>
      </c>
      <c r="P964">
        <v>48.201139721031389</v>
      </c>
      <c r="Q964" t="s">
        <v>346</v>
      </c>
      <c r="R964" t="s">
        <v>347</v>
      </c>
      <c r="S964" t="s">
        <v>343</v>
      </c>
      <c r="T964" t="s">
        <v>343</v>
      </c>
    </row>
    <row r="965" spans="2:20" x14ac:dyDescent="0.25">
      <c r="B965">
        <v>960</v>
      </c>
      <c r="C965" t="s">
        <v>1304</v>
      </c>
      <c r="D965" s="10">
        <v>0.29275868859315218</v>
      </c>
      <c r="E965" s="10">
        <v>1.375799772917419</v>
      </c>
      <c r="F965" s="10">
        <v>0.5190274957320441</v>
      </c>
      <c r="G965" s="10">
        <v>0.26064235825675858</v>
      </c>
      <c r="H965" s="6">
        <v>0.22964682650544299</v>
      </c>
      <c r="I965" s="10">
        <v>10.27187007368202</v>
      </c>
      <c r="J965" s="7">
        <v>4.2954417151841069E-2</v>
      </c>
      <c r="K965" s="5">
        <v>0.14459037733116831</v>
      </c>
      <c r="L965">
        <v>275.86706873725859</v>
      </c>
      <c r="M965" s="10">
        <v>-0.53272685274275999</v>
      </c>
      <c r="N965" s="24" t="s">
        <v>343</v>
      </c>
      <c r="O965" s="24">
        <v>19.036388835434401</v>
      </c>
      <c r="P965">
        <v>44.585438712947102</v>
      </c>
      <c r="Q965" t="s">
        <v>346</v>
      </c>
      <c r="R965" t="s">
        <v>347</v>
      </c>
      <c r="S965" t="s">
        <v>343</v>
      </c>
      <c r="T965" t="s">
        <v>343</v>
      </c>
    </row>
    <row r="966" spans="2:20" x14ac:dyDescent="0.25">
      <c r="B966">
        <v>961</v>
      </c>
      <c r="C966" t="s">
        <v>1305</v>
      </c>
      <c r="D966" s="10">
        <v>0.1930274034816965</v>
      </c>
      <c r="E966" s="10">
        <v>0.86328629933144696</v>
      </c>
      <c r="F966" s="10">
        <v>0.53919534356922327</v>
      </c>
      <c r="G966" s="10">
        <v>0.26720008881436302</v>
      </c>
      <c r="H966" s="6">
        <v>0.15556042051655361</v>
      </c>
      <c r="I966" s="10">
        <v>8.9792875065675446</v>
      </c>
      <c r="J966" s="7">
        <v>3.1782947157086683E-2</v>
      </c>
      <c r="K966" s="5">
        <v>0.18973797051940811</v>
      </c>
      <c r="L966">
        <v>162.2247129599582</v>
      </c>
      <c r="M966" s="10">
        <v>-0.72521819101250329</v>
      </c>
      <c r="N966" s="24" t="s">
        <v>343</v>
      </c>
      <c r="O966" s="24">
        <v>7.4869085392498</v>
      </c>
      <c r="P966">
        <v>65.789056430350769</v>
      </c>
      <c r="Q966" t="s">
        <v>47</v>
      </c>
      <c r="R966" t="s">
        <v>350</v>
      </c>
      <c r="S966" t="s">
        <v>343</v>
      </c>
      <c r="T966" t="s">
        <v>343</v>
      </c>
    </row>
    <row r="967" spans="2:20" x14ac:dyDescent="0.25">
      <c r="B967">
        <v>962</v>
      </c>
      <c r="C967" t="s">
        <v>1306</v>
      </c>
      <c r="D967" s="10">
        <v>0.16175933258535691</v>
      </c>
      <c r="E967" s="10">
        <v>1.213836953494549</v>
      </c>
      <c r="F967" s="10">
        <v>0.48571858339834051</v>
      </c>
      <c r="G967" s="10">
        <v>0.33472405908708619</v>
      </c>
      <c r="H967" s="6">
        <v>0.13756918961134651</v>
      </c>
      <c r="I967" s="10">
        <v>4.3975562062292379</v>
      </c>
      <c r="J967" s="7">
        <v>4.4274679162593859E-2</v>
      </c>
      <c r="K967" s="5">
        <v>0.14124730812026801</v>
      </c>
      <c r="L967">
        <v>102.51735989442609</v>
      </c>
      <c r="M967" s="10">
        <v>-0.82635256311801397</v>
      </c>
      <c r="N967" s="24" t="s">
        <v>343</v>
      </c>
      <c r="O967" s="24">
        <v>1.4188462129191559</v>
      </c>
      <c r="P967">
        <v>55.727001923340246</v>
      </c>
      <c r="Q967" t="s">
        <v>47</v>
      </c>
      <c r="R967" t="s">
        <v>350</v>
      </c>
      <c r="S967" t="s">
        <v>343</v>
      </c>
      <c r="T967" t="s">
        <v>343</v>
      </c>
    </row>
    <row r="968" spans="2:20" x14ac:dyDescent="0.25">
      <c r="B968">
        <v>963</v>
      </c>
      <c r="C968" t="s">
        <v>1307</v>
      </c>
      <c r="D968" s="10">
        <v>0.1819017008110092</v>
      </c>
      <c r="E968" s="10">
        <v>0.77000987894006045</v>
      </c>
      <c r="F968" s="10">
        <v>0.62795768737236013</v>
      </c>
      <c r="G968" s="10">
        <v>0.30397164068527183</v>
      </c>
      <c r="H968" s="6">
        <v>0.19606853264025129</v>
      </c>
      <c r="I968" s="10">
        <v>7.302147734640986</v>
      </c>
      <c r="J968" s="7">
        <v>2.4025293038607259E-2</v>
      </c>
      <c r="K968" s="5">
        <v>0.11891743741875981</v>
      </c>
      <c r="L968">
        <v>163.64297808409751</v>
      </c>
      <c r="M968" s="10">
        <v>-0.72281588467258673</v>
      </c>
      <c r="N968" s="24" t="s">
        <v>343</v>
      </c>
      <c r="O968" s="24">
        <v>7.6310469196447954</v>
      </c>
      <c r="P968">
        <v>67.736964918710157</v>
      </c>
      <c r="Q968" t="s">
        <v>47</v>
      </c>
      <c r="R968" t="s">
        <v>350</v>
      </c>
      <c r="S968" t="s">
        <v>343</v>
      </c>
      <c r="T968" t="s">
        <v>343</v>
      </c>
    </row>
    <row r="969" spans="2:20" x14ac:dyDescent="0.25">
      <c r="B969">
        <v>964</v>
      </c>
      <c r="C969" t="s">
        <v>1308</v>
      </c>
      <c r="D969" s="10">
        <v>0.30400298269569681</v>
      </c>
      <c r="E969" s="10">
        <v>0.76454526564163539</v>
      </c>
      <c r="F969" s="10">
        <v>0.62400763160564854</v>
      </c>
      <c r="G969" s="10">
        <v>0.4175224337789526</v>
      </c>
      <c r="H969" s="6">
        <v>0.2005479576560448</v>
      </c>
      <c r="I969" s="10">
        <v>3.393407889604048</v>
      </c>
      <c r="J969" s="7">
        <v>2.8287060538206291E-2</v>
      </c>
      <c r="K969" s="5">
        <v>0.1509335697438558</v>
      </c>
      <c r="L969">
        <v>154.71211892970879</v>
      </c>
      <c r="M969" s="10">
        <v>-0.7379432816608692</v>
      </c>
      <c r="N969" s="24" t="s">
        <v>343</v>
      </c>
      <c r="O969" s="24">
        <v>6.723403100347852</v>
      </c>
      <c r="P969">
        <v>58.849036268040777</v>
      </c>
      <c r="Q969" t="s">
        <v>47</v>
      </c>
      <c r="R969" t="s">
        <v>350</v>
      </c>
      <c r="S969" t="s">
        <v>343</v>
      </c>
      <c r="T969" t="s">
        <v>343</v>
      </c>
    </row>
    <row r="970" spans="2:20" x14ac:dyDescent="0.25">
      <c r="B970">
        <v>965</v>
      </c>
      <c r="C970" t="s">
        <v>1309</v>
      </c>
      <c r="D970" s="10">
        <v>0.29982241241000251</v>
      </c>
      <c r="E970" s="10">
        <v>0.5786832009201448</v>
      </c>
      <c r="F970" s="10">
        <v>0.49216900402419578</v>
      </c>
      <c r="G970" s="10">
        <v>0.34423319262421148</v>
      </c>
      <c r="H970" s="6">
        <v>0.22137433969817369</v>
      </c>
      <c r="I970" s="10">
        <v>11.378539603196041</v>
      </c>
      <c r="J970" s="7">
        <v>1.8989744123823728E-2</v>
      </c>
      <c r="K970" s="5">
        <v>0.14283451343401241</v>
      </c>
      <c r="L970">
        <v>118.3627064586145</v>
      </c>
      <c r="M970" s="10">
        <v>-0.79951316908551406</v>
      </c>
      <c r="N970" s="24" t="s">
        <v>343</v>
      </c>
      <c r="O970" s="24">
        <v>3.0292098548691579</v>
      </c>
      <c r="P970">
        <v>22.75580976278663</v>
      </c>
      <c r="Q970" t="s">
        <v>348</v>
      </c>
      <c r="R970" t="s">
        <v>371</v>
      </c>
      <c r="S970" t="s">
        <v>343</v>
      </c>
      <c r="T970" t="s">
        <v>343</v>
      </c>
    </row>
    <row r="971" spans="2:20" x14ac:dyDescent="0.25">
      <c r="B971">
        <v>966</v>
      </c>
      <c r="C971" t="s">
        <v>1310</v>
      </c>
      <c r="D971" s="10">
        <v>0.25558609634724933</v>
      </c>
      <c r="E971" s="10">
        <v>1.2000610157211531</v>
      </c>
      <c r="F971" s="10">
        <v>0.48120722402739241</v>
      </c>
      <c r="G971" s="10">
        <v>0.34659821539148161</v>
      </c>
      <c r="H971" s="6">
        <v>0.23387066202038859</v>
      </c>
      <c r="I971" s="10">
        <v>4.7905437241312274</v>
      </c>
      <c r="J971" s="7">
        <v>4.1429388625236888E-2</v>
      </c>
      <c r="K971" s="5">
        <v>0.17477814216082779</v>
      </c>
      <c r="L971">
        <v>122.2389425795035</v>
      </c>
      <c r="M971" s="10">
        <v>-0.79294746677095085</v>
      </c>
      <c r="N971" s="24" t="s">
        <v>343</v>
      </c>
      <c r="O971" s="24">
        <v>3.4231519937429482</v>
      </c>
      <c r="P971">
        <v>23.751493701621879</v>
      </c>
      <c r="Q971" t="s">
        <v>348</v>
      </c>
      <c r="R971" t="s">
        <v>375</v>
      </c>
      <c r="S971" t="s">
        <v>343</v>
      </c>
      <c r="T971" t="s">
        <v>343</v>
      </c>
    </row>
    <row r="972" spans="2:20" x14ac:dyDescent="0.25">
      <c r="B972">
        <v>967</v>
      </c>
      <c r="C972" t="s">
        <v>1311</v>
      </c>
      <c r="D972" s="10">
        <v>0.25608269766938452</v>
      </c>
      <c r="E972" s="10">
        <v>1.3843966163948671</v>
      </c>
      <c r="F972" s="10">
        <v>0.46002128263257058</v>
      </c>
      <c r="G972" s="10">
        <v>0.39774838229157777</v>
      </c>
      <c r="H972" s="6">
        <v>0.22437142968969831</v>
      </c>
      <c r="I972" s="10">
        <v>9.5387927104104122</v>
      </c>
      <c r="J972" s="7">
        <v>1.6289819239758609E-2</v>
      </c>
      <c r="K972" s="5">
        <v>0.18883651690125081</v>
      </c>
      <c r="L972">
        <v>191.22455829266971</v>
      </c>
      <c r="M972" s="10">
        <v>-0.67609725366896201</v>
      </c>
      <c r="N972" s="24" t="s">
        <v>343</v>
      </c>
      <c r="O972" s="24">
        <v>10.434164779862281</v>
      </c>
      <c r="P972">
        <v>50.460489311375703</v>
      </c>
      <c r="Q972" t="s">
        <v>47</v>
      </c>
      <c r="R972" t="s">
        <v>350</v>
      </c>
      <c r="S972" t="s">
        <v>343</v>
      </c>
      <c r="T972" t="s">
        <v>343</v>
      </c>
    </row>
    <row r="973" spans="2:20" x14ac:dyDescent="0.25">
      <c r="B973">
        <v>968</v>
      </c>
      <c r="C973" t="s">
        <v>1312</v>
      </c>
      <c r="D973" s="10">
        <v>0.2664058679274009</v>
      </c>
      <c r="E973" s="10">
        <v>0.58197590118198361</v>
      </c>
      <c r="F973" s="10">
        <v>0.67711369335725724</v>
      </c>
      <c r="G973" s="10">
        <v>0.31963317615786407</v>
      </c>
      <c r="H973" s="6">
        <v>0.24681183124422759</v>
      </c>
      <c r="I973" s="10">
        <v>10.693306920819509</v>
      </c>
      <c r="J973" s="7">
        <v>3.1367061566303582E-2</v>
      </c>
      <c r="K973" s="5">
        <v>0.1794480466634682</v>
      </c>
      <c r="L973">
        <v>174.67737765053641</v>
      </c>
      <c r="M973" s="10">
        <v>-0.70412543844750786</v>
      </c>
      <c r="N973" s="24" t="s">
        <v>343</v>
      </c>
      <c r="O973" s="24">
        <v>8.7524736931495326</v>
      </c>
      <c r="P973">
        <v>58.222131685542671</v>
      </c>
      <c r="Q973" t="s">
        <v>47</v>
      </c>
      <c r="R973" t="s">
        <v>350</v>
      </c>
      <c r="S973" t="s">
        <v>343</v>
      </c>
      <c r="T973" t="s">
        <v>343</v>
      </c>
    </row>
    <row r="974" spans="2:20" x14ac:dyDescent="0.25">
      <c r="B974">
        <v>969</v>
      </c>
      <c r="C974" t="s">
        <v>1313</v>
      </c>
      <c r="D974" s="10">
        <v>0.1880594045797519</v>
      </c>
      <c r="E974" s="10">
        <v>0.36174474682317947</v>
      </c>
      <c r="F974" s="10">
        <v>0.50059815676066133</v>
      </c>
      <c r="G974" s="10">
        <v>0.31770559443250201</v>
      </c>
      <c r="H974" s="6">
        <v>0.15343596964230599</v>
      </c>
      <c r="I974" s="10">
        <v>7.0316004047768423</v>
      </c>
      <c r="J974" s="7">
        <v>3.7980894154050877E-2</v>
      </c>
      <c r="K974" s="5">
        <v>0.13695877386796451</v>
      </c>
      <c r="L974">
        <v>121.0593506837418</v>
      </c>
      <c r="M974" s="10">
        <v>-0.7949455001720912</v>
      </c>
      <c r="N974" s="24" t="s">
        <v>343</v>
      </c>
      <c r="O974" s="24">
        <v>3.3032699896745328</v>
      </c>
      <c r="P974">
        <v>66.220938260612655</v>
      </c>
      <c r="Q974" t="s">
        <v>47</v>
      </c>
      <c r="R974" t="s">
        <v>350</v>
      </c>
      <c r="S974" t="s">
        <v>343</v>
      </c>
      <c r="T974" t="s">
        <v>343</v>
      </c>
    </row>
    <row r="975" spans="2:20" x14ac:dyDescent="0.25">
      <c r="B975">
        <v>970</v>
      </c>
      <c r="C975" t="s">
        <v>1314</v>
      </c>
      <c r="D975" s="10">
        <v>0.30630591134799362</v>
      </c>
      <c r="E975" s="10">
        <v>1.1970966811609081</v>
      </c>
      <c r="F975" s="10">
        <v>0.529482516955469</v>
      </c>
      <c r="G975" s="10">
        <v>0.40652380527804571</v>
      </c>
      <c r="H975" s="6">
        <v>0.20546501193247441</v>
      </c>
      <c r="I975" s="10">
        <v>9.9585246730938586</v>
      </c>
      <c r="J975" s="7">
        <v>3.0838956138935659E-2</v>
      </c>
      <c r="K975" s="5">
        <v>0.1205310316176792</v>
      </c>
      <c r="L975">
        <v>338.39204980927218</v>
      </c>
      <c r="M975" s="10">
        <v>-0.42681988522593289</v>
      </c>
      <c r="N975" s="24" t="s">
        <v>343</v>
      </c>
      <c r="O975" s="24">
        <v>25.390806886444029</v>
      </c>
      <c r="P975">
        <v>55.206864698964552</v>
      </c>
      <c r="Q975" t="s">
        <v>47</v>
      </c>
      <c r="R975" t="s">
        <v>350</v>
      </c>
      <c r="S975" t="s">
        <v>343</v>
      </c>
      <c r="T975" t="s">
        <v>343</v>
      </c>
    </row>
    <row r="976" spans="2:20" x14ac:dyDescent="0.25">
      <c r="B976">
        <v>971</v>
      </c>
      <c r="C976" t="s">
        <v>1315</v>
      </c>
      <c r="D976" s="10">
        <v>0.2270032839827317</v>
      </c>
      <c r="E976" s="10">
        <v>0.98225305778823158</v>
      </c>
      <c r="F976" s="10">
        <v>0.51293117217814754</v>
      </c>
      <c r="G976" s="10">
        <v>0.41160918408408831</v>
      </c>
      <c r="H976" s="6">
        <v>0.17401430361319881</v>
      </c>
      <c r="I976" s="10">
        <v>11.40656147811351</v>
      </c>
      <c r="J976" s="7">
        <v>1.27571326254395E-2</v>
      </c>
      <c r="K976" s="5">
        <v>0.18687644901632311</v>
      </c>
      <c r="L976">
        <v>326.86719106809687</v>
      </c>
      <c r="M976" s="10">
        <v>-0.44634108810213818</v>
      </c>
      <c r="N976" s="24" t="s">
        <v>343</v>
      </c>
      <c r="O976" s="24">
        <v>24.21953471387171</v>
      </c>
      <c r="P976">
        <v>58.511902209600798</v>
      </c>
      <c r="Q976" t="s">
        <v>47</v>
      </c>
      <c r="R976" t="s">
        <v>350</v>
      </c>
      <c r="S976" t="s">
        <v>343</v>
      </c>
      <c r="T976" t="s">
        <v>343</v>
      </c>
    </row>
    <row r="977" spans="2:20" x14ac:dyDescent="0.25">
      <c r="B977">
        <v>972</v>
      </c>
      <c r="C977" t="s">
        <v>1316</v>
      </c>
      <c r="D977" s="10">
        <v>0.2213021645199196</v>
      </c>
      <c r="E977" s="10">
        <v>1.3556686806061049</v>
      </c>
      <c r="F977" s="10">
        <v>0.54754239667880567</v>
      </c>
      <c r="G977" s="10">
        <v>0.2431677299572203</v>
      </c>
      <c r="H977" s="6">
        <v>0.26431685355024642</v>
      </c>
      <c r="I977" s="10">
        <v>5.0253617461658706</v>
      </c>
      <c r="J977" s="7">
        <v>3.1400640756220052E-2</v>
      </c>
      <c r="K977" s="5">
        <v>0.13666426688653099</v>
      </c>
      <c r="L977">
        <v>222.34034730926149</v>
      </c>
      <c r="M977" s="10">
        <v>-0.62339225799938869</v>
      </c>
      <c r="N977" s="24" t="s">
        <v>343</v>
      </c>
      <c r="O977" s="24">
        <v>13.59646452003668</v>
      </c>
      <c r="P977">
        <v>52.552721830066538</v>
      </c>
      <c r="Q977" t="s">
        <v>47</v>
      </c>
      <c r="R977" t="s">
        <v>350</v>
      </c>
      <c r="S977" t="s">
        <v>343</v>
      </c>
      <c r="T977" t="s">
        <v>343</v>
      </c>
    </row>
    <row r="978" spans="2:20" x14ac:dyDescent="0.25">
      <c r="B978">
        <v>973</v>
      </c>
      <c r="C978" t="s">
        <v>1317</v>
      </c>
      <c r="D978" s="10">
        <v>0.243026832845254</v>
      </c>
      <c r="E978" s="10">
        <v>0.57746314098464735</v>
      </c>
      <c r="F978" s="10">
        <v>0.62565268783944561</v>
      </c>
      <c r="G978" s="10">
        <v>0.27163390468496118</v>
      </c>
      <c r="H978" s="6">
        <v>0.18604192851222359</v>
      </c>
      <c r="I978" s="10">
        <v>9.6094636172123327</v>
      </c>
      <c r="J978" s="7">
        <v>3.6847776273902212E-2</v>
      </c>
      <c r="K978" s="5">
        <v>0.17316962922762749</v>
      </c>
      <c r="L978">
        <v>101.2859852434903</v>
      </c>
      <c r="M978" s="10">
        <v>-0.82843830793427387</v>
      </c>
      <c r="N978" s="24" t="s">
        <v>343</v>
      </c>
      <c r="O978" s="24">
        <v>1.2937015239435681</v>
      </c>
      <c r="P978">
        <v>56.525139261919357</v>
      </c>
      <c r="Q978" t="s">
        <v>47</v>
      </c>
      <c r="R978" t="s">
        <v>350</v>
      </c>
      <c r="S978" t="s">
        <v>343</v>
      </c>
      <c r="T978" t="s">
        <v>343</v>
      </c>
    </row>
    <row r="979" spans="2:20" x14ac:dyDescent="0.25">
      <c r="B979">
        <v>974</v>
      </c>
      <c r="C979" t="s">
        <v>1318</v>
      </c>
      <c r="D979" s="10">
        <v>0.1675145546840088</v>
      </c>
      <c r="E979" s="10">
        <v>0.37813042380140921</v>
      </c>
      <c r="F979" s="10">
        <v>0.66635486476883399</v>
      </c>
      <c r="G979" s="10">
        <v>0.28688159985266548</v>
      </c>
      <c r="H979" s="6">
        <v>0.26395708997003348</v>
      </c>
      <c r="I979" s="10">
        <v>11.07271448984956</v>
      </c>
      <c r="J979" s="7">
        <v>1.657398555985326E-2</v>
      </c>
      <c r="K979" s="5">
        <v>0.19400509741522459</v>
      </c>
      <c r="L979">
        <v>46.56014436982214</v>
      </c>
      <c r="M979" s="10">
        <v>-0.92113482302898786</v>
      </c>
      <c r="N979" s="24" t="s">
        <v>343</v>
      </c>
      <c r="O979" s="24">
        <v>0</v>
      </c>
      <c r="P979">
        <v>54.47185793280071</v>
      </c>
      <c r="Q979" t="s">
        <v>47</v>
      </c>
      <c r="R979" t="s">
        <v>350</v>
      </c>
      <c r="S979" t="s">
        <v>343</v>
      </c>
      <c r="T979" t="s">
        <v>343</v>
      </c>
    </row>
    <row r="980" spans="2:20" x14ac:dyDescent="0.25">
      <c r="B980">
        <v>975</v>
      </c>
      <c r="C980" t="s">
        <v>1319</v>
      </c>
      <c r="D980" s="10">
        <v>0.1866053390009727</v>
      </c>
      <c r="E980" s="10">
        <v>0.84168648695315174</v>
      </c>
      <c r="F980" s="10">
        <v>0.48747567487742038</v>
      </c>
      <c r="G980" s="10">
        <v>0.31735210312673279</v>
      </c>
      <c r="H980" s="6">
        <v>0.2353598481088659</v>
      </c>
      <c r="I980" s="10">
        <v>6.927528983582885</v>
      </c>
      <c r="J980" s="7">
        <v>3.5793349958430157E-2</v>
      </c>
      <c r="K980" s="5">
        <v>0.1548570547439512</v>
      </c>
      <c r="L980">
        <v>112.4461942713089</v>
      </c>
      <c r="M980" s="10">
        <v>-0.80953476130818425</v>
      </c>
      <c r="N980" s="24" t="s">
        <v>343</v>
      </c>
      <c r="O980" s="24">
        <v>2.4279143215089429</v>
      </c>
      <c r="P980">
        <v>68.384863368706732</v>
      </c>
      <c r="Q980" t="s">
        <v>47</v>
      </c>
      <c r="R980" t="s">
        <v>350</v>
      </c>
      <c r="S980" t="s">
        <v>343</v>
      </c>
      <c r="T980" t="s">
        <v>343</v>
      </c>
    </row>
    <row r="981" spans="2:20" x14ac:dyDescent="0.25">
      <c r="B981">
        <v>976</v>
      </c>
      <c r="C981" t="s">
        <v>1320</v>
      </c>
      <c r="D981" s="10">
        <v>0.27808537862821919</v>
      </c>
      <c r="E981" s="10">
        <v>0.39401262526166231</v>
      </c>
      <c r="F981" s="10">
        <v>0.61846720937270283</v>
      </c>
      <c r="G981" s="10">
        <v>0.30411857835502959</v>
      </c>
      <c r="H981" s="6">
        <v>0.22776957931030489</v>
      </c>
      <c r="I981" s="10">
        <v>4.7874027392819984</v>
      </c>
      <c r="J981" s="7">
        <v>4.0750219782580407E-2</v>
      </c>
      <c r="K981" s="5">
        <v>0.14558864449504411</v>
      </c>
      <c r="L981">
        <v>68.638670244596241</v>
      </c>
      <c r="M981" s="10">
        <v>-0.88373745508822821</v>
      </c>
      <c r="N981" s="24" t="s">
        <v>343</v>
      </c>
      <c r="O981" s="24">
        <v>0</v>
      </c>
      <c r="P981">
        <v>52.431843849936719</v>
      </c>
      <c r="Q981" t="s">
        <v>47</v>
      </c>
      <c r="R981" t="s">
        <v>350</v>
      </c>
      <c r="S981" t="s">
        <v>343</v>
      </c>
      <c r="T981" t="s">
        <v>343</v>
      </c>
    </row>
    <row r="982" spans="2:20" x14ac:dyDescent="0.25">
      <c r="B982">
        <v>977</v>
      </c>
      <c r="C982" t="s">
        <v>1321</v>
      </c>
      <c r="D982" s="10">
        <v>0.1732477868680202</v>
      </c>
      <c r="E982" s="10">
        <v>0.58796900121297813</v>
      </c>
      <c r="F982" s="10">
        <v>0.53166615698304609</v>
      </c>
      <c r="G982" s="10">
        <v>0.38707441064542081</v>
      </c>
      <c r="H982" s="6">
        <v>0.19373455678827409</v>
      </c>
      <c r="I982" s="10">
        <v>6.1472762323686583</v>
      </c>
      <c r="J982" s="7">
        <v>4.4526047315267957E-2</v>
      </c>
      <c r="K982" s="5">
        <v>0.16648772433571549</v>
      </c>
      <c r="L982">
        <v>115.62735022193939</v>
      </c>
      <c r="M982" s="10">
        <v>-0.80414640973809171</v>
      </c>
      <c r="N982" s="24" t="s">
        <v>343</v>
      </c>
      <c r="O982" s="24">
        <v>2.7512154157144981</v>
      </c>
      <c r="P982">
        <v>68.387365496918562</v>
      </c>
      <c r="Q982" t="s">
        <v>47</v>
      </c>
      <c r="R982" t="s">
        <v>350</v>
      </c>
      <c r="S982" t="s">
        <v>343</v>
      </c>
      <c r="T982" t="s">
        <v>343</v>
      </c>
    </row>
    <row r="983" spans="2:20" x14ac:dyDescent="0.25">
      <c r="B983">
        <v>978</v>
      </c>
      <c r="C983" t="s">
        <v>1322</v>
      </c>
      <c r="D983" s="10">
        <v>0.25650433751462209</v>
      </c>
      <c r="E983" s="10">
        <v>0.43857564690108508</v>
      </c>
      <c r="F983" s="10">
        <v>0.69493706375729603</v>
      </c>
      <c r="G983" s="10">
        <v>0.42218975143665077</v>
      </c>
      <c r="H983" s="6">
        <v>0.1865067201383403</v>
      </c>
      <c r="I983" s="10">
        <v>13.26382133523812</v>
      </c>
      <c r="J983" s="7">
        <v>2.4352074232449821E-2</v>
      </c>
      <c r="K983" s="5">
        <v>0.1184234431751109</v>
      </c>
      <c r="L983">
        <v>295.36697123020389</v>
      </c>
      <c r="M983" s="10">
        <v>-0.49969724594410991</v>
      </c>
      <c r="N983" s="24" t="s">
        <v>343</v>
      </c>
      <c r="O983" s="24">
        <v>21.018165243353401</v>
      </c>
      <c r="P983">
        <v>50.437269788420743</v>
      </c>
      <c r="Q983" t="s">
        <v>47</v>
      </c>
      <c r="R983" t="s">
        <v>350</v>
      </c>
      <c r="S983" t="s">
        <v>343</v>
      </c>
      <c r="T983" t="s">
        <v>343</v>
      </c>
    </row>
    <row r="984" spans="2:20" x14ac:dyDescent="0.25">
      <c r="B984">
        <v>979</v>
      </c>
      <c r="C984" t="s">
        <v>1323</v>
      </c>
      <c r="D984" s="10">
        <v>0.1992558575490114</v>
      </c>
      <c r="E984" s="10">
        <v>0.54654539762608656</v>
      </c>
      <c r="F984" s="10">
        <v>0.51771898141385997</v>
      </c>
      <c r="G984" s="10">
        <v>0.28225913611832532</v>
      </c>
      <c r="H984" s="6">
        <v>0.19898222812776109</v>
      </c>
      <c r="I984" s="10">
        <v>6.9319275024253084</v>
      </c>
      <c r="J984" s="7">
        <v>1.088068339010514E-2</v>
      </c>
      <c r="K984" s="5">
        <v>0.14638277518587181</v>
      </c>
      <c r="L984">
        <v>74.813445968833619</v>
      </c>
      <c r="M984" s="10">
        <v>-0.87327840718708116</v>
      </c>
      <c r="N984" s="24" t="s">
        <v>343</v>
      </c>
      <c r="O984" s="24">
        <v>0</v>
      </c>
      <c r="P984">
        <v>69.51341114572746</v>
      </c>
      <c r="Q984" t="s">
        <v>47</v>
      </c>
      <c r="R984" t="s">
        <v>350</v>
      </c>
      <c r="S984" t="s">
        <v>343</v>
      </c>
      <c r="T984" t="s">
        <v>343</v>
      </c>
    </row>
    <row r="985" spans="2:20" x14ac:dyDescent="0.25">
      <c r="B985">
        <v>980</v>
      </c>
      <c r="C985" t="s">
        <v>1324</v>
      </c>
      <c r="D985" s="10">
        <v>0.22228729824671631</v>
      </c>
      <c r="E985" s="10">
        <v>0.416759118103531</v>
      </c>
      <c r="F985" s="10">
        <v>0.44187016856204359</v>
      </c>
      <c r="G985" s="10">
        <v>0.36385561333242872</v>
      </c>
      <c r="H985" s="6">
        <v>0.16404495943904299</v>
      </c>
      <c r="I985" s="10">
        <v>4.184706465347702</v>
      </c>
      <c r="J985" s="7">
        <v>2.466776501477165E-2</v>
      </c>
      <c r="K985" s="5">
        <v>0.12967142192548101</v>
      </c>
      <c r="L985">
        <v>61.711743104352543</v>
      </c>
      <c r="M985" s="10">
        <v>-0.89547052297653795</v>
      </c>
      <c r="N985" s="24" t="s">
        <v>343</v>
      </c>
      <c r="O985" s="24">
        <v>0</v>
      </c>
      <c r="P985">
        <v>63.379753430818042</v>
      </c>
      <c r="Q985" t="s">
        <v>47</v>
      </c>
      <c r="R985" t="s">
        <v>350</v>
      </c>
      <c r="S985" t="s">
        <v>343</v>
      </c>
      <c r="T985" t="s">
        <v>343</v>
      </c>
    </row>
    <row r="986" spans="2:20" x14ac:dyDescent="0.25">
      <c r="B986">
        <v>981</v>
      </c>
      <c r="C986" t="s">
        <v>1325</v>
      </c>
      <c r="D986" s="10">
        <v>0.20619099788331199</v>
      </c>
      <c r="E986" s="10">
        <v>1.3492965993700139</v>
      </c>
      <c r="F986" s="10">
        <v>0.57406639324515973</v>
      </c>
      <c r="G986" s="10">
        <v>0.32091957523782788</v>
      </c>
      <c r="H986" s="6">
        <v>0.25567649097577011</v>
      </c>
      <c r="I986" s="10">
        <v>3.909991584142618</v>
      </c>
      <c r="J986" s="7">
        <v>3.3107974405672182E-2</v>
      </c>
      <c r="K986" s="5">
        <v>0.1156016477141896</v>
      </c>
      <c r="L986">
        <v>226.76607344259889</v>
      </c>
      <c r="M986" s="10">
        <v>-0.61589581056661147</v>
      </c>
      <c r="N986" s="24" t="s">
        <v>343</v>
      </c>
      <c r="O986" s="24">
        <v>14.046251366003309</v>
      </c>
      <c r="P986">
        <v>62.128932237775693</v>
      </c>
      <c r="Q986" t="s">
        <v>47</v>
      </c>
      <c r="R986" t="s">
        <v>350</v>
      </c>
      <c r="S986" t="s">
        <v>343</v>
      </c>
      <c r="T986" t="s">
        <v>343</v>
      </c>
    </row>
    <row r="987" spans="2:20" x14ac:dyDescent="0.25">
      <c r="B987">
        <v>982</v>
      </c>
      <c r="C987" t="s">
        <v>1326</v>
      </c>
      <c r="D987" s="10">
        <v>0.21690763463439189</v>
      </c>
      <c r="E987" s="10">
        <v>0.60641898479470902</v>
      </c>
      <c r="F987" s="10">
        <v>0.47919008191174378</v>
      </c>
      <c r="G987" s="10">
        <v>0.35127113251013359</v>
      </c>
      <c r="H987" s="6">
        <v>0.239149598289805</v>
      </c>
      <c r="I987" s="10">
        <v>4.9854457231822824</v>
      </c>
      <c r="J987" s="7">
        <v>4.119777632649136E-2</v>
      </c>
      <c r="K987" s="5">
        <v>0.1579629721579405</v>
      </c>
      <c r="L987">
        <v>115.7400381437532</v>
      </c>
      <c r="M987" s="10">
        <v>-0.80395553505295858</v>
      </c>
      <c r="N987" s="24" t="s">
        <v>343</v>
      </c>
      <c r="O987" s="24">
        <v>2.7626678968224851</v>
      </c>
      <c r="P987">
        <v>58.289399587503567</v>
      </c>
      <c r="Q987" t="s">
        <v>47</v>
      </c>
      <c r="R987" t="s">
        <v>350</v>
      </c>
      <c r="S987" t="s">
        <v>343</v>
      </c>
      <c r="T987" t="s">
        <v>343</v>
      </c>
    </row>
    <row r="988" spans="2:20" x14ac:dyDescent="0.25">
      <c r="B988">
        <v>983</v>
      </c>
      <c r="C988" t="s">
        <v>1327</v>
      </c>
      <c r="D988" s="10">
        <v>0.27504734482947929</v>
      </c>
      <c r="E988" s="10">
        <v>0.78828734459182193</v>
      </c>
      <c r="F988" s="10">
        <v>0.45156855097278381</v>
      </c>
      <c r="G988" s="10">
        <v>0.37656672519234669</v>
      </c>
      <c r="H988" s="6">
        <v>0.24020937814875659</v>
      </c>
      <c r="I988" s="10">
        <v>4.4026356925872694</v>
      </c>
      <c r="J988" s="7">
        <v>4.2833702731314788E-2</v>
      </c>
      <c r="K988" s="5">
        <v>0.15469207811852401</v>
      </c>
      <c r="L988">
        <v>198.51553340410879</v>
      </c>
      <c r="M988" s="10">
        <v>-0.66374754878214515</v>
      </c>
      <c r="N988" s="24" t="s">
        <v>343</v>
      </c>
      <c r="O988" s="24">
        <v>11.17514707307129</v>
      </c>
      <c r="P988">
        <v>58.39084250010761</v>
      </c>
      <c r="Q988" t="s">
        <v>47</v>
      </c>
      <c r="R988" t="s">
        <v>350</v>
      </c>
      <c r="S988" t="s">
        <v>343</v>
      </c>
      <c r="T988" t="s">
        <v>343</v>
      </c>
    </row>
    <row r="989" spans="2:20" x14ac:dyDescent="0.25">
      <c r="B989">
        <v>984</v>
      </c>
      <c r="C989" t="s">
        <v>1328</v>
      </c>
      <c r="D989" s="10">
        <v>0.207539474499708</v>
      </c>
      <c r="E989" s="10">
        <v>1.288472988397644</v>
      </c>
      <c r="F989" s="10">
        <v>0.62155000030640417</v>
      </c>
      <c r="G989" s="10">
        <v>0.43659196011004242</v>
      </c>
      <c r="H989" s="6">
        <v>0.18497303931741541</v>
      </c>
      <c r="I989" s="10">
        <v>8.4454802595284981</v>
      </c>
      <c r="J989" s="7">
        <v>4.1835152546122467E-2</v>
      </c>
      <c r="K989" s="5">
        <v>0.1723143419755413</v>
      </c>
      <c r="L989">
        <v>386.85318632432558</v>
      </c>
      <c r="M989" s="10">
        <v>-0.34473474225216633</v>
      </c>
      <c r="N989" s="24" t="s">
        <v>343</v>
      </c>
      <c r="O989" s="24">
        <v>30.31591546487002</v>
      </c>
      <c r="P989">
        <v>57.163640396624281</v>
      </c>
      <c r="Q989" t="s">
        <v>47</v>
      </c>
      <c r="R989" t="s">
        <v>350</v>
      </c>
      <c r="S989" t="s">
        <v>343</v>
      </c>
      <c r="T989" t="s">
        <v>343</v>
      </c>
    </row>
    <row r="990" spans="2:20" x14ac:dyDescent="0.25">
      <c r="B990">
        <v>985</v>
      </c>
      <c r="C990" t="s">
        <v>1329</v>
      </c>
      <c r="D990" s="10">
        <v>0.25062474244750349</v>
      </c>
      <c r="E990" s="10">
        <v>1.045053746757622</v>
      </c>
      <c r="F990" s="10">
        <v>0.63038741345219862</v>
      </c>
      <c r="G990" s="10">
        <v>0.28230438692200183</v>
      </c>
      <c r="H990" s="6">
        <v>0.13066334223663259</v>
      </c>
      <c r="I990" s="10">
        <v>6.8230658859316966</v>
      </c>
      <c r="J990" s="7">
        <v>3.302859203816811E-2</v>
      </c>
      <c r="K990" s="5">
        <v>0.18293216180292929</v>
      </c>
      <c r="L990">
        <v>171.68595693993581</v>
      </c>
      <c r="M990" s="10">
        <v>-0.70919240992986377</v>
      </c>
      <c r="N990" s="24" t="s">
        <v>343</v>
      </c>
      <c r="O990" s="24">
        <v>8.448455404208179</v>
      </c>
      <c r="P990">
        <v>57.836133919679888</v>
      </c>
      <c r="Q990" t="s">
        <v>47</v>
      </c>
      <c r="R990" t="s">
        <v>350</v>
      </c>
      <c r="S990" t="s">
        <v>343</v>
      </c>
      <c r="T990" t="s">
        <v>343</v>
      </c>
    </row>
    <row r="991" spans="2:20" x14ac:dyDescent="0.25">
      <c r="B991">
        <v>986</v>
      </c>
      <c r="C991" t="s">
        <v>1330</v>
      </c>
      <c r="D991" s="10">
        <v>0.23616806435185589</v>
      </c>
      <c r="E991" s="10">
        <v>0.97984122861795164</v>
      </c>
      <c r="F991" s="10">
        <v>0.55978174341029063</v>
      </c>
      <c r="G991" s="10">
        <v>0.25914144915233328</v>
      </c>
      <c r="H991" s="6">
        <v>0.2224615976889418</v>
      </c>
      <c r="I991" s="10">
        <v>12.255462201515909</v>
      </c>
      <c r="J991" s="7">
        <v>3.3888306490305969E-2</v>
      </c>
      <c r="K991" s="5">
        <v>0.12093571867198449</v>
      </c>
      <c r="L991">
        <v>247.56687709998539</v>
      </c>
      <c r="M991" s="10">
        <v>-0.58066269254727976</v>
      </c>
      <c r="N991" s="24" t="s">
        <v>343</v>
      </c>
      <c r="O991" s="24">
        <v>16.16023844716322</v>
      </c>
      <c r="P991">
        <v>58.604921136882282</v>
      </c>
      <c r="Q991" t="s">
        <v>47</v>
      </c>
      <c r="R991" t="s">
        <v>350</v>
      </c>
      <c r="S991" t="s">
        <v>343</v>
      </c>
      <c r="T991" t="s">
        <v>343</v>
      </c>
    </row>
    <row r="992" spans="2:20" x14ac:dyDescent="0.25">
      <c r="B992">
        <v>987</v>
      </c>
      <c r="C992" t="s">
        <v>1331</v>
      </c>
      <c r="D992" s="10">
        <v>0.2661873864580237</v>
      </c>
      <c r="E992" s="10">
        <v>1.0761195093969209</v>
      </c>
      <c r="F992" s="10">
        <v>0.61599023435671008</v>
      </c>
      <c r="G992" s="10">
        <v>0.37798662218997758</v>
      </c>
      <c r="H992" s="6">
        <v>0.17616203759571181</v>
      </c>
      <c r="I992" s="10">
        <v>12.691863856743391</v>
      </c>
      <c r="J992" s="7">
        <v>1.0083433250672069E-2</v>
      </c>
      <c r="K992" s="5">
        <v>0.17407175194511099</v>
      </c>
      <c r="L992">
        <v>385.46253236475383</v>
      </c>
      <c r="M992" s="10">
        <v>-0.3470902798500729</v>
      </c>
      <c r="N992" s="24" t="s">
        <v>343</v>
      </c>
      <c r="O992" s="24">
        <v>30.174583208995632</v>
      </c>
      <c r="P992">
        <v>51.560195716987778</v>
      </c>
      <c r="Q992" t="s">
        <v>47</v>
      </c>
      <c r="R992" t="s">
        <v>350</v>
      </c>
      <c r="S992" t="s">
        <v>343</v>
      </c>
      <c r="T992" t="s">
        <v>343</v>
      </c>
    </row>
    <row r="993" spans="2:20" x14ac:dyDescent="0.25">
      <c r="B993">
        <v>988</v>
      </c>
      <c r="C993" t="s">
        <v>1332</v>
      </c>
      <c r="D993" s="10">
        <v>0.30989275829196128</v>
      </c>
      <c r="E993" s="10">
        <v>1.21170448281592</v>
      </c>
      <c r="F993" s="10">
        <v>0.5799422565442548</v>
      </c>
      <c r="G993" s="10">
        <v>0.32670878672997777</v>
      </c>
      <c r="H993" s="6">
        <v>0.25056454686762381</v>
      </c>
      <c r="I993" s="10">
        <v>8.2060732667655785</v>
      </c>
      <c r="J993" s="7">
        <v>2.2730593519314061E-2</v>
      </c>
      <c r="K993" s="5">
        <v>0.13490159027152829</v>
      </c>
      <c r="L993">
        <v>381.31068751874659</v>
      </c>
      <c r="M993" s="10">
        <v>-0.35412281772056892</v>
      </c>
      <c r="N993" s="24" t="s">
        <v>343</v>
      </c>
      <c r="O993" s="24">
        <v>29.752630936765861</v>
      </c>
      <c r="P993">
        <v>58.152622508343967</v>
      </c>
      <c r="Q993" t="s">
        <v>47</v>
      </c>
      <c r="R993" t="s">
        <v>350</v>
      </c>
      <c r="S993" t="s">
        <v>343</v>
      </c>
      <c r="T993" t="s">
        <v>343</v>
      </c>
    </row>
    <row r="994" spans="2:20" x14ac:dyDescent="0.25">
      <c r="B994">
        <v>989</v>
      </c>
      <c r="C994" t="s">
        <v>1333</v>
      </c>
      <c r="D994" s="10">
        <v>0.27721153555364009</v>
      </c>
      <c r="E994" s="10">
        <v>1.265436194636937</v>
      </c>
      <c r="F994" s="10">
        <v>0.60374828800770219</v>
      </c>
      <c r="G994" s="10">
        <v>0.27583859252445753</v>
      </c>
      <c r="H994" s="6">
        <v>0.23705076576747949</v>
      </c>
      <c r="I994" s="10">
        <v>12.77379815021054</v>
      </c>
      <c r="J994" s="7">
        <v>4.1739968264074827E-2</v>
      </c>
      <c r="K994" s="5">
        <v>0.15973653217037539</v>
      </c>
      <c r="L994">
        <v>177.85306085188719</v>
      </c>
      <c r="M994" s="10">
        <v>-0.69874635680873332</v>
      </c>
      <c r="N994" s="24" t="s">
        <v>343</v>
      </c>
      <c r="O994" s="24">
        <v>9.075218591476002</v>
      </c>
      <c r="P994">
        <v>51.032796081001429</v>
      </c>
      <c r="Q994" t="s">
        <v>47</v>
      </c>
      <c r="R994" t="s">
        <v>350</v>
      </c>
      <c r="S994" t="s">
        <v>343</v>
      </c>
      <c r="T994" t="s">
        <v>343</v>
      </c>
    </row>
    <row r="995" spans="2:20" x14ac:dyDescent="0.25">
      <c r="B995">
        <v>990</v>
      </c>
      <c r="C995" t="s">
        <v>1334</v>
      </c>
      <c r="D995" s="10">
        <v>0.19439046057452111</v>
      </c>
      <c r="E995" s="10">
        <v>1.006903637731529</v>
      </c>
      <c r="F995" s="10">
        <v>0.59514303302886984</v>
      </c>
      <c r="G995" s="10">
        <v>0.26575917681806582</v>
      </c>
      <c r="H995" s="6">
        <v>0.1417992212984634</v>
      </c>
      <c r="I995" s="10">
        <v>7.9550780260411083</v>
      </c>
      <c r="J995" s="7">
        <v>3.4136618247498363E-2</v>
      </c>
      <c r="K995" s="5">
        <v>0.18077280262160211</v>
      </c>
      <c r="L995">
        <v>93.336336267855614</v>
      </c>
      <c r="M995" s="10">
        <v>-0.84190369730981052</v>
      </c>
      <c r="N995" s="24" t="s">
        <v>343</v>
      </c>
      <c r="O995" s="24">
        <v>0.48577816141137481</v>
      </c>
      <c r="P995">
        <v>57.220797013419897</v>
      </c>
      <c r="Q995" t="s">
        <v>47</v>
      </c>
      <c r="R995" t="s">
        <v>350</v>
      </c>
      <c r="S995" t="s">
        <v>343</v>
      </c>
      <c r="T995" t="s">
        <v>343</v>
      </c>
    </row>
    <row r="996" spans="2:20" x14ac:dyDescent="0.25">
      <c r="B996">
        <v>991</v>
      </c>
      <c r="C996" t="s">
        <v>1335</v>
      </c>
      <c r="D996" s="10">
        <v>0.16498930160980549</v>
      </c>
      <c r="E996" s="10">
        <v>1.2790080021634631</v>
      </c>
      <c r="F996" s="10">
        <v>0.61311391865445397</v>
      </c>
      <c r="G996" s="10">
        <v>0.36296015311228658</v>
      </c>
      <c r="H996" s="6">
        <v>0.2102573595807771</v>
      </c>
      <c r="I996" s="10">
        <v>10.061583363398951</v>
      </c>
      <c r="J996" s="7">
        <v>2.6377226287613399E-2</v>
      </c>
      <c r="K996" s="5">
        <v>0.1243375859521528</v>
      </c>
      <c r="L996">
        <v>291.38265564110191</v>
      </c>
      <c r="M996" s="10">
        <v>-0.50644601698629232</v>
      </c>
      <c r="N996" s="24" t="s">
        <v>343</v>
      </c>
      <c r="O996" s="24">
        <v>20.613238980822459</v>
      </c>
      <c r="P996">
        <v>55.370647859022071</v>
      </c>
      <c r="Q996" t="s">
        <v>47</v>
      </c>
      <c r="R996" t="s">
        <v>350</v>
      </c>
      <c r="S996" t="s">
        <v>343</v>
      </c>
      <c r="T996" t="s">
        <v>343</v>
      </c>
    </row>
    <row r="997" spans="2:20" x14ac:dyDescent="0.25">
      <c r="B997">
        <v>992</v>
      </c>
      <c r="C997" t="s">
        <v>1336</v>
      </c>
      <c r="D997" s="10">
        <v>0.201962247087972</v>
      </c>
      <c r="E997" s="10">
        <v>0.88893728016802442</v>
      </c>
      <c r="F997" s="10">
        <v>0.4919039686550245</v>
      </c>
      <c r="G997" s="10">
        <v>0.306103530796203</v>
      </c>
      <c r="H997" s="6">
        <v>0.22383208888907771</v>
      </c>
      <c r="I997" s="10">
        <v>4.7878831591252604</v>
      </c>
      <c r="J997" s="7">
        <v>1.364883452092004E-2</v>
      </c>
      <c r="K997" s="5">
        <v>0.15709132197675449</v>
      </c>
      <c r="L997">
        <v>99.282730964526408</v>
      </c>
      <c r="M997" s="10">
        <v>-0.8318314890630425</v>
      </c>
      <c r="N997" s="24" t="s">
        <v>343</v>
      </c>
      <c r="O997" s="24">
        <v>1.0901106562174481</v>
      </c>
      <c r="P997">
        <v>66.232508129318148</v>
      </c>
      <c r="Q997" t="s">
        <v>47</v>
      </c>
      <c r="R997" t="s">
        <v>350</v>
      </c>
      <c r="S997" t="s">
        <v>343</v>
      </c>
      <c r="T997" t="s">
        <v>343</v>
      </c>
    </row>
    <row r="998" spans="2:20" x14ac:dyDescent="0.25">
      <c r="B998">
        <v>993</v>
      </c>
      <c r="C998" t="s">
        <v>1337</v>
      </c>
      <c r="D998" s="10">
        <v>0.25521246891204069</v>
      </c>
      <c r="E998" s="10">
        <v>0.60501994189526576</v>
      </c>
      <c r="F998" s="10">
        <v>0.50986372120954204</v>
      </c>
      <c r="G998" s="10">
        <v>0.45943380350891522</v>
      </c>
      <c r="H998" s="6">
        <v>0.2052206369736542</v>
      </c>
      <c r="I998" s="10">
        <v>3.57840818004063</v>
      </c>
      <c r="J998" s="7">
        <v>1.8621083307700011E-2</v>
      </c>
      <c r="K998" s="5">
        <v>0.1456302933340172</v>
      </c>
      <c r="L998">
        <v>97.178030855836397</v>
      </c>
      <c r="M998" s="10">
        <v>-0.8353965026339697</v>
      </c>
      <c r="N998" s="24" t="s">
        <v>343</v>
      </c>
      <c r="O998" s="24">
        <v>0.87620984196182405</v>
      </c>
      <c r="P998">
        <v>57.808167266700167</v>
      </c>
      <c r="Q998" t="s">
        <v>47</v>
      </c>
      <c r="R998" t="s">
        <v>350</v>
      </c>
      <c r="S998" t="s">
        <v>343</v>
      </c>
      <c r="T998" t="s">
        <v>343</v>
      </c>
    </row>
    <row r="999" spans="2:20" x14ac:dyDescent="0.25">
      <c r="B999">
        <v>994</v>
      </c>
      <c r="C999" t="s">
        <v>1338</v>
      </c>
      <c r="D999" s="10">
        <v>0.16822813015748009</v>
      </c>
      <c r="E999" s="10">
        <v>1.268084379772229</v>
      </c>
      <c r="F999" s="10">
        <v>0.55439041887199991</v>
      </c>
      <c r="G999" s="10">
        <v>0.32929818025275709</v>
      </c>
      <c r="H999" s="6">
        <v>0.19710632642328921</v>
      </c>
      <c r="I999" s="10">
        <v>4.7609369404527708</v>
      </c>
      <c r="J999" s="7">
        <v>2.9422288123612299E-2</v>
      </c>
      <c r="K999" s="5">
        <v>0.1751048428778183</v>
      </c>
      <c r="L999">
        <v>143.9803642500076</v>
      </c>
      <c r="M999" s="10">
        <v>-0.75612109754781232</v>
      </c>
      <c r="N999" s="24" t="s">
        <v>343</v>
      </c>
      <c r="O999" s="24">
        <v>5.6327341471312593</v>
      </c>
      <c r="P999">
        <v>58.540980195531951</v>
      </c>
      <c r="Q999" t="s">
        <v>47</v>
      </c>
      <c r="R999" t="s">
        <v>350</v>
      </c>
      <c r="S999" t="s">
        <v>343</v>
      </c>
      <c r="T999" t="s">
        <v>343</v>
      </c>
    </row>
    <row r="1000" spans="2:20" x14ac:dyDescent="0.25">
      <c r="B1000">
        <v>995</v>
      </c>
      <c r="C1000" t="s">
        <v>1339</v>
      </c>
      <c r="D1000" s="10">
        <v>0.2394185995521978</v>
      </c>
      <c r="E1000" s="10">
        <v>0.89562011015439569</v>
      </c>
      <c r="F1000" s="10">
        <v>0.55599328244898849</v>
      </c>
      <c r="G1000" s="10">
        <v>0.28670305392834022</v>
      </c>
      <c r="H1000" s="6">
        <v>0.15417946125089119</v>
      </c>
      <c r="I1000" s="10">
        <v>5.7702975942994703</v>
      </c>
      <c r="J1000" s="7">
        <v>4.1412552976060828E-2</v>
      </c>
      <c r="K1000" s="5">
        <v>0.16623792339940499</v>
      </c>
      <c r="L1000">
        <v>121.3707353762827</v>
      </c>
      <c r="M1000" s="10">
        <v>-0.7944180660497171</v>
      </c>
      <c r="N1000" s="24" t="s">
        <v>343</v>
      </c>
      <c r="O1000" s="24">
        <v>3.3349160370169741</v>
      </c>
      <c r="P1000">
        <v>66.792353087020174</v>
      </c>
      <c r="Q1000" t="s">
        <v>47</v>
      </c>
      <c r="R1000" t="s">
        <v>350</v>
      </c>
      <c r="S1000" t="s">
        <v>343</v>
      </c>
      <c r="T1000" t="s">
        <v>343</v>
      </c>
    </row>
    <row r="1001" spans="2:20" x14ac:dyDescent="0.25">
      <c r="B1001">
        <v>996</v>
      </c>
      <c r="C1001" t="s">
        <v>1340</v>
      </c>
      <c r="D1001" s="10">
        <v>0.25549485582670228</v>
      </c>
      <c r="E1001" s="10">
        <v>1.2967513463239571</v>
      </c>
      <c r="F1001" s="10">
        <v>0.6413470450125951</v>
      </c>
      <c r="G1001" s="10">
        <v>0.37834678992580112</v>
      </c>
      <c r="H1001" s="6">
        <v>0.15538602666317769</v>
      </c>
      <c r="I1001" s="10">
        <v>11.2608008234438</v>
      </c>
      <c r="J1001" s="7">
        <v>1.335343216759759E-2</v>
      </c>
      <c r="K1001" s="5">
        <v>0.17311502441080789</v>
      </c>
      <c r="L1001">
        <v>266.34054552401409</v>
      </c>
      <c r="M1001" s="10">
        <v>-0.54886320604019401</v>
      </c>
      <c r="N1001" s="24" t="s">
        <v>343</v>
      </c>
      <c r="O1001" s="24">
        <v>18.068207637588358</v>
      </c>
      <c r="P1001">
        <v>56.230545597123502</v>
      </c>
      <c r="Q1001" t="s">
        <v>47</v>
      </c>
      <c r="R1001" t="s">
        <v>350</v>
      </c>
      <c r="S1001" t="s">
        <v>343</v>
      </c>
      <c r="T1001" t="s">
        <v>343</v>
      </c>
    </row>
    <row r="1002" spans="2:20" x14ac:dyDescent="0.25">
      <c r="B1002">
        <v>997</v>
      </c>
      <c r="C1002" t="s">
        <v>1341</v>
      </c>
      <c r="D1002" s="10">
        <v>0.21347902253071371</v>
      </c>
      <c r="E1002" s="10">
        <v>0.34418459534563928</v>
      </c>
      <c r="F1002" s="10">
        <v>0.5355223513996783</v>
      </c>
      <c r="G1002" s="10">
        <v>0.29373607573191152</v>
      </c>
      <c r="H1002" s="6">
        <v>0.2352012207963832</v>
      </c>
      <c r="I1002" s="10">
        <v>4.9085576670761766</v>
      </c>
      <c r="J1002" s="7">
        <v>1.538144055314202E-2</v>
      </c>
      <c r="K1002" s="5">
        <v>0.12735459731230481</v>
      </c>
      <c r="L1002">
        <v>144.63820646570801</v>
      </c>
      <c r="M1002" s="10">
        <v>-0.75500682173397182</v>
      </c>
      <c r="N1002" s="24" t="s">
        <v>343</v>
      </c>
      <c r="O1002" s="24">
        <v>5.6995906959616889</v>
      </c>
      <c r="P1002">
        <v>62.554930089670627</v>
      </c>
      <c r="Q1002" t="s">
        <v>47</v>
      </c>
      <c r="R1002" t="s">
        <v>350</v>
      </c>
      <c r="S1002" t="s">
        <v>343</v>
      </c>
      <c r="T1002" t="s">
        <v>343</v>
      </c>
    </row>
    <row r="1003" spans="2:20" x14ac:dyDescent="0.25">
      <c r="B1003">
        <v>998</v>
      </c>
      <c r="C1003" t="s">
        <v>1342</v>
      </c>
      <c r="D1003" s="10">
        <v>0.28334595259933149</v>
      </c>
      <c r="E1003" s="10">
        <v>0.73726732669535899</v>
      </c>
      <c r="F1003" s="10">
        <v>0.48225134057538738</v>
      </c>
      <c r="G1003" s="10">
        <v>0.34869892951085552</v>
      </c>
      <c r="H1003" s="6">
        <v>0.12280346783453359</v>
      </c>
      <c r="I1003" s="10">
        <v>4.4372016508963519</v>
      </c>
      <c r="J1003" s="7">
        <v>3.2925177672919741E-2</v>
      </c>
      <c r="K1003" s="5">
        <v>0.16691384793846409</v>
      </c>
      <c r="L1003">
        <v>119.5674599232028</v>
      </c>
      <c r="M1003" s="10">
        <v>-0.79747251615204129</v>
      </c>
      <c r="N1003" s="24" t="s">
        <v>343</v>
      </c>
      <c r="O1003" s="24">
        <v>3.1516490308775218</v>
      </c>
      <c r="P1003">
        <v>58.074833681711993</v>
      </c>
      <c r="Q1003" t="s">
        <v>47</v>
      </c>
      <c r="R1003" t="s">
        <v>350</v>
      </c>
      <c r="S1003" t="s">
        <v>343</v>
      </c>
      <c r="T1003" t="s">
        <v>343</v>
      </c>
    </row>
    <row r="1004" spans="2:20" x14ac:dyDescent="0.25">
      <c r="B1004">
        <v>999</v>
      </c>
      <c r="C1004" t="s">
        <v>1343</v>
      </c>
      <c r="D1004" s="10">
        <v>0.1770557205014035</v>
      </c>
      <c r="E1004" s="10">
        <v>1.3425855201987149</v>
      </c>
      <c r="F1004" s="10">
        <v>0.50538115232767966</v>
      </c>
      <c r="G1004" s="10">
        <v>0.34616676041862171</v>
      </c>
      <c r="H1004" s="6">
        <v>0.23683650940583639</v>
      </c>
      <c r="I1004" s="10">
        <v>13.203703170423941</v>
      </c>
      <c r="J1004" s="7">
        <v>2.0295240602397319E-2</v>
      </c>
      <c r="K1004" s="5">
        <v>0.15755155805466381</v>
      </c>
      <c r="L1004">
        <v>364.44577170333957</v>
      </c>
      <c r="M1004" s="10">
        <v>-0.38268919328458822</v>
      </c>
      <c r="N1004" s="24" t="s">
        <v>343</v>
      </c>
      <c r="O1004" s="24">
        <v>28.038648402924711</v>
      </c>
      <c r="P1004">
        <v>16.442049856650669</v>
      </c>
      <c r="Q1004" t="s">
        <v>348</v>
      </c>
      <c r="R1004" t="s">
        <v>375</v>
      </c>
      <c r="S1004" t="s">
        <v>343</v>
      </c>
      <c r="T1004" t="s">
        <v>343</v>
      </c>
    </row>
    <row r="1005" spans="2:20" x14ac:dyDescent="0.25">
      <c r="B1005">
        <v>1000</v>
      </c>
      <c r="C1005" t="s">
        <v>1344</v>
      </c>
      <c r="D1005" s="10">
        <v>0.17202204507772939</v>
      </c>
      <c r="E1005" s="10">
        <v>0.57461510203413302</v>
      </c>
      <c r="F1005" s="10">
        <v>0.49583071061989942</v>
      </c>
      <c r="G1005" s="10">
        <v>0.33978267853746219</v>
      </c>
      <c r="H1005" s="6">
        <v>0.19901981048087089</v>
      </c>
      <c r="I1005" s="10">
        <v>10.57682664578336</v>
      </c>
      <c r="J1005" s="7">
        <v>1.593963270290635E-2</v>
      </c>
      <c r="K1005" s="5">
        <v>0.14338464332434689</v>
      </c>
      <c r="L1005">
        <v>135.71998120130951</v>
      </c>
      <c r="M1005" s="10">
        <v>-0.77011281900403195</v>
      </c>
      <c r="N1005" s="24" t="s">
        <v>343</v>
      </c>
      <c r="O1005" s="24">
        <v>4.7932308597580899</v>
      </c>
      <c r="P1005">
        <v>32.991448785583017</v>
      </c>
      <c r="Q1005" t="s">
        <v>348</v>
      </c>
      <c r="R1005" t="s">
        <v>371</v>
      </c>
      <c r="S1005" t="s">
        <v>343</v>
      </c>
      <c r="T1005" t="s">
        <v>343</v>
      </c>
    </row>
    <row r="1006" spans="2:20" x14ac:dyDescent="0.25">
      <c r="B1006">
        <v>1001</v>
      </c>
      <c r="C1006" t="s">
        <v>1345</v>
      </c>
      <c r="D1006" s="10">
        <v>0.27651020099257662</v>
      </c>
      <c r="E1006" s="10">
        <v>1.3356898706423419</v>
      </c>
      <c r="F1006" s="10">
        <v>0.63023160500656572</v>
      </c>
      <c r="G1006" s="10">
        <v>0.41513885317930649</v>
      </c>
      <c r="H1006" s="6">
        <v>0.26043339785772551</v>
      </c>
      <c r="I1006" s="10">
        <v>8.2063614430110867</v>
      </c>
      <c r="J1006" s="7">
        <v>1.6245258778051511E-2</v>
      </c>
      <c r="K1006" s="5">
        <v>0.13594265058497429</v>
      </c>
      <c r="L1006">
        <v>380.33833392404313</v>
      </c>
      <c r="M1006" s="10">
        <v>-0.35576982374605709</v>
      </c>
      <c r="N1006" s="24" t="s">
        <v>343</v>
      </c>
      <c r="O1006" s="24">
        <v>29.653810575236569</v>
      </c>
      <c r="P1006">
        <v>55.413881080032247</v>
      </c>
      <c r="Q1006" t="s">
        <v>47</v>
      </c>
      <c r="R1006" t="s">
        <v>350</v>
      </c>
      <c r="S1006" t="s">
        <v>343</v>
      </c>
      <c r="T1006" t="s">
        <v>343</v>
      </c>
    </row>
    <row r="1007" spans="2:20" x14ac:dyDescent="0.25">
      <c r="B1007">
        <v>1002</v>
      </c>
      <c r="C1007" t="s">
        <v>1346</v>
      </c>
      <c r="D1007" s="10">
        <v>0.2392786105929918</v>
      </c>
      <c r="E1007" s="10">
        <v>1.349292707242175</v>
      </c>
      <c r="F1007" s="10">
        <v>0.5622882998027553</v>
      </c>
      <c r="G1007" s="10">
        <v>0.28765486032256038</v>
      </c>
      <c r="H1007" s="6">
        <v>0.26959823215843848</v>
      </c>
      <c r="I1007" s="10">
        <v>4.0446523253733444</v>
      </c>
      <c r="J1007" s="7">
        <v>2.7241462913380091E-2</v>
      </c>
      <c r="K1007" s="5">
        <v>0.13150200292556591</v>
      </c>
      <c r="L1007">
        <v>166.52644073993389</v>
      </c>
      <c r="M1007" s="10">
        <v>-0.71793177626356641</v>
      </c>
      <c r="N1007" s="24" t="s">
        <v>343</v>
      </c>
      <c r="O1007" s="24">
        <v>7.9240934241860117</v>
      </c>
      <c r="P1007">
        <v>53.526382363039197</v>
      </c>
      <c r="Q1007" t="s">
        <v>47</v>
      </c>
      <c r="R1007" t="s">
        <v>350</v>
      </c>
      <c r="S1007" t="s">
        <v>343</v>
      </c>
      <c r="T1007" t="s">
        <v>343</v>
      </c>
    </row>
    <row r="1008" spans="2:20" x14ac:dyDescent="0.25">
      <c r="B1008">
        <v>1003</v>
      </c>
      <c r="C1008" t="s">
        <v>1347</v>
      </c>
      <c r="D1008" s="10">
        <v>0.27014438342843777</v>
      </c>
      <c r="E1008" s="10">
        <v>1.2703565456484469</v>
      </c>
      <c r="F1008" s="10">
        <v>0.62424398147245563</v>
      </c>
      <c r="G1008" s="10">
        <v>0.4389476071155034</v>
      </c>
      <c r="H1008" s="6">
        <v>0.21952268476634421</v>
      </c>
      <c r="I1008" s="10">
        <v>12.369700027284919</v>
      </c>
      <c r="J1008" s="7">
        <v>3.0431048961475572E-2</v>
      </c>
      <c r="K1008" s="5">
        <v>0.10091906432376881</v>
      </c>
      <c r="L1008">
        <v>784.59843606123366</v>
      </c>
      <c r="M1008" s="10">
        <v>0.32897986783851701</v>
      </c>
      <c r="N1008" s="24" t="s">
        <v>343</v>
      </c>
      <c r="O1008" s="24">
        <v>31.261207929688979</v>
      </c>
      <c r="P1008">
        <v>17.837160535086088</v>
      </c>
      <c r="Q1008" t="s">
        <v>348</v>
      </c>
      <c r="R1008" t="s">
        <v>375</v>
      </c>
      <c r="S1008" t="s">
        <v>343</v>
      </c>
      <c r="T1008" t="s">
        <v>343</v>
      </c>
    </row>
    <row r="1009" spans="2:20" x14ac:dyDescent="0.25">
      <c r="B1009">
        <v>1004</v>
      </c>
      <c r="C1009" t="s">
        <v>1348</v>
      </c>
      <c r="D1009" s="10">
        <v>0.2295723741765994</v>
      </c>
      <c r="E1009" s="10">
        <v>0.92003484960262849</v>
      </c>
      <c r="F1009" s="10">
        <v>0.54821711699698294</v>
      </c>
      <c r="G1009" s="10">
        <v>0.41409491070697763</v>
      </c>
      <c r="H1009" s="6">
        <v>0.18183857916302049</v>
      </c>
      <c r="I1009" s="10">
        <v>4.1908427386775076</v>
      </c>
      <c r="J1009" s="7">
        <v>4.1652231335674597E-2</v>
      </c>
      <c r="K1009" s="5">
        <v>0.1161080623741448</v>
      </c>
      <c r="L1009">
        <v>135.43579382779581</v>
      </c>
      <c r="M1009" s="10">
        <v>-0.77059418537023272</v>
      </c>
      <c r="N1009" s="24" t="s">
        <v>343</v>
      </c>
      <c r="O1009" s="24">
        <v>4.7643488777860341</v>
      </c>
      <c r="P1009">
        <v>62.195790656832003</v>
      </c>
      <c r="Q1009" t="s">
        <v>47</v>
      </c>
      <c r="R1009" t="s">
        <v>350</v>
      </c>
      <c r="S1009" t="s">
        <v>343</v>
      </c>
      <c r="T1009" t="s">
        <v>343</v>
      </c>
    </row>
    <row r="1010" spans="2:20" x14ac:dyDescent="0.25">
      <c r="B1010">
        <v>1005</v>
      </c>
      <c r="C1010" t="s">
        <v>1349</v>
      </c>
      <c r="D1010" s="10">
        <v>0.1994243253182571</v>
      </c>
      <c r="E1010" s="10">
        <v>1.0116333939887019</v>
      </c>
      <c r="F1010" s="10">
        <v>0.67133125665101534</v>
      </c>
      <c r="G1010" s="10">
        <v>0.31328692013353121</v>
      </c>
      <c r="H1010" s="6">
        <v>0.19126288628410421</v>
      </c>
      <c r="I1010" s="10">
        <v>9.7215118491714136</v>
      </c>
      <c r="J1010" s="7">
        <v>2.854360161297299E-2</v>
      </c>
      <c r="K1010" s="5">
        <v>0.1056029301612236</v>
      </c>
      <c r="L1010">
        <v>246.92303936143099</v>
      </c>
      <c r="M1010" s="10">
        <v>-0.58175324709514376</v>
      </c>
      <c r="N1010" s="24" t="s">
        <v>343</v>
      </c>
      <c r="O1010" s="24">
        <v>16.09480517429138</v>
      </c>
      <c r="P1010">
        <v>53.308294050874338</v>
      </c>
      <c r="Q1010" t="s">
        <v>47</v>
      </c>
      <c r="R1010" t="s">
        <v>350</v>
      </c>
      <c r="S1010" t="s">
        <v>343</v>
      </c>
      <c r="T1010" t="s">
        <v>343</v>
      </c>
    </row>
    <row r="1011" spans="2:20" x14ac:dyDescent="0.25">
      <c r="B1011">
        <v>1006</v>
      </c>
      <c r="C1011" t="s">
        <v>1350</v>
      </c>
      <c r="D1011" s="10">
        <v>0.29105637082787189</v>
      </c>
      <c r="E1011" s="10">
        <v>1.2565786982948559</v>
      </c>
      <c r="F1011" s="10">
        <v>0.69571528000791094</v>
      </c>
      <c r="G1011" s="10">
        <v>0.27973255138163039</v>
      </c>
      <c r="H1011" s="6">
        <v>0.15063231414772621</v>
      </c>
      <c r="I1011" s="10">
        <v>10.344441418836359</v>
      </c>
      <c r="J1011" s="7">
        <v>3.4194575352305162E-2</v>
      </c>
      <c r="K1011" s="5">
        <v>0.1805939665498186</v>
      </c>
      <c r="L1011">
        <v>285.5143189952617</v>
      </c>
      <c r="M1011" s="10">
        <v>-0.51638600781672528</v>
      </c>
      <c r="N1011" s="24" t="s">
        <v>343</v>
      </c>
      <c r="O1011" s="24">
        <v>20.016839530996489</v>
      </c>
      <c r="P1011">
        <v>15.0121725054364</v>
      </c>
      <c r="Q1011" t="s">
        <v>348</v>
      </c>
      <c r="R1011" t="s">
        <v>375</v>
      </c>
      <c r="S1011" t="s">
        <v>343</v>
      </c>
      <c r="T1011" t="s">
        <v>343</v>
      </c>
    </row>
    <row r="1012" spans="2:20" x14ac:dyDescent="0.25">
      <c r="B1012">
        <v>1007</v>
      </c>
      <c r="C1012" t="s">
        <v>1351</v>
      </c>
      <c r="D1012" s="10">
        <v>0.28790654063503668</v>
      </c>
      <c r="E1012" s="10">
        <v>1.153486790628103</v>
      </c>
      <c r="F1012" s="10">
        <v>0.61415905226267897</v>
      </c>
      <c r="G1012" s="10">
        <v>0.30149770539148307</v>
      </c>
      <c r="H1012" s="6">
        <v>0.13488514859872211</v>
      </c>
      <c r="I1012" s="10">
        <v>7.4015268566498591</v>
      </c>
      <c r="J1012" s="7">
        <v>1.6324008344440508E-2</v>
      </c>
      <c r="K1012" s="5">
        <v>0.18170844268943279</v>
      </c>
      <c r="L1012">
        <v>222.2592309443468</v>
      </c>
      <c r="M1012" s="10">
        <v>-0.62352965569350727</v>
      </c>
      <c r="N1012" s="24" t="s">
        <v>343</v>
      </c>
      <c r="O1012" s="24">
        <v>13.58822065838956</v>
      </c>
      <c r="P1012">
        <v>27.928553765923969</v>
      </c>
      <c r="Q1012" t="s">
        <v>348</v>
      </c>
      <c r="R1012" t="s">
        <v>375</v>
      </c>
      <c r="S1012" t="s">
        <v>343</v>
      </c>
      <c r="T1012" t="s">
        <v>343</v>
      </c>
    </row>
    <row r="1013" spans="2:20" x14ac:dyDescent="0.25">
      <c r="B1013">
        <v>1008</v>
      </c>
      <c r="C1013" t="s">
        <v>1352</v>
      </c>
      <c r="D1013" s="10">
        <v>0.27115143533670832</v>
      </c>
      <c r="E1013" s="10">
        <v>0.99310323440095272</v>
      </c>
      <c r="F1013" s="10">
        <v>0.66459126488141684</v>
      </c>
      <c r="G1013" s="10">
        <v>0.31317997431999722</v>
      </c>
      <c r="H1013" s="6">
        <v>0.20681450899532031</v>
      </c>
      <c r="I1013" s="10">
        <v>13.023383975050329</v>
      </c>
      <c r="J1013" s="7">
        <v>3.4971110041862222E-2</v>
      </c>
      <c r="K1013" s="5">
        <v>0.18038836698548039</v>
      </c>
      <c r="L1013">
        <v>170.3782487562444</v>
      </c>
      <c r="M1013" s="10">
        <v>-0.71140745111431736</v>
      </c>
      <c r="N1013" s="24" t="s">
        <v>343</v>
      </c>
      <c r="O1013" s="24">
        <v>8.3155529331409568</v>
      </c>
      <c r="P1013">
        <v>48.7767536857084</v>
      </c>
      <c r="Q1013" t="s">
        <v>346</v>
      </c>
      <c r="R1013" t="s">
        <v>347</v>
      </c>
      <c r="S1013" t="s">
        <v>343</v>
      </c>
      <c r="T1013" t="s">
        <v>343</v>
      </c>
    </row>
    <row r="1014" spans="2:20" x14ac:dyDescent="0.25">
      <c r="B1014">
        <v>1009</v>
      </c>
      <c r="C1014" t="s">
        <v>1353</v>
      </c>
      <c r="D1014" s="10">
        <v>0.203543221956794</v>
      </c>
      <c r="E1014" s="10">
        <v>1.3804853486577731</v>
      </c>
      <c r="F1014" s="10">
        <v>0.57206264946473628</v>
      </c>
      <c r="G1014" s="10">
        <v>0.36252529713755027</v>
      </c>
      <c r="H1014" s="6">
        <v>0.2408242646949901</v>
      </c>
      <c r="I1014" s="10">
        <v>3.557706728799213</v>
      </c>
      <c r="J1014" s="7">
        <v>3.2704275612729858E-2</v>
      </c>
      <c r="K1014" s="5">
        <v>0.17770237761360941</v>
      </c>
      <c r="L1014">
        <v>191.75066304546809</v>
      </c>
      <c r="M1014" s="10">
        <v>-0.67520611930938668</v>
      </c>
      <c r="N1014" s="24" t="s">
        <v>343</v>
      </c>
      <c r="O1014" s="24">
        <v>10.487632841436801</v>
      </c>
      <c r="P1014">
        <v>23.739579665465339</v>
      </c>
      <c r="Q1014" t="s">
        <v>348</v>
      </c>
      <c r="R1014" t="s">
        <v>375</v>
      </c>
      <c r="S1014" t="s">
        <v>343</v>
      </c>
      <c r="T1014" t="s">
        <v>343</v>
      </c>
    </row>
    <row r="1015" spans="2:20" x14ac:dyDescent="0.25">
      <c r="B1015">
        <v>1010</v>
      </c>
      <c r="C1015" t="s">
        <v>1354</v>
      </c>
      <c r="D1015" s="10">
        <v>0.25443690669905389</v>
      </c>
      <c r="E1015" s="10">
        <v>1.0542442999670629</v>
      </c>
      <c r="F1015" s="10">
        <v>0.68300141849201601</v>
      </c>
      <c r="G1015" s="10">
        <v>0.25020099713900301</v>
      </c>
      <c r="H1015" s="6">
        <v>0.159264977659382</v>
      </c>
      <c r="I1015" s="10">
        <v>11.99928596378558</v>
      </c>
      <c r="J1015" s="7">
        <v>1.7566372189129289E-2</v>
      </c>
      <c r="K1015" s="5">
        <v>0.12102639308515779</v>
      </c>
      <c r="L1015">
        <v>165.6463188297484</v>
      </c>
      <c r="M1015" s="10">
        <v>-0.71942255708356395</v>
      </c>
      <c r="N1015" s="24" t="s">
        <v>343</v>
      </c>
      <c r="O1015" s="24">
        <v>7.8346465749861594</v>
      </c>
      <c r="P1015">
        <v>43.674630959821499</v>
      </c>
      <c r="Q1015" t="s">
        <v>346</v>
      </c>
      <c r="R1015" t="s">
        <v>347</v>
      </c>
      <c r="S1015" t="s">
        <v>343</v>
      </c>
      <c r="T1015" t="s">
        <v>343</v>
      </c>
    </row>
    <row r="1016" spans="2:20" x14ac:dyDescent="0.25">
      <c r="B1016">
        <v>1011</v>
      </c>
      <c r="C1016" t="s">
        <v>1355</v>
      </c>
      <c r="D1016" s="10">
        <v>0.21775582351040429</v>
      </c>
      <c r="E1016" s="10">
        <v>1.3730301916925369</v>
      </c>
      <c r="F1016" s="10">
        <v>0.65621248627493522</v>
      </c>
      <c r="G1016" s="10">
        <v>0.44115900856745172</v>
      </c>
      <c r="H1016" s="6">
        <v>0.1829479215368025</v>
      </c>
      <c r="I1016" s="10">
        <v>9.0917383808401979</v>
      </c>
      <c r="J1016" s="7">
        <v>3.3428211276939318E-2</v>
      </c>
      <c r="K1016" s="5">
        <v>0.146719686578514</v>
      </c>
      <c r="L1016">
        <v>307.16657749423189</v>
      </c>
      <c r="M1016" s="10">
        <v>-0.47971066624604558</v>
      </c>
      <c r="N1016" s="24" t="s">
        <v>343</v>
      </c>
      <c r="O1016" s="24">
        <v>22.217360025237269</v>
      </c>
      <c r="P1016">
        <v>55.539163927420191</v>
      </c>
      <c r="Q1016" t="s">
        <v>47</v>
      </c>
      <c r="R1016" t="s">
        <v>350</v>
      </c>
      <c r="S1016" t="s">
        <v>343</v>
      </c>
      <c r="T1016" t="s">
        <v>343</v>
      </c>
    </row>
    <row r="1017" spans="2:20" x14ac:dyDescent="0.25">
      <c r="B1017">
        <v>1012</v>
      </c>
      <c r="C1017" t="s">
        <v>1356</v>
      </c>
      <c r="D1017" s="10">
        <v>0.17465313173226149</v>
      </c>
      <c r="E1017" s="10">
        <v>0.3631273220677998</v>
      </c>
      <c r="F1017" s="10">
        <v>0.69786242865917014</v>
      </c>
      <c r="G1017" s="10">
        <v>0.26170846846544438</v>
      </c>
      <c r="H1017" s="6">
        <v>0.2032160492665471</v>
      </c>
      <c r="I1017" s="10">
        <v>9.7232409684837737</v>
      </c>
      <c r="J1017" s="7">
        <v>1.740222155135859E-2</v>
      </c>
      <c r="K1017" s="5">
        <v>0.1862451583369977</v>
      </c>
      <c r="L1017">
        <v>76.387449255589189</v>
      </c>
      <c r="M1017" s="10">
        <v>-0.8706123061806722</v>
      </c>
      <c r="N1017" s="24" t="s">
        <v>343</v>
      </c>
      <c r="O1017" s="24">
        <v>0</v>
      </c>
      <c r="P1017">
        <v>55.884755733565569</v>
      </c>
      <c r="Q1017" t="s">
        <v>47</v>
      </c>
      <c r="R1017" t="s">
        <v>350</v>
      </c>
      <c r="S1017" t="s">
        <v>343</v>
      </c>
      <c r="T1017" t="s">
        <v>343</v>
      </c>
    </row>
    <row r="1018" spans="2:20" x14ac:dyDescent="0.25">
      <c r="B1018">
        <v>1013</v>
      </c>
      <c r="C1018" t="s">
        <v>1357</v>
      </c>
      <c r="D1018" s="10">
        <v>0.30677017207395879</v>
      </c>
      <c r="E1018" s="10">
        <v>0.45285640781643371</v>
      </c>
      <c r="F1018" s="10">
        <v>0.60200437118522299</v>
      </c>
      <c r="G1018" s="10">
        <v>0.30144014670200758</v>
      </c>
      <c r="H1018" s="6">
        <v>0.25618467299550862</v>
      </c>
      <c r="I1018" s="10">
        <v>13.855081187305849</v>
      </c>
      <c r="J1018" s="7">
        <v>3.0775222129198108E-2</v>
      </c>
      <c r="K1018" s="5">
        <v>0.17217927043447109</v>
      </c>
      <c r="L1018">
        <v>78.801420367033501</v>
      </c>
      <c r="M1018" s="10">
        <v>-0.86652343872796811</v>
      </c>
      <c r="N1018" s="24" t="s">
        <v>343</v>
      </c>
      <c r="O1018" s="24">
        <v>0</v>
      </c>
      <c r="P1018">
        <v>48.473730088772619</v>
      </c>
      <c r="Q1018" t="s">
        <v>346</v>
      </c>
      <c r="R1018" t="s">
        <v>347</v>
      </c>
      <c r="S1018" t="s">
        <v>343</v>
      </c>
      <c r="T1018" t="s">
        <v>343</v>
      </c>
    </row>
    <row r="1019" spans="2:20" x14ac:dyDescent="0.25">
      <c r="B1019">
        <v>1014</v>
      </c>
      <c r="C1019" t="s">
        <v>1358</v>
      </c>
      <c r="D1019" s="10">
        <v>0.18189098094703379</v>
      </c>
      <c r="E1019" s="10">
        <v>0.79660473060053949</v>
      </c>
      <c r="F1019" s="10">
        <v>0.64259375246973938</v>
      </c>
      <c r="G1019" s="10">
        <v>0.26404323634965271</v>
      </c>
      <c r="H1019" s="6">
        <v>0.1407946841493084</v>
      </c>
      <c r="I1019" s="10">
        <v>9.4091258342960487</v>
      </c>
      <c r="J1019" s="7">
        <v>3.3409739661189028E-2</v>
      </c>
      <c r="K1019" s="5">
        <v>0.1001729271656643</v>
      </c>
      <c r="L1019">
        <v>158.9604624360959</v>
      </c>
      <c r="M1019" s="10">
        <v>-0.73074729103412983</v>
      </c>
      <c r="N1019" s="24" t="s">
        <v>343</v>
      </c>
      <c r="O1019" s="24">
        <v>7.155162537952215</v>
      </c>
      <c r="P1019">
        <v>59.784369282684963</v>
      </c>
      <c r="Q1019" t="s">
        <v>47</v>
      </c>
      <c r="R1019" t="s">
        <v>350</v>
      </c>
      <c r="S1019" t="s">
        <v>343</v>
      </c>
      <c r="T1019" t="s">
        <v>343</v>
      </c>
    </row>
    <row r="1020" spans="2:20" x14ac:dyDescent="0.25">
      <c r="B1020">
        <v>1015</v>
      </c>
      <c r="C1020" t="s">
        <v>1359</v>
      </c>
      <c r="D1020" s="10">
        <v>0.31203797661132843</v>
      </c>
      <c r="E1020" s="10">
        <v>0.7233674069727466</v>
      </c>
      <c r="F1020" s="10">
        <v>0.58114571639433543</v>
      </c>
      <c r="G1020" s="10">
        <v>0.29646802183564519</v>
      </c>
      <c r="H1020" s="6">
        <v>0.15553247530944939</v>
      </c>
      <c r="I1020" s="10">
        <v>11.767307841186319</v>
      </c>
      <c r="J1020" s="7">
        <v>3.4267269059158417E-2</v>
      </c>
      <c r="K1020" s="5">
        <v>0.1436455247583604</v>
      </c>
      <c r="L1020">
        <v>271.80093540419477</v>
      </c>
      <c r="M1020" s="10">
        <v>-0.53961420949906025</v>
      </c>
      <c r="N1020" s="24" t="s">
        <v>343</v>
      </c>
      <c r="O1020" s="24">
        <v>18.623147430056381</v>
      </c>
      <c r="P1020">
        <v>56.68820951253376</v>
      </c>
      <c r="Q1020" t="s">
        <v>47</v>
      </c>
      <c r="R1020" t="s">
        <v>350</v>
      </c>
      <c r="S1020" t="s">
        <v>343</v>
      </c>
      <c r="T1020" t="s">
        <v>343</v>
      </c>
    </row>
    <row r="1021" spans="2:20" x14ac:dyDescent="0.25">
      <c r="B1021">
        <v>1016</v>
      </c>
      <c r="C1021" t="s">
        <v>1360</v>
      </c>
      <c r="D1021" s="10">
        <v>0.23136092367327291</v>
      </c>
      <c r="E1021" s="10">
        <v>1.1610083254927299</v>
      </c>
      <c r="F1021" s="10">
        <v>0.50737122711056992</v>
      </c>
      <c r="G1021" s="10">
        <v>0.42428824009393779</v>
      </c>
      <c r="H1021" s="6">
        <v>0.2577795677678677</v>
      </c>
      <c r="I1021" s="10">
        <v>4.6888384229174784</v>
      </c>
      <c r="J1021" s="7">
        <v>4.1824330745814632E-2</v>
      </c>
      <c r="K1021" s="5">
        <v>0.10101366892966721</v>
      </c>
      <c r="L1021">
        <v>569.31848802613638</v>
      </c>
      <c r="M1021" s="10">
        <v>-3.5668726573972569E-2</v>
      </c>
      <c r="N1021" s="24" t="s">
        <v>345</v>
      </c>
      <c r="O1021" s="24">
        <v>85.445883901890426</v>
      </c>
      <c r="P1021">
        <v>17.452309466554969</v>
      </c>
      <c r="Q1021" t="s">
        <v>348</v>
      </c>
      <c r="R1021" t="s">
        <v>353</v>
      </c>
      <c r="S1021" t="s">
        <v>343</v>
      </c>
      <c r="T1021" t="s">
        <v>343</v>
      </c>
    </row>
    <row r="1022" spans="2:20" x14ac:dyDescent="0.25">
      <c r="B1022">
        <v>1017</v>
      </c>
      <c r="C1022" t="s">
        <v>1361</v>
      </c>
      <c r="D1022" s="10">
        <v>0.18962126861417919</v>
      </c>
      <c r="E1022" s="10">
        <v>0.47667542911612409</v>
      </c>
      <c r="F1022" s="10">
        <v>0.53223634449373702</v>
      </c>
      <c r="G1022" s="10">
        <v>0.37533867850431341</v>
      </c>
      <c r="H1022" s="6">
        <v>0.1259303389732038</v>
      </c>
      <c r="I1022" s="10">
        <v>11.902185513208</v>
      </c>
      <c r="J1022" s="7">
        <v>4.3174307424902122E-2</v>
      </c>
      <c r="K1022" s="5">
        <v>0.12666279946316411</v>
      </c>
      <c r="L1022">
        <v>92.539402957915769</v>
      </c>
      <c r="M1022" s="10">
        <v>-0.84325357041207771</v>
      </c>
      <c r="N1022" s="24" t="s">
        <v>343</v>
      </c>
      <c r="O1022" s="24">
        <v>0.40478577527534298</v>
      </c>
      <c r="P1022">
        <v>43.910103372145038</v>
      </c>
      <c r="Q1022" t="s">
        <v>346</v>
      </c>
      <c r="R1022" t="s">
        <v>347</v>
      </c>
      <c r="S1022" t="s">
        <v>343</v>
      </c>
      <c r="T1022" t="s">
        <v>343</v>
      </c>
    </row>
    <row r="1023" spans="2:20" x14ac:dyDescent="0.25">
      <c r="B1023">
        <v>1018</v>
      </c>
      <c r="C1023" t="s">
        <v>1362</v>
      </c>
      <c r="D1023" s="10">
        <v>0.2467041515805373</v>
      </c>
      <c r="E1023" s="10">
        <v>1.373704697022637</v>
      </c>
      <c r="F1023" s="10">
        <v>0.67244140783014217</v>
      </c>
      <c r="G1023" s="10">
        <v>0.29001110951968567</v>
      </c>
      <c r="H1023" s="6">
        <v>0.21841734510897881</v>
      </c>
      <c r="I1023" s="10">
        <v>11.371801979465831</v>
      </c>
      <c r="J1023" s="7">
        <v>3.8356928334047663E-2</v>
      </c>
      <c r="K1023" s="5">
        <v>0.1413974319165541</v>
      </c>
      <c r="L1023">
        <v>513.52369262217837</v>
      </c>
      <c r="M1023" s="10">
        <v>-0.1301758736876869</v>
      </c>
      <c r="N1023" s="24" t="s">
        <v>343</v>
      </c>
      <c r="O1023" s="24">
        <v>53.266583999339488</v>
      </c>
      <c r="P1023">
        <v>16.076310855410402</v>
      </c>
      <c r="Q1023" t="s">
        <v>348</v>
      </c>
      <c r="R1023" t="s">
        <v>375</v>
      </c>
      <c r="S1023" t="s">
        <v>343</v>
      </c>
      <c r="T1023" t="s">
        <v>343</v>
      </c>
    </row>
    <row r="1024" spans="2:20" x14ac:dyDescent="0.25">
      <c r="B1024">
        <v>1019</v>
      </c>
      <c r="C1024" t="s">
        <v>1363</v>
      </c>
      <c r="D1024" s="10">
        <v>0.29967133374022542</v>
      </c>
      <c r="E1024" s="10">
        <v>0.64657246278700531</v>
      </c>
      <c r="F1024" s="10">
        <v>0.45454646611564142</v>
      </c>
      <c r="G1024" s="10">
        <v>0.43178687655585429</v>
      </c>
      <c r="H1024" s="6">
        <v>0.21592888248269279</v>
      </c>
      <c r="I1024" s="10">
        <v>13.649210807044531</v>
      </c>
      <c r="J1024" s="7">
        <v>4.0756183961396922E-2</v>
      </c>
      <c r="K1024" s="5">
        <v>0.18482543280177649</v>
      </c>
      <c r="L1024">
        <v>168.8454636991419</v>
      </c>
      <c r="M1024" s="10">
        <v>-0.71400373526298222</v>
      </c>
      <c r="N1024" s="24" t="s">
        <v>343</v>
      </c>
      <c r="O1024" s="24">
        <v>8.1597758842210624</v>
      </c>
      <c r="P1024">
        <v>15.321038639318861</v>
      </c>
      <c r="Q1024" t="s">
        <v>348</v>
      </c>
      <c r="R1024" t="s">
        <v>371</v>
      </c>
      <c r="S1024" t="s">
        <v>343</v>
      </c>
      <c r="T1024" t="s">
        <v>343</v>
      </c>
    </row>
    <row r="1025" spans="2:20" x14ac:dyDescent="0.25">
      <c r="B1025">
        <v>1020</v>
      </c>
      <c r="C1025" t="s">
        <v>1364</v>
      </c>
      <c r="D1025" s="10">
        <v>0.27715598182552981</v>
      </c>
      <c r="E1025" s="10">
        <v>0.77181607851417522</v>
      </c>
      <c r="F1025" s="10">
        <v>0.59378477037934607</v>
      </c>
      <c r="G1025" s="10">
        <v>0.4161566530280667</v>
      </c>
      <c r="H1025" s="6">
        <v>0.1774881650448846</v>
      </c>
      <c r="I1025" s="10">
        <v>13.292816984662529</v>
      </c>
      <c r="J1025" s="7">
        <v>1.067651090879935E-2</v>
      </c>
      <c r="K1025" s="5">
        <v>0.16216650699399601</v>
      </c>
      <c r="L1025">
        <v>398.12457884438362</v>
      </c>
      <c r="M1025" s="10">
        <v>-0.32564286919559848</v>
      </c>
      <c r="N1025" s="24" t="s">
        <v>343</v>
      </c>
      <c r="O1025" s="24">
        <v>31.461427848264091</v>
      </c>
      <c r="P1025">
        <v>53.825373542790082</v>
      </c>
      <c r="Q1025" t="s">
        <v>47</v>
      </c>
      <c r="R1025" t="s">
        <v>350</v>
      </c>
      <c r="S1025" t="s">
        <v>343</v>
      </c>
      <c r="T1025" t="s">
        <v>343</v>
      </c>
    </row>
    <row r="1026" spans="2:20" x14ac:dyDescent="0.25">
      <c r="B1026">
        <v>1021</v>
      </c>
      <c r="C1026" t="s">
        <v>1365</v>
      </c>
      <c r="D1026" s="10">
        <v>0.28904978365783202</v>
      </c>
      <c r="E1026" s="10">
        <v>0.6022195356840252</v>
      </c>
      <c r="F1026" s="10">
        <v>0.5368458484510682</v>
      </c>
      <c r="G1026" s="10">
        <v>0.40580284211074769</v>
      </c>
      <c r="H1026" s="6">
        <v>0.19022470185106771</v>
      </c>
      <c r="I1026" s="10">
        <v>5.3538520006254604</v>
      </c>
      <c r="J1026" s="7">
        <v>2.2693383805561771E-2</v>
      </c>
      <c r="K1026" s="5">
        <v>0.1344360337215412</v>
      </c>
      <c r="L1026">
        <v>181.7469273560512</v>
      </c>
      <c r="M1026" s="10">
        <v>-0.69215079154344539</v>
      </c>
      <c r="N1026" s="24" t="s">
        <v>343</v>
      </c>
      <c r="O1026" s="24">
        <v>9.4709525073932781</v>
      </c>
      <c r="P1026">
        <v>60.817527348300423</v>
      </c>
      <c r="Q1026" t="s">
        <v>47</v>
      </c>
      <c r="R1026" t="s">
        <v>350</v>
      </c>
      <c r="S1026" t="s">
        <v>343</v>
      </c>
      <c r="T1026" t="s">
        <v>343</v>
      </c>
    </row>
    <row r="1027" spans="2:20" x14ac:dyDescent="0.25">
      <c r="B1027">
        <v>1022</v>
      </c>
      <c r="C1027" t="s">
        <v>1366</v>
      </c>
      <c r="D1027" s="10">
        <v>0.2654053386737148</v>
      </c>
      <c r="E1027" s="10">
        <v>0.93729997905920204</v>
      </c>
      <c r="F1027" s="10">
        <v>0.54054005988144449</v>
      </c>
      <c r="G1027" s="10">
        <v>0.42647919364485692</v>
      </c>
      <c r="H1027" s="6">
        <v>0.24823769272208421</v>
      </c>
      <c r="I1027" s="10">
        <v>8.1142644219076097</v>
      </c>
      <c r="J1027" s="7">
        <v>1.1390277507182949E-2</v>
      </c>
      <c r="K1027" s="5">
        <v>0.14661221573302749</v>
      </c>
      <c r="L1027">
        <v>347.25567325827319</v>
      </c>
      <c r="M1027" s="10">
        <v>-0.41180637439234219</v>
      </c>
      <c r="N1027" s="24" t="s">
        <v>343</v>
      </c>
      <c r="O1027" s="24">
        <v>26.291617536459469</v>
      </c>
      <c r="P1027">
        <v>55.719991552831679</v>
      </c>
      <c r="Q1027" t="s">
        <v>47</v>
      </c>
      <c r="R1027" t="s">
        <v>350</v>
      </c>
      <c r="S1027" t="s">
        <v>343</v>
      </c>
      <c r="T1027" t="s">
        <v>343</v>
      </c>
    </row>
    <row r="1028" spans="2:20" x14ac:dyDescent="0.25">
      <c r="B1028">
        <v>1023</v>
      </c>
      <c r="C1028" t="s">
        <v>1367</v>
      </c>
      <c r="D1028" s="10">
        <v>0.27076425032285639</v>
      </c>
      <c r="E1028" s="10">
        <v>0.36449157046484232</v>
      </c>
      <c r="F1028" s="10">
        <v>0.6699885136675795</v>
      </c>
      <c r="G1028" s="10">
        <v>0.37632292993402933</v>
      </c>
      <c r="H1028" s="6">
        <v>0.14474730950201689</v>
      </c>
      <c r="I1028" s="10">
        <v>13.02631495990139</v>
      </c>
      <c r="J1028" s="7">
        <v>1.7869587507562078E-2</v>
      </c>
      <c r="K1028" s="5">
        <v>0.17765200141671261</v>
      </c>
      <c r="L1028">
        <v>192.4119983252796</v>
      </c>
      <c r="M1028" s="10">
        <v>-0.67408592682318569</v>
      </c>
      <c r="N1028" s="24" t="s">
        <v>343</v>
      </c>
      <c r="O1028" s="24">
        <v>10.55484439060886</v>
      </c>
      <c r="P1028">
        <v>18.15797388721499</v>
      </c>
      <c r="Q1028" t="s">
        <v>348</v>
      </c>
      <c r="R1028" t="s">
        <v>351</v>
      </c>
      <c r="S1028" t="s">
        <v>343</v>
      </c>
      <c r="T1028" t="s">
        <v>343</v>
      </c>
    </row>
    <row r="1029" spans="2:20" x14ac:dyDescent="0.25">
      <c r="B1029">
        <v>1024</v>
      </c>
      <c r="C1029" t="s">
        <v>1368</v>
      </c>
      <c r="D1029" s="10">
        <v>0.29587130425045111</v>
      </c>
      <c r="E1029" s="10">
        <v>0.46464525612749358</v>
      </c>
      <c r="F1029" s="10">
        <v>0.6619938173820189</v>
      </c>
      <c r="G1029" s="10">
        <v>0.35031621924647111</v>
      </c>
      <c r="H1029" s="6">
        <v>0.15473512174183909</v>
      </c>
      <c r="I1029" s="10">
        <v>10.048415766784091</v>
      </c>
      <c r="J1029" s="7">
        <v>2.3360351297300231E-2</v>
      </c>
      <c r="K1029" s="5">
        <v>0.12846728191580281</v>
      </c>
      <c r="L1029">
        <v>105.25582860679189</v>
      </c>
      <c r="M1029" s="10">
        <v>-0.82171405044685708</v>
      </c>
      <c r="N1029" s="24" t="s">
        <v>343</v>
      </c>
      <c r="O1029" s="24">
        <v>1.6971569731885769</v>
      </c>
      <c r="P1029">
        <v>47.470159939987312</v>
      </c>
      <c r="Q1029" t="s">
        <v>346</v>
      </c>
      <c r="R1029" t="s">
        <v>347</v>
      </c>
      <c r="S1029" t="s">
        <v>343</v>
      </c>
      <c r="T1029" t="s">
        <v>343</v>
      </c>
    </row>
    <row r="1030" spans="2:20" x14ac:dyDescent="0.25">
      <c r="B1030">
        <v>1025</v>
      </c>
      <c r="C1030" t="s">
        <v>1369</v>
      </c>
      <c r="D1030" s="10">
        <v>0.19994688141746969</v>
      </c>
      <c r="E1030" s="10">
        <v>1.120377473760596</v>
      </c>
      <c r="F1030" s="10">
        <v>0.59569901764884181</v>
      </c>
      <c r="G1030" s="10">
        <v>0.32226570575770569</v>
      </c>
      <c r="H1030" s="6">
        <v>0.19685256171598359</v>
      </c>
      <c r="I1030" s="10">
        <v>8.1007043370015719</v>
      </c>
      <c r="J1030" s="7">
        <v>4.0365142854135998E-2</v>
      </c>
      <c r="K1030" s="5">
        <v>0.15842830366952329</v>
      </c>
      <c r="L1030">
        <v>215.09320747410271</v>
      </c>
      <c r="M1030" s="10">
        <v>-0.63566771318470183</v>
      </c>
      <c r="N1030" s="24" t="s">
        <v>343</v>
      </c>
      <c r="O1030" s="24">
        <v>12.85993720891789</v>
      </c>
      <c r="P1030">
        <v>31.371576333309779</v>
      </c>
      <c r="Q1030" t="s">
        <v>348</v>
      </c>
      <c r="R1030" t="s">
        <v>353</v>
      </c>
      <c r="S1030" t="s">
        <v>343</v>
      </c>
      <c r="T1030" t="s">
        <v>343</v>
      </c>
    </row>
    <row r="1031" spans="2:20" x14ac:dyDescent="0.25">
      <c r="B1031">
        <v>1026</v>
      </c>
      <c r="C1031" t="s">
        <v>1370</v>
      </c>
      <c r="D1031" s="10">
        <v>0.23830799418290249</v>
      </c>
      <c r="E1031" s="10">
        <v>0.50515064174528423</v>
      </c>
      <c r="F1031" s="10">
        <v>0.51095890032512681</v>
      </c>
      <c r="G1031" s="10">
        <v>0.28922808448969362</v>
      </c>
      <c r="H1031" s="6">
        <v>0.18146181345000451</v>
      </c>
      <c r="I1031" s="10">
        <v>4.1983263776091384</v>
      </c>
      <c r="J1031" s="7">
        <v>2.7911393016747419E-2</v>
      </c>
      <c r="K1031" s="5">
        <v>0.12491345396934581</v>
      </c>
      <c r="L1031">
        <v>72.79973975225063</v>
      </c>
      <c r="M1031" s="10">
        <v>-0.87668929216795721</v>
      </c>
      <c r="N1031" s="24" t="s">
        <v>343</v>
      </c>
      <c r="O1031" s="24">
        <v>0</v>
      </c>
      <c r="P1031">
        <v>63.544029621866343</v>
      </c>
      <c r="Q1031" t="s">
        <v>47</v>
      </c>
      <c r="R1031" t="s">
        <v>350</v>
      </c>
      <c r="S1031" t="s">
        <v>343</v>
      </c>
      <c r="T1031" t="s">
        <v>343</v>
      </c>
    </row>
    <row r="1032" spans="2:20" x14ac:dyDescent="0.25">
      <c r="B1032">
        <v>1027</v>
      </c>
      <c r="C1032" t="s">
        <v>1371</v>
      </c>
      <c r="D1032" s="10">
        <v>0.19539351069113639</v>
      </c>
      <c r="E1032" s="10">
        <v>0.55906589671232909</v>
      </c>
      <c r="F1032" s="10">
        <v>0.56361865000212619</v>
      </c>
      <c r="G1032" s="10">
        <v>0.36263056468231691</v>
      </c>
      <c r="H1032" s="6">
        <v>0.20615587463177751</v>
      </c>
      <c r="I1032" s="10">
        <v>6.8693332395985252</v>
      </c>
      <c r="J1032" s="7">
        <v>3.2710136788772548E-2</v>
      </c>
      <c r="K1032" s="5">
        <v>0.14559652653624791</v>
      </c>
      <c r="L1032">
        <v>105.3125616146317</v>
      </c>
      <c r="M1032" s="10">
        <v>-0.82161795412318916</v>
      </c>
      <c r="N1032" s="24" t="s">
        <v>343</v>
      </c>
      <c r="O1032" s="24">
        <v>1.7029227526086499</v>
      </c>
      <c r="P1032">
        <v>54.032793310603111</v>
      </c>
      <c r="Q1032" t="s">
        <v>47</v>
      </c>
      <c r="R1032" t="s">
        <v>350</v>
      </c>
      <c r="S1032" t="s">
        <v>343</v>
      </c>
      <c r="T1032" t="s">
        <v>343</v>
      </c>
    </row>
    <row r="1033" spans="2:20" x14ac:dyDescent="0.25">
      <c r="B1033">
        <v>1028</v>
      </c>
      <c r="C1033" t="s">
        <v>1372</v>
      </c>
      <c r="D1033" s="10">
        <v>0.31802688127946349</v>
      </c>
      <c r="E1033" s="10">
        <v>1.1722804592973211</v>
      </c>
      <c r="F1033" s="10">
        <v>0.5461562823851962</v>
      </c>
      <c r="G1033" s="10">
        <v>0.43568831605709951</v>
      </c>
      <c r="H1033" s="6">
        <v>0.25812587791406938</v>
      </c>
      <c r="I1033" s="10">
        <v>10.317639440689369</v>
      </c>
      <c r="J1033" s="7">
        <v>2.269854581393739E-2</v>
      </c>
      <c r="K1033" s="5">
        <v>0.10234255783839601</v>
      </c>
      <c r="L1033">
        <v>622.5920980176503</v>
      </c>
      <c r="M1033" s="10">
        <v>5.4567949809457471E-2</v>
      </c>
      <c r="N1033" s="24" t="s">
        <v>343</v>
      </c>
      <c r="O1033" s="24">
        <v>77.264179072406165</v>
      </c>
      <c r="P1033">
        <v>48.86237940171835</v>
      </c>
      <c r="Q1033" t="s">
        <v>346</v>
      </c>
      <c r="R1033" t="s">
        <v>347</v>
      </c>
      <c r="S1033" t="s">
        <v>343</v>
      </c>
      <c r="T1033" t="s">
        <v>343</v>
      </c>
    </row>
    <row r="1034" spans="2:20" x14ac:dyDescent="0.25">
      <c r="B1034">
        <v>1029</v>
      </c>
      <c r="C1034" t="s">
        <v>1373</v>
      </c>
      <c r="D1034" s="10">
        <v>0.31104949434985812</v>
      </c>
      <c r="E1034" s="10">
        <v>0.40263129619297888</v>
      </c>
      <c r="F1034" s="10">
        <v>0.53194068759264879</v>
      </c>
      <c r="G1034" s="10">
        <v>0.37067599357831149</v>
      </c>
      <c r="H1034" s="6">
        <v>0.25756530266067551</v>
      </c>
      <c r="I1034" s="10">
        <v>11.54605930145547</v>
      </c>
      <c r="J1034" s="7">
        <v>3.1102056736252569E-2</v>
      </c>
      <c r="K1034" s="5">
        <v>0.18096615535171071</v>
      </c>
      <c r="L1034">
        <v>72.622698358887831</v>
      </c>
      <c r="M1034" s="10">
        <v>-0.87698917098078577</v>
      </c>
      <c r="N1034" s="24" t="s">
        <v>343</v>
      </c>
      <c r="O1034" s="24">
        <v>0</v>
      </c>
      <c r="P1034">
        <v>48.970002030571862</v>
      </c>
      <c r="Q1034" t="s">
        <v>346</v>
      </c>
      <c r="R1034" t="s">
        <v>347</v>
      </c>
      <c r="S1034" t="s">
        <v>343</v>
      </c>
      <c r="T1034" t="s">
        <v>343</v>
      </c>
    </row>
    <row r="1035" spans="2:20" x14ac:dyDescent="0.25">
      <c r="B1035">
        <v>1030</v>
      </c>
      <c r="C1035" t="s">
        <v>1374</v>
      </c>
      <c r="D1035" s="10">
        <v>0.16630828981896101</v>
      </c>
      <c r="E1035" s="10">
        <v>0.78122120504792492</v>
      </c>
      <c r="F1035" s="10">
        <v>0.46672425042489712</v>
      </c>
      <c r="G1035" s="10">
        <v>0.4423135095785401</v>
      </c>
      <c r="H1035" s="6">
        <v>0.15450275095724869</v>
      </c>
      <c r="I1035" s="10">
        <v>7.9188360541017779</v>
      </c>
      <c r="J1035" s="7">
        <v>3.8543777462444292E-2</v>
      </c>
      <c r="K1035" s="5">
        <v>0.1045931389936571</v>
      </c>
      <c r="L1035">
        <v>286.96188962410201</v>
      </c>
      <c r="M1035" s="10">
        <v>-0.51393406280309406</v>
      </c>
      <c r="N1035" s="24" t="s">
        <v>343</v>
      </c>
      <c r="O1035" s="24">
        <v>20.16395623181436</v>
      </c>
      <c r="P1035">
        <v>55.661081359375032</v>
      </c>
      <c r="Q1035" t="s">
        <v>47</v>
      </c>
      <c r="R1035" t="s">
        <v>350</v>
      </c>
      <c r="S1035" t="s">
        <v>343</v>
      </c>
      <c r="T1035" t="s">
        <v>343</v>
      </c>
    </row>
    <row r="1036" spans="2:20" x14ac:dyDescent="0.25">
      <c r="B1036">
        <v>1031</v>
      </c>
      <c r="C1036" t="s">
        <v>1375</v>
      </c>
      <c r="D1036" s="10">
        <v>0.27289202760251019</v>
      </c>
      <c r="E1036" s="10">
        <v>0.32536972569694972</v>
      </c>
      <c r="F1036" s="10">
        <v>0.5812096105459833</v>
      </c>
      <c r="G1036" s="10">
        <v>0.318521821310496</v>
      </c>
      <c r="H1036" s="6">
        <v>0.1653216919273261</v>
      </c>
      <c r="I1036" s="10">
        <v>3.614289423121912</v>
      </c>
      <c r="J1036" s="7">
        <v>2.0543448369198601E-2</v>
      </c>
      <c r="K1036" s="5">
        <v>0.121314247484651</v>
      </c>
      <c r="L1036">
        <v>105.8140441598601</v>
      </c>
      <c r="M1036" s="10">
        <v>-0.82076852570726389</v>
      </c>
      <c r="N1036" s="24" t="s">
        <v>343</v>
      </c>
      <c r="O1036" s="24">
        <v>1.753888457564166</v>
      </c>
      <c r="P1036">
        <v>55.147619722381229</v>
      </c>
      <c r="Q1036" t="s">
        <v>47</v>
      </c>
      <c r="R1036" t="s">
        <v>350</v>
      </c>
      <c r="S1036" t="s">
        <v>343</v>
      </c>
      <c r="T1036" t="s">
        <v>343</v>
      </c>
    </row>
    <row r="1037" spans="2:20" x14ac:dyDescent="0.25">
      <c r="B1037">
        <v>1032</v>
      </c>
      <c r="C1037" t="s">
        <v>1376</v>
      </c>
      <c r="D1037" s="10">
        <v>0.30803973078650648</v>
      </c>
      <c r="E1037" s="10">
        <v>0.68148813924969409</v>
      </c>
      <c r="F1037" s="10">
        <v>0.51847613744736576</v>
      </c>
      <c r="G1037" s="10">
        <v>0.39293035395604953</v>
      </c>
      <c r="H1037" s="6">
        <v>0.14431030219455451</v>
      </c>
      <c r="I1037" s="10">
        <v>9.9648940049648349</v>
      </c>
      <c r="J1037" s="7">
        <v>4.2628984428674861E-2</v>
      </c>
      <c r="K1037" s="5">
        <v>0.131683628501087</v>
      </c>
      <c r="L1037">
        <v>213.33685060881839</v>
      </c>
      <c r="M1037" s="10">
        <v>-0.63864269096622861</v>
      </c>
      <c r="N1037" s="24" t="s">
        <v>343</v>
      </c>
      <c r="O1037" s="24">
        <v>12.681438542026291</v>
      </c>
      <c r="P1037">
        <v>54.870691882467099</v>
      </c>
      <c r="Q1037" t="s">
        <v>47</v>
      </c>
      <c r="R1037" t="s">
        <v>350</v>
      </c>
      <c r="S1037" t="s">
        <v>343</v>
      </c>
      <c r="T1037" t="s">
        <v>343</v>
      </c>
    </row>
    <row r="1038" spans="2:20" x14ac:dyDescent="0.25">
      <c r="B1038">
        <v>1033</v>
      </c>
      <c r="C1038" t="s">
        <v>1377</v>
      </c>
      <c r="D1038" s="10">
        <v>0.18889205522037339</v>
      </c>
      <c r="E1038" s="10">
        <v>1.0688795428718301</v>
      </c>
      <c r="F1038" s="10">
        <v>0.61181006516115732</v>
      </c>
      <c r="G1038" s="10">
        <v>0.38270640394178113</v>
      </c>
      <c r="H1038" s="6">
        <v>0.25916855571958902</v>
      </c>
      <c r="I1038" s="10">
        <v>13.137450314473719</v>
      </c>
      <c r="J1038" s="7">
        <v>1.7465972355982389E-2</v>
      </c>
      <c r="K1038" s="5">
        <v>0.15939030609288221</v>
      </c>
      <c r="L1038">
        <v>321.07170571829249</v>
      </c>
      <c r="M1038" s="10">
        <v>-0.45615768089692937</v>
      </c>
      <c r="N1038" s="24" t="s">
        <v>343</v>
      </c>
      <c r="O1038" s="24">
        <v>23.63053914618423</v>
      </c>
      <c r="P1038">
        <v>49.221445351483062</v>
      </c>
      <c r="Q1038" t="s">
        <v>346</v>
      </c>
      <c r="R1038" t="s">
        <v>347</v>
      </c>
      <c r="S1038" t="s">
        <v>343</v>
      </c>
      <c r="T1038" t="s">
        <v>343</v>
      </c>
    </row>
    <row r="1039" spans="2:20" x14ac:dyDescent="0.25">
      <c r="B1039">
        <v>1034</v>
      </c>
      <c r="C1039" t="s">
        <v>1378</v>
      </c>
      <c r="D1039" s="10">
        <v>0.25087123688842072</v>
      </c>
      <c r="E1039" s="10">
        <v>0.3991136076889511</v>
      </c>
      <c r="F1039" s="10">
        <v>0.52299302331463804</v>
      </c>
      <c r="G1039" s="10">
        <v>0.38749544569380318</v>
      </c>
      <c r="H1039" s="6">
        <v>0.1796796195297293</v>
      </c>
      <c r="I1039" s="10">
        <v>8.4605182379603168</v>
      </c>
      <c r="J1039" s="7">
        <v>4.2175545728781731E-2</v>
      </c>
      <c r="K1039" s="5">
        <v>0.1684031792296303</v>
      </c>
      <c r="L1039">
        <v>126.2639510306191</v>
      </c>
      <c r="M1039" s="10">
        <v>-0.78612976875683571</v>
      </c>
      <c r="N1039" s="24" t="s">
        <v>343</v>
      </c>
      <c r="O1039" s="24">
        <v>3.8322138745898608</v>
      </c>
      <c r="P1039">
        <v>64.979421798926722</v>
      </c>
      <c r="Q1039" t="s">
        <v>47</v>
      </c>
      <c r="R1039" t="s">
        <v>350</v>
      </c>
      <c r="S1039" t="s">
        <v>343</v>
      </c>
      <c r="T1039" t="s">
        <v>343</v>
      </c>
    </row>
    <row r="1040" spans="2:20" x14ac:dyDescent="0.25">
      <c r="B1040">
        <v>1035</v>
      </c>
      <c r="C1040" t="s">
        <v>1379</v>
      </c>
      <c r="D1040" s="10">
        <v>0.30647812761408672</v>
      </c>
      <c r="E1040" s="10">
        <v>1.277168089456636</v>
      </c>
      <c r="F1040" s="10">
        <v>0.55210250821504847</v>
      </c>
      <c r="G1040" s="10">
        <v>0.38190924269297438</v>
      </c>
      <c r="H1040" s="6">
        <v>0.1874557717325516</v>
      </c>
      <c r="I1040" s="10">
        <v>13.212671714182219</v>
      </c>
      <c r="J1040" s="7">
        <v>1.099041408714135E-2</v>
      </c>
      <c r="K1040" s="5">
        <v>0.1076428490171171</v>
      </c>
      <c r="L1040">
        <v>758.24024966173533</v>
      </c>
      <c r="M1040" s="10">
        <v>0.28433346342619098</v>
      </c>
      <c r="N1040" s="24" t="s">
        <v>343</v>
      </c>
      <c r="O1040" s="24">
        <v>33.939992194428541</v>
      </c>
      <c r="P1040">
        <v>17.24542097192057</v>
      </c>
      <c r="Q1040" t="s">
        <v>348</v>
      </c>
      <c r="R1040" t="s">
        <v>375</v>
      </c>
      <c r="S1040" t="s">
        <v>343</v>
      </c>
      <c r="T1040" t="s">
        <v>343</v>
      </c>
    </row>
    <row r="1041" spans="2:20" x14ac:dyDescent="0.25">
      <c r="B1041">
        <v>1036</v>
      </c>
      <c r="C1041" t="s">
        <v>1380</v>
      </c>
      <c r="D1041" s="10">
        <v>0.16543135657372779</v>
      </c>
      <c r="E1041" s="10">
        <v>1.300448947234788</v>
      </c>
      <c r="F1041" s="10">
        <v>0.45361369729054601</v>
      </c>
      <c r="G1041" s="10">
        <v>0.28876402848616572</v>
      </c>
      <c r="H1041" s="6">
        <v>0.24039611711661901</v>
      </c>
      <c r="I1041" s="10">
        <v>6.8951079602879606</v>
      </c>
      <c r="J1041" s="7">
        <v>2.8996329721241779E-2</v>
      </c>
      <c r="K1041" s="5">
        <v>0.1041292211590551</v>
      </c>
      <c r="L1041">
        <v>232.16558303411901</v>
      </c>
      <c r="M1041" s="10">
        <v>-0.60674993515631281</v>
      </c>
      <c r="N1041" s="24" t="s">
        <v>343</v>
      </c>
      <c r="O1041" s="24">
        <v>14.59500389062123</v>
      </c>
      <c r="P1041">
        <v>56.606864167828093</v>
      </c>
      <c r="Q1041" t="s">
        <v>47</v>
      </c>
      <c r="R1041" t="s">
        <v>350</v>
      </c>
      <c r="S1041" t="s">
        <v>343</v>
      </c>
      <c r="T1041" t="s">
        <v>343</v>
      </c>
    </row>
    <row r="1042" spans="2:20" x14ac:dyDescent="0.25">
      <c r="B1042">
        <v>1037</v>
      </c>
      <c r="C1042" t="s">
        <v>1381</v>
      </c>
      <c r="D1042" s="10">
        <v>0.27158724275949442</v>
      </c>
      <c r="E1042" s="10">
        <v>0.4154894126376486</v>
      </c>
      <c r="F1042" s="10">
        <v>0.69805989817542413</v>
      </c>
      <c r="G1042" s="10">
        <v>0.27158999762229269</v>
      </c>
      <c r="H1042" s="6">
        <v>0.19694602092154381</v>
      </c>
      <c r="I1042" s="10">
        <v>12.75002346930061</v>
      </c>
      <c r="J1042" s="7">
        <v>4.4481051596811927E-2</v>
      </c>
      <c r="K1042" s="5">
        <v>0.17590403922978809</v>
      </c>
      <c r="L1042">
        <v>106.31076531856429</v>
      </c>
      <c r="M1042" s="10">
        <v>-0.81992716229190832</v>
      </c>
      <c r="N1042" s="24" t="s">
        <v>343</v>
      </c>
      <c r="O1042" s="24">
        <v>1.804370262485506</v>
      </c>
      <c r="P1042">
        <v>49.19339512634479</v>
      </c>
      <c r="Q1042" t="s">
        <v>346</v>
      </c>
      <c r="R1042" t="s">
        <v>347</v>
      </c>
      <c r="S1042" t="s">
        <v>343</v>
      </c>
      <c r="T1042" t="s">
        <v>343</v>
      </c>
    </row>
    <row r="1043" spans="2:20" x14ac:dyDescent="0.25">
      <c r="B1043">
        <v>1038</v>
      </c>
      <c r="C1043" t="s">
        <v>1382</v>
      </c>
      <c r="D1043" s="10">
        <v>0.20757584117960809</v>
      </c>
      <c r="E1043" s="10">
        <v>1.389805680013354</v>
      </c>
      <c r="F1043" s="10">
        <v>0.57197869965154569</v>
      </c>
      <c r="G1043" s="10">
        <v>0.45529821637105289</v>
      </c>
      <c r="H1043" s="6">
        <v>0.13796332233322681</v>
      </c>
      <c r="I1043" s="10">
        <v>11.649737278954021</v>
      </c>
      <c r="J1043" s="7">
        <v>3.1342255436502549E-2</v>
      </c>
      <c r="K1043" s="5">
        <v>0.167655820720892</v>
      </c>
      <c r="L1043">
        <v>377.43223872889939</v>
      </c>
      <c r="M1043" s="10">
        <v>-0.36069226793006098</v>
      </c>
      <c r="N1043" s="24" t="s">
        <v>343</v>
      </c>
      <c r="O1043" s="24">
        <v>29.358463924196339</v>
      </c>
      <c r="P1043">
        <v>48.399108409788788</v>
      </c>
      <c r="Q1043" t="s">
        <v>346</v>
      </c>
      <c r="R1043" t="s">
        <v>347</v>
      </c>
      <c r="S1043" t="s">
        <v>343</v>
      </c>
      <c r="T1043" t="s">
        <v>343</v>
      </c>
    </row>
    <row r="1044" spans="2:20" x14ac:dyDescent="0.25">
      <c r="B1044">
        <v>1039</v>
      </c>
      <c r="C1044" t="s">
        <v>1383</v>
      </c>
      <c r="D1044" s="10">
        <v>0.30790339126024491</v>
      </c>
      <c r="E1044" s="10">
        <v>0.62728250873503777</v>
      </c>
      <c r="F1044" s="10">
        <v>0.44630177448268488</v>
      </c>
      <c r="G1044" s="10">
        <v>0.24996492834535031</v>
      </c>
      <c r="H1044" s="6">
        <v>0.18567730641640451</v>
      </c>
      <c r="I1044" s="10">
        <v>13.579157049340029</v>
      </c>
      <c r="J1044" s="7">
        <v>2.942015680626615E-2</v>
      </c>
      <c r="K1044" s="5">
        <v>0.1789972836541924</v>
      </c>
      <c r="L1044">
        <v>164.60121175045799</v>
      </c>
      <c r="M1044" s="10">
        <v>-0.72119279546829096</v>
      </c>
      <c r="N1044" s="24" t="s">
        <v>343</v>
      </c>
      <c r="O1044" s="24">
        <v>7.7284322719025482</v>
      </c>
      <c r="P1044">
        <v>16.224165092874809</v>
      </c>
      <c r="Q1044" t="s">
        <v>348</v>
      </c>
      <c r="R1044" t="s">
        <v>371</v>
      </c>
      <c r="S1044" t="s">
        <v>343</v>
      </c>
      <c r="T1044" t="s">
        <v>343</v>
      </c>
    </row>
    <row r="1045" spans="2:20" x14ac:dyDescent="0.25">
      <c r="B1045">
        <v>1040</v>
      </c>
      <c r="C1045" t="s">
        <v>1384</v>
      </c>
      <c r="D1045" s="10">
        <v>0.31536931922645878</v>
      </c>
      <c r="E1045" s="10">
        <v>0.39251183824476671</v>
      </c>
      <c r="F1045" s="10">
        <v>0.58071997127789743</v>
      </c>
      <c r="G1045" s="10">
        <v>0.34290202714621948</v>
      </c>
      <c r="H1045" s="6">
        <v>0.2145786064917948</v>
      </c>
      <c r="I1045" s="10">
        <v>11.701233587314711</v>
      </c>
      <c r="J1045" s="7">
        <v>3.3886458636423637E-2</v>
      </c>
      <c r="K1045" s="5">
        <v>0.16427113519243411</v>
      </c>
      <c r="L1045">
        <v>114.5297116476673</v>
      </c>
      <c r="M1045" s="10">
        <v>-0.80600562777922569</v>
      </c>
      <c r="N1045" s="24" t="s">
        <v>343</v>
      </c>
      <c r="O1045" s="24">
        <v>2.6396623332464628</v>
      </c>
      <c r="P1045">
        <v>50.982571817145072</v>
      </c>
      <c r="Q1045" t="s">
        <v>47</v>
      </c>
      <c r="R1045" t="s">
        <v>350</v>
      </c>
      <c r="S1045" t="s">
        <v>343</v>
      </c>
      <c r="T1045" t="s">
        <v>343</v>
      </c>
    </row>
    <row r="1046" spans="2:20" x14ac:dyDescent="0.25">
      <c r="B1046">
        <v>1041</v>
      </c>
      <c r="C1046" t="s">
        <v>1385</v>
      </c>
      <c r="D1046" s="10">
        <v>0.31108263825814941</v>
      </c>
      <c r="E1046" s="10">
        <v>0.30557382594698851</v>
      </c>
      <c r="F1046" s="10">
        <v>0.66629203981946894</v>
      </c>
      <c r="G1046" s="10">
        <v>0.33351766977120961</v>
      </c>
      <c r="H1046" s="6">
        <v>0.22788136316355551</v>
      </c>
      <c r="I1046" s="10">
        <v>6.536277245935155</v>
      </c>
      <c r="J1046" s="7">
        <v>2.0125578673768879E-2</v>
      </c>
      <c r="K1046" s="5">
        <v>0.171346165683882</v>
      </c>
      <c r="L1046">
        <v>55.510873943530953</v>
      </c>
      <c r="M1046" s="10">
        <v>-0.90597376883973701</v>
      </c>
      <c r="N1046" s="24" t="s">
        <v>343</v>
      </c>
      <c r="O1046" s="24">
        <v>0</v>
      </c>
      <c r="P1046">
        <v>60.504817682206401</v>
      </c>
      <c r="Q1046" t="s">
        <v>47</v>
      </c>
      <c r="R1046" t="s">
        <v>350</v>
      </c>
      <c r="S1046" t="s">
        <v>343</v>
      </c>
      <c r="T1046" t="s">
        <v>343</v>
      </c>
    </row>
    <row r="1047" spans="2:20" x14ac:dyDescent="0.25">
      <c r="B1047">
        <v>1042</v>
      </c>
      <c r="C1047" t="s">
        <v>1386</v>
      </c>
      <c r="D1047" s="10">
        <v>0.2358742746651942</v>
      </c>
      <c r="E1047" s="10">
        <v>0.74937518534024883</v>
      </c>
      <c r="F1047" s="10">
        <v>0.64086355490921265</v>
      </c>
      <c r="G1047" s="10">
        <v>0.31920417080731678</v>
      </c>
      <c r="H1047" s="6">
        <v>0.2168027779174341</v>
      </c>
      <c r="I1047" s="10">
        <v>12.906242800292491</v>
      </c>
      <c r="J1047" s="7">
        <v>1.188703686772523E-2</v>
      </c>
      <c r="K1047" s="5">
        <v>0.13600864638947879</v>
      </c>
      <c r="L1047">
        <v>114.96093086149369</v>
      </c>
      <c r="M1047" s="10">
        <v>-0.80527521381526557</v>
      </c>
      <c r="N1047" s="24" t="s">
        <v>343</v>
      </c>
      <c r="O1047" s="24">
        <v>2.6834871710840669</v>
      </c>
      <c r="P1047">
        <v>53.02882989490714</v>
      </c>
      <c r="Q1047" t="s">
        <v>47</v>
      </c>
      <c r="R1047" t="s">
        <v>350</v>
      </c>
      <c r="S1047" t="s">
        <v>343</v>
      </c>
      <c r="T1047" t="s">
        <v>343</v>
      </c>
    </row>
    <row r="1048" spans="2:20" x14ac:dyDescent="0.25">
      <c r="B1048">
        <v>1043</v>
      </c>
      <c r="C1048" t="s">
        <v>1387</v>
      </c>
      <c r="D1048" s="10">
        <v>0.29792682415829019</v>
      </c>
      <c r="E1048" s="10">
        <v>0.99279098427672929</v>
      </c>
      <c r="F1048" s="10">
        <v>0.62223573787365805</v>
      </c>
      <c r="G1048" s="10">
        <v>0.41203644778687609</v>
      </c>
      <c r="H1048" s="6">
        <v>0.13787710788485449</v>
      </c>
      <c r="I1048" s="10">
        <v>10.367041841072529</v>
      </c>
      <c r="J1048" s="7">
        <v>1.8787248721364419E-2</v>
      </c>
      <c r="K1048" s="5">
        <v>0.15606751043752221</v>
      </c>
      <c r="L1048">
        <v>441.74680387072902</v>
      </c>
      <c r="M1048" s="10">
        <v>-0.25175404124768003</v>
      </c>
      <c r="N1048" s="24" t="s">
        <v>343</v>
      </c>
      <c r="O1048" s="24">
        <v>35.894757525139212</v>
      </c>
      <c r="P1048">
        <v>20.90058412616731</v>
      </c>
      <c r="Q1048" t="s">
        <v>348</v>
      </c>
      <c r="R1048" t="s">
        <v>625</v>
      </c>
      <c r="S1048" t="s">
        <v>343</v>
      </c>
      <c r="T1048" t="s">
        <v>343</v>
      </c>
    </row>
    <row r="1049" spans="2:20" x14ac:dyDescent="0.25">
      <c r="B1049">
        <v>1044</v>
      </c>
      <c r="C1049" t="s">
        <v>1388</v>
      </c>
      <c r="D1049" s="10">
        <v>0.29512790376561132</v>
      </c>
      <c r="E1049" s="10">
        <v>0.66539717489364447</v>
      </c>
      <c r="F1049" s="10">
        <v>0.47626081019574912</v>
      </c>
      <c r="G1049" s="10">
        <v>0.4039770634287535</v>
      </c>
      <c r="H1049" s="6">
        <v>0.16565167877427281</v>
      </c>
      <c r="I1049" s="10">
        <v>4.7827625831536089</v>
      </c>
      <c r="J1049" s="7">
        <v>1.616865085025837E-2</v>
      </c>
      <c r="K1049" s="5">
        <v>0.17651227257266361</v>
      </c>
      <c r="L1049">
        <v>135.87543999644549</v>
      </c>
      <c r="M1049" s="10">
        <v>-0.76984949753980458</v>
      </c>
      <c r="N1049" s="24" t="s">
        <v>343</v>
      </c>
      <c r="O1049" s="24">
        <v>4.809030147611729</v>
      </c>
      <c r="P1049">
        <v>47.675781087612762</v>
      </c>
      <c r="Q1049" t="s">
        <v>346</v>
      </c>
      <c r="R1049" t="s">
        <v>347</v>
      </c>
      <c r="S1049" t="s">
        <v>343</v>
      </c>
      <c r="T1049" t="s">
        <v>343</v>
      </c>
    </row>
    <row r="1050" spans="2:20" x14ac:dyDescent="0.25">
      <c r="B1050">
        <v>1045</v>
      </c>
      <c r="C1050" t="s">
        <v>1389</v>
      </c>
      <c r="D1050" s="10">
        <v>0.2110560757189209</v>
      </c>
      <c r="E1050" s="10">
        <v>1.2203891020220849</v>
      </c>
      <c r="F1050" s="10">
        <v>0.61101164053674273</v>
      </c>
      <c r="G1050" s="10">
        <v>0.43914948317658692</v>
      </c>
      <c r="H1050" s="6">
        <v>0.23003469674448229</v>
      </c>
      <c r="I1050" s="10">
        <v>3.505615877132962</v>
      </c>
      <c r="J1050" s="7">
        <v>4.2324923287518357E-2</v>
      </c>
      <c r="K1050" s="5">
        <v>0.11635116576861911</v>
      </c>
      <c r="L1050">
        <v>306.55629041035638</v>
      </c>
      <c r="M1050" s="10">
        <v>-0.48074439153887688</v>
      </c>
      <c r="N1050" s="24" t="s">
        <v>343</v>
      </c>
      <c r="O1050" s="24">
        <v>22.155336507667389</v>
      </c>
      <c r="P1050">
        <v>22.786908617323181</v>
      </c>
      <c r="Q1050" t="s">
        <v>348</v>
      </c>
      <c r="R1050" t="s">
        <v>375</v>
      </c>
      <c r="S1050" t="s">
        <v>343</v>
      </c>
      <c r="T1050" t="s">
        <v>343</v>
      </c>
    </row>
    <row r="1051" spans="2:20" x14ac:dyDescent="0.25">
      <c r="B1051">
        <v>1046</v>
      </c>
      <c r="C1051" t="s">
        <v>1390</v>
      </c>
      <c r="D1051" s="10">
        <v>0.29262647586410839</v>
      </c>
      <c r="E1051" s="10">
        <v>1.0882669031215551</v>
      </c>
      <c r="F1051" s="10">
        <v>0.63923757828318761</v>
      </c>
      <c r="G1051" s="10">
        <v>0.32700725576112288</v>
      </c>
      <c r="H1051" s="6">
        <v>0.25202852915041118</v>
      </c>
      <c r="I1051" s="10">
        <v>7.0243016456311382</v>
      </c>
      <c r="J1051" s="7">
        <v>3.9829171003182402E-2</v>
      </c>
      <c r="K1051" s="5">
        <v>0.14016818127848821</v>
      </c>
      <c r="L1051">
        <v>184.0524216329429</v>
      </c>
      <c r="M1051" s="10">
        <v>-0.68824566589115965</v>
      </c>
      <c r="N1051" s="24" t="s">
        <v>343</v>
      </c>
      <c r="O1051" s="24">
        <v>9.7052600465304231</v>
      </c>
      <c r="P1051">
        <v>56.443752556631047</v>
      </c>
      <c r="Q1051" t="s">
        <v>47</v>
      </c>
      <c r="R1051" t="s">
        <v>350</v>
      </c>
      <c r="S1051" t="s">
        <v>343</v>
      </c>
      <c r="T1051" t="s">
        <v>343</v>
      </c>
    </row>
    <row r="1052" spans="2:20" x14ac:dyDescent="0.25">
      <c r="B1052">
        <v>1047</v>
      </c>
      <c r="C1052" t="s">
        <v>1391</v>
      </c>
      <c r="D1052" s="10">
        <v>0.1659212215544788</v>
      </c>
      <c r="E1052" s="10">
        <v>0.6851776851648359</v>
      </c>
      <c r="F1052" s="10">
        <v>0.58882895663102908</v>
      </c>
      <c r="G1052" s="10">
        <v>0.36411949614448108</v>
      </c>
      <c r="H1052" s="6">
        <v>0.12707796225933901</v>
      </c>
      <c r="I1052" s="10">
        <v>11.65550564704845</v>
      </c>
      <c r="J1052" s="7">
        <v>2.1119985924549601E-2</v>
      </c>
      <c r="K1052" s="5">
        <v>0.17034652800558681</v>
      </c>
      <c r="L1052">
        <v>187.3701638692977</v>
      </c>
      <c r="M1052" s="10">
        <v>-0.68262595976361784</v>
      </c>
      <c r="N1052" s="24" t="s">
        <v>343</v>
      </c>
      <c r="O1052" s="24">
        <v>10.042442414182929</v>
      </c>
      <c r="P1052">
        <v>63.301676210265029</v>
      </c>
      <c r="Q1052" t="s">
        <v>47</v>
      </c>
      <c r="R1052" t="s">
        <v>350</v>
      </c>
      <c r="S1052" t="s">
        <v>343</v>
      </c>
      <c r="T1052" t="s">
        <v>343</v>
      </c>
    </row>
    <row r="1053" spans="2:20" x14ac:dyDescent="0.25">
      <c r="B1053">
        <v>1048</v>
      </c>
      <c r="C1053" t="s">
        <v>1392</v>
      </c>
      <c r="D1053" s="10">
        <v>0.25540318055712852</v>
      </c>
      <c r="E1053" s="10">
        <v>1.107740633269465</v>
      </c>
      <c r="F1053" s="10">
        <v>0.67211474117529135</v>
      </c>
      <c r="G1053" s="10">
        <v>0.43630755041526659</v>
      </c>
      <c r="H1053" s="6">
        <v>0.1263343662104966</v>
      </c>
      <c r="I1053" s="10">
        <v>9.8003605499161122</v>
      </c>
      <c r="J1053" s="7">
        <v>3.9262425720258391E-2</v>
      </c>
      <c r="K1053" s="5">
        <v>0.15060047431769261</v>
      </c>
      <c r="L1053">
        <v>322.51969671991719</v>
      </c>
      <c r="M1053" s="10">
        <v>-0.45370502384139028</v>
      </c>
      <c r="N1053" s="24" t="s">
        <v>343</v>
      </c>
      <c r="O1053" s="24">
        <v>23.777698569516581</v>
      </c>
      <c r="P1053">
        <v>52.424701265366537</v>
      </c>
      <c r="Q1053" t="s">
        <v>47</v>
      </c>
      <c r="R1053" t="s">
        <v>350</v>
      </c>
      <c r="S1053" t="s">
        <v>343</v>
      </c>
      <c r="T1053" t="s">
        <v>343</v>
      </c>
    </row>
    <row r="1054" spans="2:20" x14ac:dyDescent="0.25">
      <c r="B1054">
        <v>1049</v>
      </c>
      <c r="C1054" t="s">
        <v>1393</v>
      </c>
      <c r="D1054" s="10">
        <v>0.19680141396603251</v>
      </c>
      <c r="E1054" s="10">
        <v>1.3345365106661751</v>
      </c>
      <c r="F1054" s="10">
        <v>0.51201734326407022</v>
      </c>
      <c r="G1054" s="10">
        <v>0.45864657382818458</v>
      </c>
      <c r="H1054" s="6">
        <v>0.21651067940085941</v>
      </c>
      <c r="I1054" s="10">
        <v>8.7983987570227615</v>
      </c>
      <c r="J1054" s="7">
        <v>1.74113441026847E-2</v>
      </c>
      <c r="K1054" s="5">
        <v>0.1647574580279863</v>
      </c>
      <c r="L1054">
        <v>274.29255786846841</v>
      </c>
      <c r="M1054" s="10">
        <v>-0.53539381350911042</v>
      </c>
      <c r="N1054" s="24" t="s">
        <v>343</v>
      </c>
      <c r="O1054" s="24">
        <v>18.87637118945338</v>
      </c>
      <c r="P1054">
        <v>23.014902536149361</v>
      </c>
      <c r="Q1054" t="s">
        <v>348</v>
      </c>
      <c r="R1054" t="s">
        <v>353</v>
      </c>
      <c r="S1054" t="s">
        <v>343</v>
      </c>
      <c r="T1054" t="s">
        <v>343</v>
      </c>
    </row>
    <row r="1055" spans="2:20" x14ac:dyDescent="0.25">
      <c r="B1055">
        <v>1050</v>
      </c>
      <c r="C1055" t="s">
        <v>1394</v>
      </c>
      <c r="D1055" s="10">
        <v>0.17929070172436459</v>
      </c>
      <c r="E1055" s="10">
        <v>0.40240559839731882</v>
      </c>
      <c r="F1055" s="10">
        <v>0.50295762193220517</v>
      </c>
      <c r="G1055" s="10">
        <v>0.45324475972037809</v>
      </c>
      <c r="H1055" s="6">
        <v>0.20220692312449209</v>
      </c>
      <c r="I1055" s="10">
        <v>3.0410039804928402</v>
      </c>
      <c r="J1055" s="7">
        <v>1.698527387878522E-2</v>
      </c>
      <c r="K1055" s="5">
        <v>0.12782257360820229</v>
      </c>
      <c r="L1055">
        <v>81.604995165474804</v>
      </c>
      <c r="M1055" s="10">
        <v>-0.8617746471246962</v>
      </c>
      <c r="N1055" s="24" t="s">
        <v>343</v>
      </c>
      <c r="O1055" s="24">
        <v>0</v>
      </c>
      <c r="P1055">
        <v>55.97529996356058</v>
      </c>
      <c r="Q1055" t="s">
        <v>47</v>
      </c>
      <c r="R1055" t="s">
        <v>350</v>
      </c>
      <c r="S1055" t="s">
        <v>343</v>
      </c>
      <c r="T1055" t="s">
        <v>343</v>
      </c>
    </row>
    <row r="1056" spans="2:20" x14ac:dyDescent="0.25">
      <c r="B1056">
        <v>1051</v>
      </c>
      <c r="C1056" t="s">
        <v>1395</v>
      </c>
      <c r="D1056" s="10">
        <v>0.17231251226067351</v>
      </c>
      <c r="E1056" s="10">
        <v>0.63671435617337857</v>
      </c>
      <c r="F1056" s="10">
        <v>0.6660881336850879</v>
      </c>
      <c r="G1056" s="10">
        <v>0.39792565167912147</v>
      </c>
      <c r="H1056" s="6">
        <v>0.14330085757765709</v>
      </c>
      <c r="I1056" s="10">
        <v>7.7905077230861659</v>
      </c>
      <c r="J1056" s="7">
        <v>3.6863740013611743E-2</v>
      </c>
      <c r="K1056" s="5">
        <v>0.10307253287518001</v>
      </c>
      <c r="L1056">
        <v>118.1215372265236</v>
      </c>
      <c r="M1056" s="10">
        <v>-0.79992166984139101</v>
      </c>
      <c r="N1056" s="24" t="s">
        <v>343</v>
      </c>
      <c r="O1056" s="24">
        <v>3.0046998095165449</v>
      </c>
      <c r="P1056">
        <v>47.477887127618168</v>
      </c>
      <c r="Q1056" t="s">
        <v>346</v>
      </c>
      <c r="R1056" t="s">
        <v>347</v>
      </c>
      <c r="S1056" t="s">
        <v>343</v>
      </c>
      <c r="T1056" t="s">
        <v>343</v>
      </c>
    </row>
    <row r="1057" spans="2:20" x14ac:dyDescent="0.25">
      <c r="B1057">
        <v>1052</v>
      </c>
      <c r="C1057" t="s">
        <v>1396</v>
      </c>
      <c r="D1057" s="10">
        <v>0.27140620414050243</v>
      </c>
      <c r="E1057" s="10">
        <v>0.80965853302836255</v>
      </c>
      <c r="F1057" s="10">
        <v>0.60260354317777765</v>
      </c>
      <c r="G1057" s="10">
        <v>0.27151006271823952</v>
      </c>
      <c r="H1057" s="6">
        <v>0.20224373725454409</v>
      </c>
      <c r="I1057" s="10">
        <v>4.7349572759777372</v>
      </c>
      <c r="J1057" s="7">
        <v>2.1442571439855861E-2</v>
      </c>
      <c r="K1057" s="5">
        <v>0.1027688490766657</v>
      </c>
      <c r="L1057">
        <v>115.0096281560087</v>
      </c>
      <c r="M1057" s="10">
        <v>-0.80519272865973357</v>
      </c>
      <c r="N1057" s="24" t="s">
        <v>343</v>
      </c>
      <c r="O1057" s="24">
        <v>2.6884362804159849</v>
      </c>
      <c r="P1057">
        <v>58.367890644133041</v>
      </c>
      <c r="Q1057" t="s">
        <v>47</v>
      </c>
      <c r="R1057" t="s">
        <v>350</v>
      </c>
      <c r="S1057" t="s">
        <v>343</v>
      </c>
      <c r="T1057" t="s">
        <v>343</v>
      </c>
    </row>
    <row r="1058" spans="2:20" x14ac:dyDescent="0.25">
      <c r="B1058">
        <v>1053</v>
      </c>
      <c r="C1058" t="s">
        <v>1397</v>
      </c>
      <c r="D1058" s="10">
        <v>0.21437999420289061</v>
      </c>
      <c r="E1058" s="10">
        <v>0.84778914053024534</v>
      </c>
      <c r="F1058" s="10">
        <v>0.44037627733545981</v>
      </c>
      <c r="G1058" s="10">
        <v>0.24510092259446581</v>
      </c>
      <c r="H1058" s="6">
        <v>0.26617310152512758</v>
      </c>
      <c r="I1058" s="10">
        <v>8.0002413682450673</v>
      </c>
      <c r="J1058" s="7">
        <v>1.2267742379860169E-2</v>
      </c>
      <c r="K1058" s="5">
        <v>0.18956421177038299</v>
      </c>
      <c r="L1058">
        <v>154.1140870867051</v>
      </c>
      <c r="M1058" s="10">
        <v>-0.73895624860440279</v>
      </c>
      <c r="N1058" s="24" t="s">
        <v>343</v>
      </c>
      <c r="O1058" s="24">
        <v>6.6626250837358327</v>
      </c>
      <c r="P1058">
        <v>57.01059544793506</v>
      </c>
      <c r="Q1058" t="s">
        <v>47</v>
      </c>
      <c r="R1058" t="s">
        <v>350</v>
      </c>
      <c r="S1058" t="s">
        <v>343</v>
      </c>
      <c r="T1058" t="s">
        <v>343</v>
      </c>
    </row>
    <row r="1059" spans="2:20" x14ac:dyDescent="0.25">
      <c r="B1059">
        <v>1054</v>
      </c>
      <c r="C1059" t="s">
        <v>1398</v>
      </c>
      <c r="D1059" s="10">
        <v>0.27596268344460179</v>
      </c>
      <c r="E1059" s="10">
        <v>0.89641520937468089</v>
      </c>
      <c r="F1059" s="10">
        <v>0.5318141662128737</v>
      </c>
      <c r="G1059" s="10">
        <v>0.42154803840864719</v>
      </c>
      <c r="H1059" s="6">
        <v>0.2146350330594938</v>
      </c>
      <c r="I1059" s="10">
        <v>13.9094735418662</v>
      </c>
      <c r="J1059" s="7">
        <v>3.5199530332706862E-2</v>
      </c>
      <c r="K1059" s="5">
        <v>0.18973130417952891</v>
      </c>
      <c r="L1059">
        <v>153.6951109003999</v>
      </c>
      <c r="M1059" s="10">
        <v>-0.73966592490645955</v>
      </c>
      <c r="N1059" s="24" t="s">
        <v>343</v>
      </c>
      <c r="O1059" s="24">
        <v>6.6200445056124337</v>
      </c>
      <c r="P1059">
        <v>48.872981166475313</v>
      </c>
      <c r="Q1059" t="s">
        <v>346</v>
      </c>
      <c r="R1059" t="s">
        <v>347</v>
      </c>
      <c r="S1059" t="s">
        <v>343</v>
      </c>
      <c r="T1059" t="s">
        <v>343</v>
      </c>
    </row>
    <row r="1060" spans="2:20" x14ac:dyDescent="0.25">
      <c r="B1060">
        <v>1055</v>
      </c>
      <c r="C1060" t="s">
        <v>1399</v>
      </c>
      <c r="D1060" s="10">
        <v>0.1704570145278308</v>
      </c>
      <c r="E1060" s="10">
        <v>0.63068959719251327</v>
      </c>
      <c r="F1060" s="10">
        <v>0.6630425563118153</v>
      </c>
      <c r="G1060" s="10">
        <v>0.42500724538820162</v>
      </c>
      <c r="H1060" s="6">
        <v>0.18737117340745779</v>
      </c>
      <c r="I1060" s="10">
        <v>12.67492705431922</v>
      </c>
      <c r="J1060" s="7">
        <v>4.4636048303231611E-2</v>
      </c>
      <c r="K1060" s="5">
        <v>0.1200718222956889</v>
      </c>
      <c r="L1060">
        <v>411.82713580643821</v>
      </c>
      <c r="M1060" s="10">
        <v>-0.30243300603056439</v>
      </c>
      <c r="N1060" s="24" t="s">
        <v>343</v>
      </c>
      <c r="O1060" s="24">
        <v>32.854019638166143</v>
      </c>
      <c r="P1060">
        <v>13.142219217507311</v>
      </c>
      <c r="Q1060" t="s">
        <v>348</v>
      </c>
      <c r="R1060" t="s">
        <v>351</v>
      </c>
      <c r="S1060" t="s">
        <v>343</v>
      </c>
      <c r="T1060" t="s">
        <v>343</v>
      </c>
    </row>
    <row r="1061" spans="2:20" x14ac:dyDescent="0.25">
      <c r="B1061">
        <v>1056</v>
      </c>
      <c r="C1061" t="s">
        <v>1400</v>
      </c>
      <c r="D1061" s="10">
        <v>0.21044645405289769</v>
      </c>
      <c r="E1061" s="10">
        <v>1.033985610580584</v>
      </c>
      <c r="F1061" s="10">
        <v>0.44710307302685331</v>
      </c>
      <c r="G1061" s="10">
        <v>0.40419939981796332</v>
      </c>
      <c r="H1061" s="6">
        <v>0.24412987319093629</v>
      </c>
      <c r="I1061" s="10">
        <v>6.4169366451723917</v>
      </c>
      <c r="J1061" s="7">
        <v>2.9809220018942019E-2</v>
      </c>
      <c r="K1061" s="5">
        <v>0.11400923750723969</v>
      </c>
      <c r="L1061">
        <v>218.3630125297712</v>
      </c>
      <c r="M1061" s="10">
        <v>-0.63012920470569589</v>
      </c>
      <c r="N1061" s="24" t="s">
        <v>343</v>
      </c>
      <c r="O1061" s="24">
        <v>13.192247717658249</v>
      </c>
      <c r="P1061">
        <v>58.856852305139398</v>
      </c>
      <c r="Q1061" t="s">
        <v>47</v>
      </c>
      <c r="R1061" t="s">
        <v>350</v>
      </c>
      <c r="S1061" t="s">
        <v>343</v>
      </c>
      <c r="T1061" t="s">
        <v>343</v>
      </c>
    </row>
    <row r="1062" spans="2:20" x14ac:dyDescent="0.25">
      <c r="B1062">
        <v>1057</v>
      </c>
      <c r="C1062" t="s">
        <v>1401</v>
      </c>
      <c r="D1062" s="10">
        <v>0.24631860678005399</v>
      </c>
      <c r="E1062" s="10">
        <v>1.009592953882813</v>
      </c>
      <c r="F1062" s="10">
        <v>0.44084446134799232</v>
      </c>
      <c r="G1062" s="10">
        <v>0.30158316691982839</v>
      </c>
      <c r="H1062" s="6">
        <v>0.1519233728478227</v>
      </c>
      <c r="I1062" s="10">
        <v>9.5285813225922489</v>
      </c>
      <c r="J1062" s="7">
        <v>1.9228365136227051E-2</v>
      </c>
      <c r="K1062" s="5">
        <v>0.10172328421983701</v>
      </c>
      <c r="L1062">
        <v>178.85080403120071</v>
      </c>
      <c r="M1062" s="10">
        <v>-0.69705634502992142</v>
      </c>
      <c r="N1062" s="24" t="s">
        <v>343</v>
      </c>
      <c r="O1062" s="24">
        <v>9.1766192982047166</v>
      </c>
      <c r="P1062">
        <v>53.462131968528233</v>
      </c>
      <c r="Q1062" t="s">
        <v>47</v>
      </c>
      <c r="R1062" t="s">
        <v>350</v>
      </c>
      <c r="S1062" t="s">
        <v>343</v>
      </c>
      <c r="T1062" t="s">
        <v>343</v>
      </c>
    </row>
    <row r="1063" spans="2:20" x14ac:dyDescent="0.25">
      <c r="B1063">
        <v>1058</v>
      </c>
      <c r="C1063" t="s">
        <v>1402</v>
      </c>
      <c r="D1063" s="10">
        <v>0.28651570637423418</v>
      </c>
      <c r="E1063" s="10">
        <v>0.93560365689877512</v>
      </c>
      <c r="F1063" s="10">
        <v>0.51312741553653374</v>
      </c>
      <c r="G1063" s="10">
        <v>0.38075992911167589</v>
      </c>
      <c r="H1063" s="6">
        <v>0.18214896462403701</v>
      </c>
      <c r="I1063" s="10">
        <v>8.5230475675530943</v>
      </c>
      <c r="J1063" s="7">
        <v>2.3051699278804409E-2</v>
      </c>
      <c r="K1063" s="5">
        <v>0.1219694013499496</v>
      </c>
      <c r="L1063">
        <v>278.06852314561831</v>
      </c>
      <c r="M1063" s="10">
        <v>-0.52899795340495137</v>
      </c>
      <c r="N1063" s="24" t="s">
        <v>343</v>
      </c>
      <c r="O1063" s="24">
        <v>19.26012279570292</v>
      </c>
      <c r="P1063">
        <v>68.805508794794051</v>
      </c>
      <c r="Q1063" t="s">
        <v>47</v>
      </c>
      <c r="R1063" t="s">
        <v>350</v>
      </c>
      <c r="S1063" t="s">
        <v>343</v>
      </c>
      <c r="T1063" t="s">
        <v>343</v>
      </c>
    </row>
    <row r="1064" spans="2:20" x14ac:dyDescent="0.25">
      <c r="B1064">
        <v>1059</v>
      </c>
      <c r="C1064" t="s">
        <v>1403</v>
      </c>
      <c r="D1064" s="10">
        <v>0.21100040046913121</v>
      </c>
      <c r="E1064" s="10">
        <v>0.42513789388196421</v>
      </c>
      <c r="F1064" s="10">
        <v>0.67764000962241222</v>
      </c>
      <c r="G1064" s="10">
        <v>0.30957465719936028</v>
      </c>
      <c r="H1064" s="6">
        <v>0.19916518377162709</v>
      </c>
      <c r="I1064" s="10">
        <v>4.4305170573615111</v>
      </c>
      <c r="J1064" s="7">
        <v>3.2702734550958547E-2</v>
      </c>
      <c r="K1064" s="5">
        <v>0.1317633869096845</v>
      </c>
      <c r="L1064">
        <v>99.022839009419613</v>
      </c>
      <c r="M1064" s="10">
        <v>-0.83227170301233866</v>
      </c>
      <c r="N1064" s="24" t="s">
        <v>343</v>
      </c>
      <c r="O1064" s="24">
        <v>1.0636978192596871</v>
      </c>
      <c r="P1064">
        <v>59.700505003610409</v>
      </c>
      <c r="Q1064" t="s">
        <v>47</v>
      </c>
      <c r="R1064" t="s">
        <v>350</v>
      </c>
      <c r="S1064" t="s">
        <v>343</v>
      </c>
      <c r="T1064" t="s">
        <v>343</v>
      </c>
    </row>
    <row r="1065" spans="2:20" x14ac:dyDescent="0.25">
      <c r="B1065">
        <v>1060</v>
      </c>
      <c r="C1065" t="s">
        <v>1404</v>
      </c>
      <c r="D1065" s="10">
        <v>0.26014262022992152</v>
      </c>
      <c r="E1065" s="10">
        <v>0.82466468020553885</v>
      </c>
      <c r="F1065" s="10">
        <v>0.67438417118220417</v>
      </c>
      <c r="G1065" s="10">
        <v>0.33914261414220342</v>
      </c>
      <c r="H1065" s="6">
        <v>0.19568098380761331</v>
      </c>
      <c r="I1065" s="10">
        <v>13.88787167396703</v>
      </c>
      <c r="J1065" s="7">
        <v>3.4548286426052018E-2</v>
      </c>
      <c r="K1065" s="5">
        <v>0.1229180501955987</v>
      </c>
      <c r="L1065">
        <v>291.95120676777572</v>
      </c>
      <c r="M1065" s="10">
        <v>-0.50548298549596782</v>
      </c>
      <c r="N1065" s="24" t="s">
        <v>343</v>
      </c>
      <c r="O1065" s="24">
        <v>20.671020870241929</v>
      </c>
      <c r="P1065">
        <v>60.041331944972043</v>
      </c>
      <c r="Q1065" t="s">
        <v>47</v>
      </c>
      <c r="R1065" t="s">
        <v>350</v>
      </c>
      <c r="S1065" t="s">
        <v>343</v>
      </c>
      <c r="T1065" t="s">
        <v>343</v>
      </c>
    </row>
    <row r="1066" spans="2:20" x14ac:dyDescent="0.25">
      <c r="B1066">
        <v>1061</v>
      </c>
      <c r="C1066" t="s">
        <v>1405</v>
      </c>
      <c r="D1066" s="10">
        <v>0.30175643971778998</v>
      </c>
      <c r="E1066" s="10">
        <v>0.69184957623831311</v>
      </c>
      <c r="F1066" s="10">
        <v>0.57487810590839206</v>
      </c>
      <c r="G1066" s="10">
        <v>0.32413571869571228</v>
      </c>
      <c r="H1066" s="6">
        <v>0.25814587038167291</v>
      </c>
      <c r="I1066" s="10">
        <v>7.6769267227461997</v>
      </c>
      <c r="J1066" s="7">
        <v>4.1021627801361843E-2</v>
      </c>
      <c r="K1066" s="5">
        <v>0.1757514933290891</v>
      </c>
      <c r="L1066">
        <v>120.15500726901369</v>
      </c>
      <c r="M1066" s="10">
        <v>-0.79647730821114271</v>
      </c>
      <c r="N1066" s="24" t="s">
        <v>343</v>
      </c>
      <c r="O1066" s="24">
        <v>3.2113615073314321</v>
      </c>
      <c r="P1066">
        <v>52.074038778431238</v>
      </c>
      <c r="Q1066" t="s">
        <v>47</v>
      </c>
      <c r="R1066" t="s">
        <v>350</v>
      </c>
      <c r="S1066" t="s">
        <v>343</v>
      </c>
      <c r="T1066" t="s">
        <v>343</v>
      </c>
    </row>
    <row r="1067" spans="2:20" x14ac:dyDescent="0.25">
      <c r="B1067">
        <v>1062</v>
      </c>
      <c r="C1067" t="s">
        <v>1406</v>
      </c>
      <c r="D1067" s="10">
        <v>0.25853811010916872</v>
      </c>
      <c r="E1067" s="10">
        <v>0.84014231682193485</v>
      </c>
      <c r="F1067" s="10">
        <v>0.5838415864963018</v>
      </c>
      <c r="G1067" s="10">
        <v>0.44100081909381228</v>
      </c>
      <c r="H1067" s="6">
        <v>0.16390021608700139</v>
      </c>
      <c r="I1067" s="10">
        <v>8.562249407790123</v>
      </c>
      <c r="J1067" s="7">
        <v>4.1809238031170738E-2</v>
      </c>
      <c r="K1067" s="5">
        <v>0.17119589743116639</v>
      </c>
      <c r="L1067">
        <v>135.123008244934</v>
      </c>
      <c r="M1067" s="10">
        <v>-0.77112399236890616</v>
      </c>
      <c r="N1067" s="24" t="s">
        <v>343</v>
      </c>
      <c r="O1067" s="24">
        <v>4.7325604578656311</v>
      </c>
      <c r="P1067">
        <v>18.351904597635709</v>
      </c>
      <c r="Q1067" t="s">
        <v>348</v>
      </c>
      <c r="R1067" t="s">
        <v>353</v>
      </c>
      <c r="S1067" t="s">
        <v>343</v>
      </c>
      <c r="T1067" t="s">
        <v>343</v>
      </c>
    </row>
    <row r="1068" spans="2:20" x14ac:dyDescent="0.25">
      <c r="B1068">
        <v>1063</v>
      </c>
      <c r="C1068" t="s">
        <v>1407</v>
      </c>
      <c r="D1068" s="10">
        <v>0.1972735159605814</v>
      </c>
      <c r="E1068" s="10">
        <v>1.314053079066529</v>
      </c>
      <c r="F1068" s="10">
        <v>0.52632208294246907</v>
      </c>
      <c r="G1068" s="10">
        <v>0.29151461276365259</v>
      </c>
      <c r="H1068" s="6">
        <v>0.12847555810944289</v>
      </c>
      <c r="I1068" s="10">
        <v>10.12359243542034</v>
      </c>
      <c r="J1068" s="7">
        <v>4.0144747928749863E-2</v>
      </c>
      <c r="K1068" s="5">
        <v>0.107696343745158</v>
      </c>
      <c r="L1068">
        <v>412.70057597865838</v>
      </c>
      <c r="M1068" s="10">
        <v>-0.30095354296858162</v>
      </c>
      <c r="N1068" s="24" t="s">
        <v>343</v>
      </c>
      <c r="O1068" s="24">
        <v>32.9427874218851</v>
      </c>
      <c r="P1068">
        <v>18.84716848116458</v>
      </c>
      <c r="Q1068" t="s">
        <v>348</v>
      </c>
      <c r="R1068" t="s">
        <v>375</v>
      </c>
      <c r="S1068" t="s">
        <v>343</v>
      </c>
      <c r="T1068" t="s">
        <v>343</v>
      </c>
    </row>
    <row r="1069" spans="2:20" x14ac:dyDescent="0.25">
      <c r="B1069">
        <v>1064</v>
      </c>
      <c r="C1069" t="s">
        <v>1408</v>
      </c>
      <c r="D1069" s="10">
        <v>0.16390412504904611</v>
      </c>
      <c r="E1069" s="10">
        <v>0.82858447747424901</v>
      </c>
      <c r="F1069" s="10">
        <v>0.50337153212723051</v>
      </c>
      <c r="G1069" s="10">
        <v>0.36707439900622513</v>
      </c>
      <c r="H1069" s="6">
        <v>0.25745658067706129</v>
      </c>
      <c r="I1069" s="10">
        <v>5.1069898644367973</v>
      </c>
      <c r="J1069" s="7">
        <v>3.2697182417870591E-2</v>
      </c>
      <c r="K1069" s="5">
        <v>0.1662455527696988</v>
      </c>
      <c r="L1069">
        <v>105.9456164729846</v>
      </c>
      <c r="M1069" s="10">
        <v>-0.820545663989383</v>
      </c>
      <c r="N1069" s="24" t="s">
        <v>343</v>
      </c>
      <c r="O1069" s="24">
        <v>1.767260160637022</v>
      </c>
      <c r="P1069">
        <v>66.313912394180448</v>
      </c>
      <c r="Q1069" t="s">
        <v>47</v>
      </c>
      <c r="R1069" t="s">
        <v>350</v>
      </c>
      <c r="S1069" t="s">
        <v>343</v>
      </c>
      <c r="T1069" t="s">
        <v>343</v>
      </c>
    </row>
    <row r="1070" spans="2:20" x14ac:dyDescent="0.25">
      <c r="B1070">
        <v>1065</v>
      </c>
      <c r="C1070" t="s">
        <v>1409</v>
      </c>
      <c r="D1070" s="10">
        <v>0.2992158198241488</v>
      </c>
      <c r="E1070" s="10">
        <v>0.31537887102346301</v>
      </c>
      <c r="F1070" s="10">
        <v>0.6519576820951507</v>
      </c>
      <c r="G1070" s="10">
        <v>0.31941593638744897</v>
      </c>
      <c r="H1070" s="6">
        <v>0.1525601485707514</v>
      </c>
      <c r="I1070" s="10">
        <v>5.4444926259556334</v>
      </c>
      <c r="J1070" s="7">
        <v>2.5744832943674929E-2</v>
      </c>
      <c r="K1070" s="5">
        <v>0.14945558638935211</v>
      </c>
      <c r="L1070">
        <v>113.9437845006141</v>
      </c>
      <c r="M1070" s="10">
        <v>-0.80699809137163714</v>
      </c>
      <c r="N1070" s="24" t="s">
        <v>343</v>
      </c>
      <c r="O1070" s="24">
        <v>2.580114517701773</v>
      </c>
      <c r="P1070">
        <v>60.023328909022467</v>
      </c>
      <c r="Q1070" t="s">
        <v>47</v>
      </c>
      <c r="R1070" t="s">
        <v>350</v>
      </c>
      <c r="S1070" t="s">
        <v>343</v>
      </c>
      <c r="T1070" t="s">
        <v>343</v>
      </c>
    </row>
    <row r="1071" spans="2:20" x14ac:dyDescent="0.25">
      <c r="B1071">
        <v>1066</v>
      </c>
      <c r="C1071" t="s">
        <v>1410</v>
      </c>
      <c r="D1071" s="10">
        <v>0.16340310573606201</v>
      </c>
      <c r="E1071" s="10">
        <v>0.78272041189254393</v>
      </c>
      <c r="F1071" s="10">
        <v>0.46763666372990681</v>
      </c>
      <c r="G1071" s="10">
        <v>0.38587564462112972</v>
      </c>
      <c r="H1071" s="6">
        <v>0.1768541960965061</v>
      </c>
      <c r="I1071" s="10">
        <v>5.1181426771608116</v>
      </c>
      <c r="J1071" s="7">
        <v>3.3775691953215559E-2</v>
      </c>
      <c r="K1071" s="5">
        <v>0.11255578010561169</v>
      </c>
      <c r="L1071">
        <v>119.267420422908</v>
      </c>
      <c r="M1071" s="10">
        <v>-0.7979807333968395</v>
      </c>
      <c r="N1071" s="24" t="s">
        <v>343</v>
      </c>
      <c r="O1071" s="24">
        <v>3.121155996189636</v>
      </c>
      <c r="P1071">
        <v>63.967131631904813</v>
      </c>
      <c r="Q1071" t="s">
        <v>47</v>
      </c>
      <c r="R1071" t="s">
        <v>350</v>
      </c>
      <c r="S1071" t="s">
        <v>343</v>
      </c>
      <c r="T1071" t="s">
        <v>343</v>
      </c>
    </row>
    <row r="1072" spans="2:20" x14ac:dyDescent="0.25">
      <c r="B1072">
        <v>1067</v>
      </c>
      <c r="C1072" t="s">
        <v>1411</v>
      </c>
      <c r="D1072" s="10">
        <v>0.29995226762947191</v>
      </c>
      <c r="E1072" s="10">
        <v>1.2027129980543201</v>
      </c>
      <c r="F1072" s="10">
        <v>0.56671213642844531</v>
      </c>
      <c r="G1072" s="10">
        <v>0.36420389105904449</v>
      </c>
      <c r="H1072" s="6">
        <v>0.19963374367771161</v>
      </c>
      <c r="I1072" s="10">
        <v>7.229120978131812</v>
      </c>
      <c r="J1072" s="7">
        <v>3.3329791007581523E-2</v>
      </c>
      <c r="K1072" s="5">
        <v>0.17025586589683331</v>
      </c>
      <c r="L1072">
        <v>318.54888705600001</v>
      </c>
      <c r="M1072" s="10">
        <v>-0.4604309180820878</v>
      </c>
      <c r="N1072" s="24" t="s">
        <v>343</v>
      </c>
      <c r="O1072" s="24">
        <v>23.37414491507473</v>
      </c>
      <c r="P1072">
        <v>62.484258409012519</v>
      </c>
      <c r="Q1072" t="s">
        <v>47</v>
      </c>
      <c r="R1072" t="s">
        <v>350</v>
      </c>
      <c r="S1072" t="s">
        <v>343</v>
      </c>
      <c r="T1072" t="s">
        <v>343</v>
      </c>
    </row>
    <row r="1073" spans="2:20" x14ac:dyDescent="0.25">
      <c r="B1073">
        <v>1068</v>
      </c>
      <c r="C1073" t="s">
        <v>1412</v>
      </c>
      <c r="D1073" s="10">
        <v>0.2446299414443539</v>
      </c>
      <c r="E1073" s="10">
        <v>1.158067015539985</v>
      </c>
      <c r="F1073" s="10">
        <v>0.60494328746924197</v>
      </c>
      <c r="G1073" s="10">
        <v>0.4432750899005069</v>
      </c>
      <c r="H1073" s="6">
        <v>0.26638207058223212</v>
      </c>
      <c r="I1073" s="10">
        <v>5.1964465210349244</v>
      </c>
      <c r="J1073" s="7">
        <v>1.7629402245695591E-2</v>
      </c>
      <c r="K1073" s="5">
        <v>0.10817432869154921</v>
      </c>
      <c r="L1073">
        <v>289.52231261797169</v>
      </c>
      <c r="M1073" s="10">
        <v>-0.50959713010528518</v>
      </c>
      <c r="N1073" s="24" t="s">
        <v>343</v>
      </c>
      <c r="O1073" s="24">
        <v>20.424172193682889</v>
      </c>
      <c r="P1073">
        <v>47.087576622565408</v>
      </c>
      <c r="Q1073" t="s">
        <v>346</v>
      </c>
      <c r="R1073" t="s">
        <v>347</v>
      </c>
      <c r="S1073" t="s">
        <v>343</v>
      </c>
      <c r="T1073" t="s">
        <v>343</v>
      </c>
    </row>
    <row r="1074" spans="2:20" x14ac:dyDescent="0.25">
      <c r="B1074">
        <v>1069</v>
      </c>
      <c r="C1074" t="s">
        <v>1413</v>
      </c>
      <c r="D1074" s="10">
        <v>0.31025083176206342</v>
      </c>
      <c r="E1074" s="10">
        <v>0.86472908088099909</v>
      </c>
      <c r="F1074" s="10">
        <v>0.46695687549646758</v>
      </c>
      <c r="G1074" s="10">
        <v>0.26235467337426688</v>
      </c>
      <c r="H1074" s="6">
        <v>0.20029026624428969</v>
      </c>
      <c r="I1074" s="10">
        <v>13.19035564736628</v>
      </c>
      <c r="J1074" s="7">
        <v>2.7764377029073899E-2</v>
      </c>
      <c r="K1074" s="5">
        <v>0.1168293132511302</v>
      </c>
      <c r="L1074">
        <v>169.21898832610739</v>
      </c>
      <c r="M1074" s="10">
        <v>-0.71337104637837134</v>
      </c>
      <c r="N1074" s="24" t="s">
        <v>343</v>
      </c>
      <c r="O1074" s="24">
        <v>8.1977372172977176</v>
      </c>
      <c r="P1074">
        <v>17.310587162524151</v>
      </c>
      <c r="Q1074" t="s">
        <v>348</v>
      </c>
      <c r="R1074" t="s">
        <v>371</v>
      </c>
      <c r="S1074" t="s">
        <v>343</v>
      </c>
      <c r="T1074" t="s">
        <v>343</v>
      </c>
    </row>
    <row r="1075" spans="2:20" x14ac:dyDescent="0.25">
      <c r="B1075">
        <v>1070</v>
      </c>
      <c r="C1075" t="s">
        <v>1414</v>
      </c>
      <c r="D1075" s="10">
        <v>0.28780531772378648</v>
      </c>
      <c r="E1075" s="10">
        <v>0.57474591414524678</v>
      </c>
      <c r="F1075" s="10">
        <v>0.57509784482281001</v>
      </c>
      <c r="G1075" s="10">
        <v>0.28854098474648793</v>
      </c>
      <c r="H1075" s="6">
        <v>0.18716149598227191</v>
      </c>
      <c r="I1075" s="10">
        <v>10.85745450985265</v>
      </c>
      <c r="J1075" s="7">
        <v>1.728751673780925E-2</v>
      </c>
      <c r="K1075" s="5">
        <v>0.1141765157475505</v>
      </c>
      <c r="L1075">
        <v>262.70791107837101</v>
      </c>
      <c r="M1075" s="10">
        <v>-0.5550162874428437</v>
      </c>
      <c r="N1075" s="24" t="s">
        <v>343</v>
      </c>
      <c r="O1075" s="24">
        <v>17.699022753429379</v>
      </c>
      <c r="P1075">
        <v>52.096026358124419</v>
      </c>
      <c r="Q1075" t="s">
        <v>47</v>
      </c>
      <c r="R1075" t="s">
        <v>350</v>
      </c>
      <c r="S1075" t="s">
        <v>343</v>
      </c>
      <c r="T1075" t="s">
        <v>343</v>
      </c>
    </row>
    <row r="1076" spans="2:20" x14ac:dyDescent="0.25">
      <c r="B1076">
        <v>1071</v>
      </c>
      <c r="C1076" t="s">
        <v>1415</v>
      </c>
      <c r="D1076" s="10">
        <v>0.319669457685334</v>
      </c>
      <c r="E1076" s="10">
        <v>0.81159752920599959</v>
      </c>
      <c r="F1076" s="10">
        <v>0.59015553485723515</v>
      </c>
      <c r="G1076" s="10">
        <v>0.4085965520428323</v>
      </c>
      <c r="H1076" s="6">
        <v>0.207545771927647</v>
      </c>
      <c r="I1076" s="10">
        <v>12.876191261452741</v>
      </c>
      <c r="J1076" s="7">
        <v>4.1469332334487352E-2</v>
      </c>
      <c r="K1076" s="5">
        <v>0.189208173395816</v>
      </c>
      <c r="L1076">
        <v>179.3385097852634</v>
      </c>
      <c r="M1076" s="10">
        <v>-0.69623025221761325</v>
      </c>
      <c r="N1076" s="24" t="s">
        <v>343</v>
      </c>
      <c r="O1076" s="24">
        <v>9.2261848669432069</v>
      </c>
      <c r="P1076">
        <v>47.397743529825519</v>
      </c>
      <c r="Q1076" t="s">
        <v>346</v>
      </c>
      <c r="R1076" t="s">
        <v>347</v>
      </c>
      <c r="S1076" t="s">
        <v>343</v>
      </c>
      <c r="T1076" t="s">
        <v>343</v>
      </c>
    </row>
    <row r="1077" spans="2:20" x14ac:dyDescent="0.25">
      <c r="B1077">
        <v>1072</v>
      </c>
      <c r="C1077" t="s">
        <v>1416</v>
      </c>
      <c r="D1077" s="10">
        <v>0.21611389047227361</v>
      </c>
      <c r="E1077" s="10">
        <v>0.92007244136001076</v>
      </c>
      <c r="F1077" s="10">
        <v>0.63304897573191488</v>
      </c>
      <c r="G1077" s="10">
        <v>0.32113310477686552</v>
      </c>
      <c r="H1077" s="6">
        <v>0.26562122398757071</v>
      </c>
      <c r="I1077" s="10">
        <v>12.333325433412179</v>
      </c>
      <c r="J1077" s="7">
        <v>2.131367680102295E-2</v>
      </c>
      <c r="K1077" s="5">
        <v>0.1663248203044416</v>
      </c>
      <c r="L1077">
        <v>198.00271393330539</v>
      </c>
      <c r="M1077" s="10">
        <v>-0.66461618007327372</v>
      </c>
      <c r="N1077" s="24" t="s">
        <v>343</v>
      </c>
      <c r="O1077" s="24">
        <v>11.12302919560358</v>
      </c>
      <c r="P1077">
        <v>55.759048893325946</v>
      </c>
      <c r="Q1077" t="s">
        <v>47</v>
      </c>
      <c r="R1077" t="s">
        <v>350</v>
      </c>
      <c r="S1077" t="s">
        <v>343</v>
      </c>
      <c r="T1077" t="s">
        <v>343</v>
      </c>
    </row>
    <row r="1078" spans="2:20" x14ac:dyDescent="0.25">
      <c r="B1078">
        <v>1073</v>
      </c>
      <c r="C1078" t="s">
        <v>1417</v>
      </c>
      <c r="D1078" s="10">
        <v>0.28275012622898033</v>
      </c>
      <c r="E1078" s="10">
        <v>1.399858582101547</v>
      </c>
      <c r="F1078" s="10">
        <v>0.50105737277835849</v>
      </c>
      <c r="G1078" s="10">
        <v>0.27647243297031932</v>
      </c>
      <c r="H1078" s="6">
        <v>0.24269168981346609</v>
      </c>
      <c r="I1078" s="10">
        <v>10.734671467197749</v>
      </c>
      <c r="J1078" s="7">
        <v>3.8189909617069043E-2</v>
      </c>
      <c r="K1078" s="5">
        <v>0.13907216327065219</v>
      </c>
      <c r="L1078">
        <v>335.0996857518802</v>
      </c>
      <c r="M1078" s="10">
        <v>-0.43239660491942927</v>
      </c>
      <c r="N1078" s="24" t="s">
        <v>343</v>
      </c>
      <c r="O1078" s="24">
        <v>25.05620370483425</v>
      </c>
      <c r="P1078">
        <v>44.999232496205849</v>
      </c>
      <c r="Q1078" t="s">
        <v>346</v>
      </c>
      <c r="R1078" t="s">
        <v>347</v>
      </c>
      <c r="S1078" t="s">
        <v>343</v>
      </c>
      <c r="T1078" t="s">
        <v>343</v>
      </c>
    </row>
    <row r="1079" spans="2:20" x14ac:dyDescent="0.25">
      <c r="B1079">
        <v>1074</v>
      </c>
      <c r="C1079" t="s">
        <v>1418</v>
      </c>
      <c r="D1079" s="10">
        <v>0.22430894617747879</v>
      </c>
      <c r="E1079" s="10">
        <v>1.0085958991863151</v>
      </c>
      <c r="F1079" s="10">
        <v>0.5162651508555971</v>
      </c>
      <c r="G1079" s="10">
        <v>0.35073067703398531</v>
      </c>
      <c r="H1079" s="6">
        <v>0.1453452204467883</v>
      </c>
      <c r="I1079" s="10">
        <v>5.670208079826752</v>
      </c>
      <c r="J1079" s="7">
        <v>2.320294727003103E-2</v>
      </c>
      <c r="K1079" s="5">
        <v>0.17810939433063619</v>
      </c>
      <c r="L1079">
        <v>109.86308584919099</v>
      </c>
      <c r="M1079" s="10">
        <v>-0.81391011936608748</v>
      </c>
      <c r="N1079" s="24" t="s">
        <v>343</v>
      </c>
      <c r="O1079" s="24">
        <v>2.1653928380347551</v>
      </c>
      <c r="P1079">
        <v>57.664719699406803</v>
      </c>
      <c r="Q1079" t="s">
        <v>47</v>
      </c>
      <c r="R1079" t="s">
        <v>350</v>
      </c>
      <c r="S1079" t="s">
        <v>343</v>
      </c>
      <c r="T1079" t="s">
        <v>343</v>
      </c>
    </row>
    <row r="1080" spans="2:20" x14ac:dyDescent="0.25">
      <c r="B1080">
        <v>1075</v>
      </c>
      <c r="C1080" t="s">
        <v>1419</v>
      </c>
      <c r="D1080" s="10">
        <v>0.23678009924862539</v>
      </c>
      <c r="E1080" s="10">
        <v>1.063691423068875</v>
      </c>
      <c r="F1080" s="10">
        <v>0.5880754981245887</v>
      </c>
      <c r="G1080" s="10">
        <v>0.38347125355450501</v>
      </c>
      <c r="H1080" s="6">
        <v>0.24048900223563141</v>
      </c>
      <c r="I1080" s="10">
        <v>9.7685075071510816</v>
      </c>
      <c r="J1080" s="7">
        <v>3.6730764954626703E-2</v>
      </c>
      <c r="K1080" s="5">
        <v>0.1205161439046151</v>
      </c>
      <c r="L1080">
        <v>263.88647259550891</v>
      </c>
      <c r="M1080" s="10">
        <v>-0.55301999933252277</v>
      </c>
      <c r="N1080" s="24" t="s">
        <v>343</v>
      </c>
      <c r="O1080" s="24">
        <v>17.818800040048639</v>
      </c>
      <c r="P1080">
        <v>23.931832637901369</v>
      </c>
      <c r="Q1080" t="s">
        <v>348</v>
      </c>
      <c r="R1080" t="s">
        <v>353</v>
      </c>
      <c r="S1080" t="s">
        <v>343</v>
      </c>
      <c r="T1080" t="s">
        <v>343</v>
      </c>
    </row>
    <row r="1081" spans="2:20" x14ac:dyDescent="0.25">
      <c r="B1081">
        <v>1076</v>
      </c>
      <c r="C1081" t="s">
        <v>1420</v>
      </c>
      <c r="D1081" s="10">
        <v>0.26040087411493917</v>
      </c>
      <c r="E1081" s="10">
        <v>0.84059955792485708</v>
      </c>
      <c r="F1081" s="10">
        <v>0.6956128665952197</v>
      </c>
      <c r="G1081" s="10">
        <v>0.2498618771137697</v>
      </c>
      <c r="H1081" s="6">
        <v>0.24616485897058329</v>
      </c>
      <c r="I1081" s="10">
        <v>5.0492874669879413</v>
      </c>
      <c r="J1081" s="7">
        <v>1.773193591991783E-2</v>
      </c>
      <c r="K1081" s="5">
        <v>0.18845386150928439</v>
      </c>
      <c r="L1081">
        <v>95.844974261877567</v>
      </c>
      <c r="M1081" s="10">
        <v>-0.83765447982922681</v>
      </c>
      <c r="N1081" s="24" t="s">
        <v>343</v>
      </c>
      <c r="O1081" s="24">
        <v>0.74073121024639477</v>
      </c>
      <c r="P1081">
        <v>22.346431340946609</v>
      </c>
      <c r="Q1081" t="s">
        <v>348</v>
      </c>
      <c r="R1081" t="s">
        <v>353</v>
      </c>
      <c r="S1081" t="s">
        <v>343</v>
      </c>
      <c r="T1081" t="s">
        <v>343</v>
      </c>
    </row>
    <row r="1082" spans="2:20" x14ac:dyDescent="0.25">
      <c r="B1082">
        <v>1077</v>
      </c>
      <c r="C1082" t="s">
        <v>1421</v>
      </c>
      <c r="D1082" s="10">
        <v>0.29978833826981421</v>
      </c>
      <c r="E1082" s="10">
        <v>0.68993850586078276</v>
      </c>
      <c r="F1082" s="10">
        <v>0.49654822753322969</v>
      </c>
      <c r="G1082" s="10">
        <v>0.30415681566083791</v>
      </c>
      <c r="H1082" s="6">
        <v>0.22360411559377</v>
      </c>
      <c r="I1082" s="10">
        <v>4.4572365336130542</v>
      </c>
      <c r="J1082" s="7">
        <v>3.6731012613604501E-2</v>
      </c>
      <c r="K1082" s="5">
        <v>0.1662147454835147</v>
      </c>
      <c r="L1082">
        <v>145.53113277025179</v>
      </c>
      <c r="M1082" s="10">
        <v>-0.75349435238957774</v>
      </c>
      <c r="N1082" s="24" t="s">
        <v>343</v>
      </c>
      <c r="O1082" s="24">
        <v>5.7903388566253398</v>
      </c>
      <c r="P1082">
        <v>57.96943590506222</v>
      </c>
      <c r="Q1082" t="s">
        <v>47</v>
      </c>
      <c r="R1082" t="s">
        <v>350</v>
      </c>
      <c r="S1082" t="s">
        <v>343</v>
      </c>
      <c r="T1082" t="s">
        <v>343</v>
      </c>
    </row>
    <row r="1083" spans="2:20" x14ac:dyDescent="0.25">
      <c r="B1083">
        <v>1078</v>
      </c>
      <c r="C1083" t="s">
        <v>1422</v>
      </c>
      <c r="D1083" s="10">
        <v>0.31745335507188721</v>
      </c>
      <c r="E1083" s="10">
        <v>1.194248282011926</v>
      </c>
      <c r="F1083" s="10">
        <v>0.69633499505210061</v>
      </c>
      <c r="G1083" s="10">
        <v>0.41807295829312952</v>
      </c>
      <c r="H1083" s="6">
        <v>0.2185850188750896</v>
      </c>
      <c r="I1083" s="10">
        <v>9.9583276614786698</v>
      </c>
      <c r="J1083" s="7">
        <v>1.6283621207312238E-2</v>
      </c>
      <c r="K1083" s="5">
        <v>0.15316016089577261</v>
      </c>
      <c r="L1083">
        <v>278.44426040646948</v>
      </c>
      <c r="M1083" s="10">
        <v>-0.52836151668481879</v>
      </c>
      <c r="N1083" s="24" t="s">
        <v>343</v>
      </c>
      <c r="O1083" s="24">
        <v>19.298308998910869</v>
      </c>
      <c r="P1083">
        <v>49.101791832175387</v>
      </c>
      <c r="Q1083" t="s">
        <v>346</v>
      </c>
      <c r="R1083" t="s">
        <v>347</v>
      </c>
      <c r="S1083" t="s">
        <v>343</v>
      </c>
      <c r="T1083" t="s">
        <v>343</v>
      </c>
    </row>
    <row r="1084" spans="2:20" x14ac:dyDescent="0.25">
      <c r="B1084">
        <v>1079</v>
      </c>
      <c r="C1084" t="s">
        <v>1423</v>
      </c>
      <c r="D1084" s="10">
        <v>0.28292374621832289</v>
      </c>
      <c r="E1084" s="10">
        <v>0.84442555677315978</v>
      </c>
      <c r="F1084" s="10">
        <v>0.62572905859416506</v>
      </c>
      <c r="G1084" s="10">
        <v>0.35445380465424281</v>
      </c>
      <c r="H1084" s="6">
        <v>0.18613155012717059</v>
      </c>
      <c r="I1084" s="10">
        <v>9.8708815289214087</v>
      </c>
      <c r="J1084" s="7">
        <v>2.7178613909269119E-2</v>
      </c>
      <c r="K1084" s="5">
        <v>0.17549160262681621</v>
      </c>
      <c r="L1084">
        <v>189.89911142019409</v>
      </c>
      <c r="M1084" s="10">
        <v>-0.67834234125574389</v>
      </c>
      <c r="N1084" s="24" t="s">
        <v>343</v>
      </c>
      <c r="O1084" s="24">
        <v>10.29945952465537</v>
      </c>
      <c r="P1084">
        <v>60.565609358510791</v>
      </c>
      <c r="Q1084" t="s">
        <v>47</v>
      </c>
      <c r="R1084" t="s">
        <v>350</v>
      </c>
      <c r="S1084" t="s">
        <v>343</v>
      </c>
      <c r="T1084" t="s">
        <v>343</v>
      </c>
    </row>
    <row r="1085" spans="2:20" x14ac:dyDescent="0.25">
      <c r="B1085">
        <v>1080</v>
      </c>
      <c r="C1085" t="s">
        <v>1424</v>
      </c>
      <c r="D1085" s="10">
        <v>0.22684268514677339</v>
      </c>
      <c r="E1085" s="10">
        <v>1.394159142960977</v>
      </c>
      <c r="F1085" s="10">
        <v>0.65478133810380601</v>
      </c>
      <c r="G1085" s="10">
        <v>0.24778342733813041</v>
      </c>
      <c r="H1085" s="6">
        <v>0.21625430806791809</v>
      </c>
      <c r="I1085" s="10">
        <v>4.7228435622143721</v>
      </c>
      <c r="J1085" s="7">
        <v>1.3976936067628931E-2</v>
      </c>
      <c r="K1085" s="5">
        <v>0.16125419323539009</v>
      </c>
      <c r="L1085">
        <v>129.29169885643219</v>
      </c>
      <c r="M1085" s="10">
        <v>-0.78100126515491997</v>
      </c>
      <c r="N1085" s="24" t="s">
        <v>343</v>
      </c>
      <c r="O1085" s="24">
        <v>4.1399240907048096</v>
      </c>
      <c r="P1085">
        <v>53.5751275456416</v>
      </c>
      <c r="Q1085" t="s">
        <v>47</v>
      </c>
      <c r="R1085" t="s">
        <v>350</v>
      </c>
      <c r="S1085" t="s">
        <v>343</v>
      </c>
      <c r="T1085" t="s">
        <v>343</v>
      </c>
    </row>
    <row r="1086" spans="2:20" x14ac:dyDescent="0.25">
      <c r="B1086">
        <v>1081</v>
      </c>
      <c r="C1086" t="s">
        <v>1425</v>
      </c>
      <c r="D1086" s="10">
        <v>0.2274171203643312</v>
      </c>
      <c r="E1086" s="10">
        <v>0.80283263169484842</v>
      </c>
      <c r="F1086" s="10">
        <v>0.46330672974144821</v>
      </c>
      <c r="G1086" s="10">
        <v>0.30202922116043418</v>
      </c>
      <c r="H1086" s="6">
        <v>0.2306362458228387</v>
      </c>
      <c r="I1086" s="10">
        <v>6.8767046719272464</v>
      </c>
      <c r="J1086" s="7">
        <v>2.8476432828351789E-2</v>
      </c>
      <c r="K1086" s="5">
        <v>0.18427538112599581</v>
      </c>
      <c r="L1086">
        <v>165.61858279292241</v>
      </c>
      <c r="M1086" s="10">
        <v>-0.71946953733850871</v>
      </c>
      <c r="N1086" s="24" t="s">
        <v>343</v>
      </c>
      <c r="O1086" s="24">
        <v>7.8318277596894754</v>
      </c>
      <c r="P1086">
        <v>70.431332673044537</v>
      </c>
      <c r="Q1086" t="s">
        <v>47</v>
      </c>
      <c r="R1086" t="s">
        <v>350</v>
      </c>
      <c r="S1086" t="s">
        <v>343</v>
      </c>
      <c r="T1086" t="s">
        <v>343</v>
      </c>
    </row>
    <row r="1087" spans="2:20" x14ac:dyDescent="0.25">
      <c r="B1087">
        <v>1082</v>
      </c>
      <c r="C1087" t="s">
        <v>1426</v>
      </c>
      <c r="D1087" s="10">
        <v>0.27801316825422262</v>
      </c>
      <c r="E1087" s="10">
        <v>0.3748003120123351</v>
      </c>
      <c r="F1087" s="10">
        <v>0.5181092487319644</v>
      </c>
      <c r="G1087" s="10">
        <v>0.38061094431547271</v>
      </c>
      <c r="H1087" s="6">
        <v>0.13842303721114491</v>
      </c>
      <c r="I1087" s="10">
        <v>3.72909291242512</v>
      </c>
      <c r="J1087" s="7">
        <v>3.872500225320076E-2</v>
      </c>
      <c r="K1087" s="5">
        <v>0.17876950270707009</v>
      </c>
      <c r="L1087">
        <v>101.093679026329</v>
      </c>
      <c r="M1087" s="10">
        <v>-0.82876404283166993</v>
      </c>
      <c r="N1087" s="24" t="s">
        <v>343</v>
      </c>
      <c r="O1087" s="24">
        <v>1.2741574300998051</v>
      </c>
      <c r="P1087">
        <v>61.724382388131829</v>
      </c>
      <c r="Q1087" t="s">
        <v>47</v>
      </c>
      <c r="R1087" t="s">
        <v>350</v>
      </c>
      <c r="S1087" t="s">
        <v>343</v>
      </c>
      <c r="T1087" t="s">
        <v>343</v>
      </c>
    </row>
    <row r="1088" spans="2:20" x14ac:dyDescent="0.25">
      <c r="B1088">
        <v>1083</v>
      </c>
      <c r="C1088" t="s">
        <v>1427</v>
      </c>
      <c r="D1088" s="10">
        <v>0.19820434332292841</v>
      </c>
      <c r="E1088" s="10">
        <v>1.050835950799091</v>
      </c>
      <c r="F1088" s="10">
        <v>0.45501143270925509</v>
      </c>
      <c r="G1088" s="10">
        <v>0.28385908330716553</v>
      </c>
      <c r="H1088" s="6">
        <v>0.15859949402751539</v>
      </c>
      <c r="I1088" s="10">
        <v>10.87306425054658</v>
      </c>
      <c r="J1088" s="7">
        <v>3.6444143338254249E-2</v>
      </c>
      <c r="K1088" s="5">
        <v>0.11879389797887401</v>
      </c>
      <c r="L1088">
        <v>281.72333281960601</v>
      </c>
      <c r="M1088" s="10">
        <v>-0.52280731083638532</v>
      </c>
      <c r="N1088" s="24" t="s">
        <v>343</v>
      </c>
      <c r="O1088" s="24">
        <v>19.631561349816881</v>
      </c>
      <c r="P1088">
        <v>22.66586355316727</v>
      </c>
      <c r="Q1088" t="s">
        <v>348</v>
      </c>
      <c r="R1088" t="s">
        <v>371</v>
      </c>
      <c r="S1088" t="s">
        <v>343</v>
      </c>
      <c r="T1088" t="s">
        <v>343</v>
      </c>
    </row>
    <row r="1089" spans="2:20" x14ac:dyDescent="0.25">
      <c r="B1089">
        <v>1084</v>
      </c>
      <c r="C1089" t="s">
        <v>1428</v>
      </c>
      <c r="D1089" s="10">
        <v>0.17767585810102321</v>
      </c>
      <c r="E1089" s="10">
        <v>0.35130559601839217</v>
      </c>
      <c r="F1089" s="10">
        <v>0.53660221870082558</v>
      </c>
      <c r="G1089" s="10">
        <v>0.42202610936827117</v>
      </c>
      <c r="H1089" s="6">
        <v>0.1491122818449441</v>
      </c>
      <c r="I1089" s="10">
        <v>13.86245216537298</v>
      </c>
      <c r="J1089" s="7">
        <v>1.177503253694356E-2</v>
      </c>
      <c r="K1089" s="5">
        <v>0.12276806105171501</v>
      </c>
      <c r="L1089">
        <v>185.98133569778491</v>
      </c>
      <c r="M1089" s="10">
        <v>-0.68497840477879424</v>
      </c>
      <c r="N1089" s="24" t="s">
        <v>343</v>
      </c>
      <c r="O1089" s="24">
        <v>9.9012957132723471</v>
      </c>
      <c r="P1089">
        <v>21.526686426377928</v>
      </c>
      <c r="Q1089" t="s">
        <v>348</v>
      </c>
      <c r="R1089" t="s">
        <v>353</v>
      </c>
      <c r="S1089" t="s">
        <v>343</v>
      </c>
      <c r="T1089" t="s">
        <v>343</v>
      </c>
    </row>
    <row r="1090" spans="2:20" x14ac:dyDescent="0.25">
      <c r="B1090">
        <v>1085</v>
      </c>
      <c r="C1090" t="s">
        <v>1429</v>
      </c>
      <c r="D1090" s="10">
        <v>0.21673954522252431</v>
      </c>
      <c r="E1090" s="10">
        <v>0.57555175657317359</v>
      </c>
      <c r="F1090" s="10">
        <v>0.69513531157921338</v>
      </c>
      <c r="G1090" s="10">
        <v>0.38884669955840612</v>
      </c>
      <c r="H1090" s="6">
        <v>0.24618177553590209</v>
      </c>
      <c r="I1090" s="10">
        <v>11.138967709675381</v>
      </c>
      <c r="J1090" s="7">
        <v>2.7226214996909359E-2</v>
      </c>
      <c r="K1090" s="5">
        <v>0.1061842543086861</v>
      </c>
      <c r="L1090">
        <v>250.7232932399466</v>
      </c>
      <c r="M1090" s="10">
        <v>-0.57531624612101961</v>
      </c>
      <c r="N1090" s="24" t="s">
        <v>343</v>
      </c>
      <c r="O1090" s="24">
        <v>16.481025232738819</v>
      </c>
      <c r="P1090">
        <v>56.877484679956233</v>
      </c>
      <c r="Q1090" t="s">
        <v>47</v>
      </c>
      <c r="R1090" t="s">
        <v>350</v>
      </c>
      <c r="S1090" t="s">
        <v>343</v>
      </c>
      <c r="T1090" t="s">
        <v>343</v>
      </c>
    </row>
    <row r="1091" spans="2:20" x14ac:dyDescent="0.25">
      <c r="B1091">
        <v>1086</v>
      </c>
      <c r="C1091" t="s">
        <v>1430</v>
      </c>
      <c r="D1091" s="10">
        <v>0.2059582386646531</v>
      </c>
      <c r="E1091" s="10">
        <v>0.68911207805789365</v>
      </c>
      <c r="F1091" s="10">
        <v>0.46737099617364802</v>
      </c>
      <c r="G1091" s="10">
        <v>0.34370339340851452</v>
      </c>
      <c r="H1091" s="6">
        <v>0.22200038872976521</v>
      </c>
      <c r="I1091" s="10">
        <v>12.28567386532985</v>
      </c>
      <c r="J1091" s="7">
        <v>3.9827885864289293E-2</v>
      </c>
      <c r="K1091" s="5">
        <v>0.12091889713141619</v>
      </c>
      <c r="L1091">
        <v>125.3350268855239</v>
      </c>
      <c r="M1091" s="10">
        <v>-0.78770321248402175</v>
      </c>
      <c r="N1091" s="24" t="s">
        <v>343</v>
      </c>
      <c r="O1091" s="24">
        <v>3.7378072509586961</v>
      </c>
      <c r="P1091">
        <v>17.720399403313952</v>
      </c>
      <c r="Q1091" t="s">
        <v>348</v>
      </c>
      <c r="R1091" t="s">
        <v>371</v>
      </c>
      <c r="S1091" t="s">
        <v>343</v>
      </c>
      <c r="T1091" t="s">
        <v>343</v>
      </c>
    </row>
    <row r="1092" spans="2:20" x14ac:dyDescent="0.25">
      <c r="B1092">
        <v>1087</v>
      </c>
      <c r="C1092" t="s">
        <v>1431</v>
      </c>
      <c r="D1092" s="10">
        <v>0.2074092992729584</v>
      </c>
      <c r="E1092" s="10">
        <v>1.1134319441834599</v>
      </c>
      <c r="F1092" s="10">
        <v>0.58621692341651177</v>
      </c>
      <c r="G1092" s="10">
        <v>0.44143723183469269</v>
      </c>
      <c r="H1092" s="6">
        <v>0.18761678093627651</v>
      </c>
      <c r="I1092" s="10">
        <v>8.2397756651319121</v>
      </c>
      <c r="J1092" s="7">
        <v>3.2753622161116387E-2</v>
      </c>
      <c r="K1092" s="5">
        <v>0.13263144216912279</v>
      </c>
      <c r="L1092">
        <v>380.80403863954552</v>
      </c>
      <c r="M1092" s="10">
        <v>-0.35498099705100628</v>
      </c>
      <c r="N1092" s="24" t="s">
        <v>343</v>
      </c>
      <c r="O1092" s="24">
        <v>29.701140176939621</v>
      </c>
      <c r="P1092">
        <v>56.584870537368829</v>
      </c>
      <c r="Q1092" t="s">
        <v>47</v>
      </c>
      <c r="R1092" t="s">
        <v>350</v>
      </c>
      <c r="S1092" t="s">
        <v>343</v>
      </c>
      <c r="T1092" t="s">
        <v>343</v>
      </c>
    </row>
    <row r="1093" spans="2:20" x14ac:dyDescent="0.25">
      <c r="B1093">
        <v>1088</v>
      </c>
      <c r="C1093" t="s">
        <v>1432</v>
      </c>
      <c r="D1093" s="10">
        <v>0.19737724016798561</v>
      </c>
      <c r="E1093" s="10">
        <v>0.843659519048374</v>
      </c>
      <c r="F1093" s="10">
        <v>0.44157836193159122</v>
      </c>
      <c r="G1093" s="10">
        <v>0.32619616960342562</v>
      </c>
      <c r="H1093" s="6">
        <v>0.24390836257327031</v>
      </c>
      <c r="I1093" s="10">
        <v>4.0514248928342544</v>
      </c>
      <c r="J1093" s="7">
        <v>1.207204616567919E-2</v>
      </c>
      <c r="K1093" s="5">
        <v>0.1027385987413869</v>
      </c>
      <c r="L1093">
        <v>136.1993592279469</v>
      </c>
      <c r="M1093" s="10">
        <v>-0.76930083198340593</v>
      </c>
      <c r="N1093" s="24" t="s">
        <v>343</v>
      </c>
      <c r="O1093" s="24">
        <v>4.8419500809956446</v>
      </c>
      <c r="P1093">
        <v>50.026589874860008</v>
      </c>
      <c r="Q1093" t="s">
        <v>47</v>
      </c>
      <c r="R1093" t="s">
        <v>350</v>
      </c>
      <c r="S1093" t="s">
        <v>343</v>
      </c>
      <c r="T1093" t="s">
        <v>343</v>
      </c>
    </row>
    <row r="1094" spans="2:20" x14ac:dyDescent="0.25">
      <c r="B1094">
        <v>1089</v>
      </c>
      <c r="C1094" t="s">
        <v>1433</v>
      </c>
      <c r="D1094" s="10">
        <v>0.16673491034181789</v>
      </c>
      <c r="E1094" s="10">
        <v>0.33151052444128232</v>
      </c>
      <c r="F1094" s="10">
        <v>0.62529753217145623</v>
      </c>
      <c r="G1094" s="10">
        <v>0.29171615032409881</v>
      </c>
      <c r="H1094" s="6">
        <v>0.2275172009988766</v>
      </c>
      <c r="I1094" s="10">
        <v>10.99267174755833</v>
      </c>
      <c r="J1094" s="7">
        <v>2.1397120820545141E-2</v>
      </c>
      <c r="K1094" s="5">
        <v>0.12992144189000829</v>
      </c>
      <c r="L1094">
        <v>128.8322471188566</v>
      </c>
      <c r="M1094" s="10">
        <v>-0.78177950034048405</v>
      </c>
      <c r="N1094" s="24" t="s">
        <v>343</v>
      </c>
      <c r="O1094" s="24">
        <v>4.0932299795709639</v>
      </c>
      <c r="P1094">
        <v>62.150804815417942</v>
      </c>
      <c r="Q1094" t="s">
        <v>47</v>
      </c>
      <c r="R1094" t="s">
        <v>350</v>
      </c>
      <c r="S1094" t="s">
        <v>343</v>
      </c>
      <c r="T1094" t="s">
        <v>343</v>
      </c>
    </row>
    <row r="1095" spans="2:20" x14ac:dyDescent="0.25">
      <c r="B1095">
        <v>1090</v>
      </c>
      <c r="C1095" t="s">
        <v>1434</v>
      </c>
      <c r="D1095" s="10">
        <v>0.16285982955734621</v>
      </c>
      <c r="E1095" s="10">
        <v>0.97853483640351424</v>
      </c>
      <c r="F1095" s="10">
        <v>0.49127010001673072</v>
      </c>
      <c r="G1095" s="10">
        <v>0.38550865835587422</v>
      </c>
      <c r="H1095" s="6">
        <v>0.25703896223179462</v>
      </c>
      <c r="I1095" s="10">
        <v>5.8217222014389609</v>
      </c>
      <c r="J1095" s="7">
        <v>2.9480541105572459E-2</v>
      </c>
      <c r="K1095" s="5">
        <v>0.17329685495459349</v>
      </c>
      <c r="L1095">
        <v>87.385019075766962</v>
      </c>
      <c r="M1095" s="10">
        <v>-0.85198424344894363</v>
      </c>
      <c r="N1095" s="24" t="s">
        <v>343</v>
      </c>
      <c r="O1095" s="24">
        <v>0</v>
      </c>
      <c r="P1095">
        <v>59.238710663365467</v>
      </c>
      <c r="Q1095" t="s">
        <v>47</v>
      </c>
      <c r="R1095" t="s">
        <v>350</v>
      </c>
      <c r="S1095" t="s">
        <v>343</v>
      </c>
      <c r="T1095" t="s">
        <v>343</v>
      </c>
    </row>
    <row r="1096" spans="2:20" x14ac:dyDescent="0.25">
      <c r="B1096">
        <v>1091</v>
      </c>
      <c r="C1096" t="s">
        <v>1435</v>
      </c>
      <c r="D1096" s="10">
        <v>0.31803558235776508</v>
      </c>
      <c r="E1096" s="10">
        <v>0.75257986116932851</v>
      </c>
      <c r="F1096" s="10">
        <v>0.47369197965243842</v>
      </c>
      <c r="G1096" s="10">
        <v>0.36612494124343259</v>
      </c>
      <c r="H1096" s="6">
        <v>0.1315210494146874</v>
      </c>
      <c r="I1096" s="10">
        <v>7.2712334858328251</v>
      </c>
      <c r="J1096" s="7">
        <v>1.604280163250275E-2</v>
      </c>
      <c r="K1096" s="5">
        <v>0.17983112181129349</v>
      </c>
      <c r="L1096">
        <v>112.3312015584286</v>
      </c>
      <c r="M1096" s="10">
        <v>-0.80972953992784757</v>
      </c>
      <c r="N1096" s="24" t="s">
        <v>343</v>
      </c>
      <c r="O1096" s="24">
        <v>2.4162276043291508</v>
      </c>
      <c r="P1096">
        <v>51.874287850717259</v>
      </c>
      <c r="Q1096" t="s">
        <v>47</v>
      </c>
      <c r="R1096" t="s">
        <v>350</v>
      </c>
      <c r="S1096" t="s">
        <v>343</v>
      </c>
      <c r="T1096" t="s">
        <v>343</v>
      </c>
    </row>
    <row r="1097" spans="2:20" x14ac:dyDescent="0.25">
      <c r="B1097">
        <v>1092</v>
      </c>
      <c r="C1097" t="s">
        <v>1436</v>
      </c>
      <c r="D1097" s="10">
        <v>0.22844370139773801</v>
      </c>
      <c r="E1097" s="10">
        <v>1.3140179609638181</v>
      </c>
      <c r="F1097" s="10">
        <v>0.5276246311618048</v>
      </c>
      <c r="G1097" s="10">
        <v>0.31375453820486948</v>
      </c>
      <c r="H1097" s="6">
        <v>0.1963736072311853</v>
      </c>
      <c r="I1097" s="10">
        <v>10.73409174958028</v>
      </c>
      <c r="J1097" s="7">
        <v>3.3866992352061732E-2</v>
      </c>
      <c r="K1097" s="5">
        <v>0.1008429625488052</v>
      </c>
      <c r="L1097">
        <v>476.02385028596842</v>
      </c>
      <c r="M1097" s="10">
        <v>-0.19369439886105599</v>
      </c>
      <c r="N1097" s="24" t="s">
        <v>343</v>
      </c>
      <c r="O1097" s="24">
        <v>41.198064216399352</v>
      </c>
      <c r="P1097">
        <v>47.16311217832309</v>
      </c>
      <c r="Q1097" t="s">
        <v>346</v>
      </c>
      <c r="R1097" t="s">
        <v>347</v>
      </c>
      <c r="S1097" t="s">
        <v>343</v>
      </c>
      <c r="T1097" t="s">
        <v>343</v>
      </c>
    </row>
    <row r="1098" spans="2:20" x14ac:dyDescent="0.25">
      <c r="B1098">
        <v>1093</v>
      </c>
      <c r="C1098" t="s">
        <v>1437</v>
      </c>
      <c r="D1098" s="10">
        <v>0.2214922635455491</v>
      </c>
      <c r="E1098" s="10">
        <v>0.84951854225425882</v>
      </c>
      <c r="F1098" s="10">
        <v>0.64047151746413511</v>
      </c>
      <c r="G1098" s="10">
        <v>0.31560620349127499</v>
      </c>
      <c r="H1098" s="6">
        <v>0.22601218553643829</v>
      </c>
      <c r="I1098" s="10">
        <v>12.952629788151411</v>
      </c>
      <c r="J1098" s="7">
        <v>3.2219624327777953E-2</v>
      </c>
      <c r="K1098" s="5">
        <v>0.1006789686355771</v>
      </c>
      <c r="L1098">
        <v>235.96062499314169</v>
      </c>
      <c r="M1098" s="10">
        <v>-0.60032176231102563</v>
      </c>
      <c r="N1098" s="24" t="s">
        <v>343</v>
      </c>
      <c r="O1098" s="24">
        <v>14.98069426133846</v>
      </c>
      <c r="P1098">
        <v>49.466436546150227</v>
      </c>
      <c r="Q1098" t="s">
        <v>346</v>
      </c>
      <c r="R1098" t="s">
        <v>347</v>
      </c>
      <c r="S1098" t="s">
        <v>343</v>
      </c>
      <c r="T1098" t="s">
        <v>343</v>
      </c>
    </row>
    <row r="1099" spans="2:20" x14ac:dyDescent="0.25">
      <c r="B1099">
        <v>1094</v>
      </c>
      <c r="C1099" t="s">
        <v>1438</v>
      </c>
      <c r="D1099" s="10">
        <v>0.26874356523089121</v>
      </c>
      <c r="E1099" s="10">
        <v>1.0798726605332729</v>
      </c>
      <c r="F1099" s="10">
        <v>0.46771940244091481</v>
      </c>
      <c r="G1099" s="10">
        <v>0.32760626789950242</v>
      </c>
      <c r="H1099" s="6">
        <v>0.15112397802072691</v>
      </c>
      <c r="I1099" s="10">
        <v>8.3487395389917474</v>
      </c>
      <c r="J1099" s="7">
        <v>1.7085549805672201E-2</v>
      </c>
      <c r="K1099" s="5">
        <v>0.11389917528384511</v>
      </c>
      <c r="L1099">
        <v>363.23978842447798</v>
      </c>
      <c r="M1099" s="10">
        <v>-0.38473192931985578</v>
      </c>
      <c r="N1099" s="24" t="s">
        <v>343</v>
      </c>
      <c r="O1099" s="24">
        <v>27.916084240808651</v>
      </c>
      <c r="P1099">
        <v>26.044333522837061</v>
      </c>
      <c r="Q1099" t="s">
        <v>348</v>
      </c>
      <c r="R1099" t="s">
        <v>353</v>
      </c>
      <c r="S1099" t="s">
        <v>343</v>
      </c>
      <c r="T1099" t="s">
        <v>343</v>
      </c>
    </row>
    <row r="1100" spans="2:20" x14ac:dyDescent="0.25">
      <c r="B1100">
        <v>1095</v>
      </c>
      <c r="C1100" t="s">
        <v>1439</v>
      </c>
      <c r="D1100" s="10">
        <v>0.19492062205841029</v>
      </c>
      <c r="E1100" s="10">
        <v>0.54075534156250149</v>
      </c>
      <c r="F1100" s="10">
        <v>0.4997581389076608</v>
      </c>
      <c r="G1100" s="10">
        <v>0.30405048484546132</v>
      </c>
      <c r="H1100" s="6">
        <v>0.16906893479570459</v>
      </c>
      <c r="I1100" s="10">
        <v>13.577661304052279</v>
      </c>
      <c r="J1100" s="7">
        <v>2.926392876782161E-2</v>
      </c>
      <c r="K1100" s="5">
        <v>0.18289482076971</v>
      </c>
      <c r="L1100">
        <v>152.2174717105791</v>
      </c>
      <c r="M1100" s="10">
        <v>-0.74216880108482564</v>
      </c>
      <c r="N1100" s="24" t="s">
        <v>343</v>
      </c>
      <c r="O1100" s="24">
        <v>6.469871934910465</v>
      </c>
      <c r="P1100">
        <v>24.29031559275165</v>
      </c>
      <c r="Q1100" t="s">
        <v>348</v>
      </c>
      <c r="R1100" t="s">
        <v>371</v>
      </c>
      <c r="S1100" t="s">
        <v>343</v>
      </c>
      <c r="T1100" t="s">
        <v>343</v>
      </c>
    </row>
    <row r="1101" spans="2:20" x14ac:dyDescent="0.25">
      <c r="B1101">
        <v>1096</v>
      </c>
      <c r="C1101" t="s">
        <v>1440</v>
      </c>
      <c r="D1101" s="10">
        <v>0.31199378943203598</v>
      </c>
      <c r="E1101" s="10">
        <v>1.137070920984818</v>
      </c>
      <c r="F1101" s="10">
        <v>0.44220074962050049</v>
      </c>
      <c r="G1101" s="10">
        <v>0.39625310939940289</v>
      </c>
      <c r="H1101" s="6">
        <v>0.18284643769797401</v>
      </c>
      <c r="I1101" s="10">
        <v>8.7189388112340449</v>
      </c>
      <c r="J1101" s="7">
        <v>3.8410149456387557E-2</v>
      </c>
      <c r="K1101" s="5">
        <v>0.14458141485757359</v>
      </c>
      <c r="L1101">
        <v>240.12830574095071</v>
      </c>
      <c r="M1101" s="10">
        <v>-0.59326240104436112</v>
      </c>
      <c r="N1101" s="24" t="s">
        <v>343</v>
      </c>
      <c r="O1101" s="24">
        <v>15.404255937338331</v>
      </c>
      <c r="P1101">
        <v>51.315046339954343</v>
      </c>
      <c r="Q1101" t="s">
        <v>47</v>
      </c>
      <c r="R1101" t="s">
        <v>350</v>
      </c>
      <c r="S1101" t="s">
        <v>343</v>
      </c>
      <c r="T1101" t="s">
        <v>343</v>
      </c>
    </row>
    <row r="1102" spans="2:20" x14ac:dyDescent="0.25">
      <c r="B1102">
        <v>1097</v>
      </c>
      <c r="C1102" t="s">
        <v>1441</v>
      </c>
      <c r="D1102" s="10">
        <v>0.28581520230648833</v>
      </c>
      <c r="E1102" s="10">
        <v>1.093050841532039</v>
      </c>
      <c r="F1102" s="10">
        <v>0.69178786430086059</v>
      </c>
      <c r="G1102" s="10">
        <v>0.38329884911126522</v>
      </c>
      <c r="H1102" s="6">
        <v>0.2391488427405884</v>
      </c>
      <c r="I1102" s="10">
        <v>4.3476149330945466</v>
      </c>
      <c r="J1102" s="7">
        <v>2.311893449220135E-2</v>
      </c>
      <c r="K1102" s="5">
        <v>0.19337569723595821</v>
      </c>
      <c r="L1102">
        <v>169.03345842400651</v>
      </c>
      <c r="M1102" s="10">
        <v>-0.71368530331980995</v>
      </c>
      <c r="N1102" s="24" t="s">
        <v>343</v>
      </c>
      <c r="O1102" s="24">
        <v>8.178881800811407</v>
      </c>
      <c r="P1102">
        <v>22.969052632781722</v>
      </c>
      <c r="Q1102" t="s">
        <v>348</v>
      </c>
      <c r="R1102" t="s">
        <v>375</v>
      </c>
      <c r="S1102" t="s">
        <v>343</v>
      </c>
      <c r="T1102" t="s">
        <v>343</v>
      </c>
    </row>
    <row r="1103" spans="2:20" x14ac:dyDescent="0.25">
      <c r="B1103">
        <v>1098</v>
      </c>
      <c r="C1103" t="s">
        <v>1442</v>
      </c>
      <c r="D1103" s="10">
        <v>0.17430576036996151</v>
      </c>
      <c r="E1103" s="10">
        <v>1.2944898793954389</v>
      </c>
      <c r="F1103" s="10">
        <v>0.5939578559971046</v>
      </c>
      <c r="G1103" s="10">
        <v>0.33697108356020639</v>
      </c>
      <c r="H1103" s="6">
        <v>0.1940364301585793</v>
      </c>
      <c r="I1103" s="10">
        <v>8.7027712040793705</v>
      </c>
      <c r="J1103" s="7">
        <v>1.8644530125013131E-2</v>
      </c>
      <c r="K1103" s="5">
        <v>0.18429648924784611</v>
      </c>
      <c r="L1103">
        <v>266.24368663070629</v>
      </c>
      <c r="M1103" s="10">
        <v>-0.54902726897138376</v>
      </c>
      <c r="N1103" s="24" t="s">
        <v>343</v>
      </c>
      <c r="O1103" s="24">
        <v>18.05836386171697</v>
      </c>
      <c r="P1103">
        <v>59.990744978254419</v>
      </c>
      <c r="Q1103" t="s">
        <v>47</v>
      </c>
      <c r="R1103" t="s">
        <v>350</v>
      </c>
      <c r="S1103" t="s">
        <v>343</v>
      </c>
      <c r="T1103" t="s">
        <v>343</v>
      </c>
    </row>
    <row r="1104" spans="2:20" x14ac:dyDescent="0.25">
      <c r="B1104">
        <v>1099</v>
      </c>
      <c r="C1104" t="s">
        <v>1443</v>
      </c>
      <c r="D1104" s="10">
        <v>0.22681292412558851</v>
      </c>
      <c r="E1104" s="10">
        <v>0.33720380589111909</v>
      </c>
      <c r="F1104" s="10">
        <v>0.62717390546002183</v>
      </c>
      <c r="G1104" s="10">
        <v>0.32752802867143221</v>
      </c>
      <c r="H1104" s="6">
        <v>0.1939305049271684</v>
      </c>
      <c r="I1104" s="10">
        <v>12.46690476531764</v>
      </c>
      <c r="J1104" s="7">
        <v>3.4542720070856681E-2</v>
      </c>
      <c r="K1104" s="5">
        <v>0.18456217077993881</v>
      </c>
      <c r="L1104">
        <v>69.031656381226369</v>
      </c>
      <c r="M1104" s="10">
        <v>-0.88307180162791421</v>
      </c>
      <c r="N1104" s="24" t="s">
        <v>343</v>
      </c>
      <c r="O1104" s="24">
        <v>0</v>
      </c>
      <c r="P1104">
        <v>48.288309937237621</v>
      </c>
      <c r="Q1104" t="s">
        <v>346</v>
      </c>
      <c r="R1104" t="s">
        <v>347</v>
      </c>
      <c r="S1104" t="s">
        <v>343</v>
      </c>
      <c r="T1104" t="s">
        <v>343</v>
      </c>
    </row>
    <row r="1105" spans="2:20" x14ac:dyDescent="0.25">
      <c r="B1105">
        <v>1100</v>
      </c>
      <c r="C1105" t="s">
        <v>1444</v>
      </c>
      <c r="D1105" s="10">
        <v>0.30065892920994641</v>
      </c>
      <c r="E1105" s="10">
        <v>0.7922507673791962</v>
      </c>
      <c r="F1105" s="10">
        <v>0.60935962450056369</v>
      </c>
      <c r="G1105" s="10">
        <v>0.32031127925913511</v>
      </c>
      <c r="H1105" s="6">
        <v>0.18463314278282181</v>
      </c>
      <c r="I1105" s="10">
        <v>8.918496464367518</v>
      </c>
      <c r="J1105" s="7">
        <v>1.247815099039901E-2</v>
      </c>
      <c r="K1105" s="5">
        <v>0.11220526103323319</v>
      </c>
      <c r="L1105">
        <v>256.41052730833587</v>
      </c>
      <c r="M1105" s="10">
        <v>-0.56568301307697</v>
      </c>
      <c r="N1105" s="24" t="s">
        <v>343</v>
      </c>
      <c r="O1105" s="24">
        <v>17.059019215381799</v>
      </c>
      <c r="P1105">
        <v>54.527597497954957</v>
      </c>
      <c r="Q1105" t="s">
        <v>47</v>
      </c>
      <c r="R1105" t="s">
        <v>350</v>
      </c>
      <c r="S1105" t="s">
        <v>343</v>
      </c>
      <c r="T1105" t="s">
        <v>343</v>
      </c>
    </row>
    <row r="1106" spans="2:20" x14ac:dyDescent="0.25">
      <c r="B1106">
        <v>1101</v>
      </c>
      <c r="C1106" t="s">
        <v>1445</v>
      </c>
      <c r="D1106" s="10">
        <v>0.31115712356662562</v>
      </c>
      <c r="E1106" s="10">
        <v>1.0470709430135929</v>
      </c>
      <c r="F1106" s="10">
        <v>0.47753478530611532</v>
      </c>
      <c r="G1106" s="10">
        <v>0.30236303070629578</v>
      </c>
      <c r="H1106" s="6">
        <v>0.15428836339444729</v>
      </c>
      <c r="I1106" s="10">
        <v>11.225308826486589</v>
      </c>
      <c r="J1106" s="7">
        <v>3.914358324805204E-2</v>
      </c>
      <c r="K1106" s="5">
        <v>0.14514678817520729</v>
      </c>
      <c r="L1106">
        <v>332.11348088816982</v>
      </c>
      <c r="M1106" s="10">
        <v>-0.43745474162058751</v>
      </c>
      <c r="N1106" s="24" t="s">
        <v>343</v>
      </c>
      <c r="O1106" s="24">
        <v>24.752715502764751</v>
      </c>
      <c r="P1106">
        <v>21.909671372318648</v>
      </c>
      <c r="Q1106" t="s">
        <v>348</v>
      </c>
      <c r="R1106" t="s">
        <v>404</v>
      </c>
      <c r="S1106" t="s">
        <v>343</v>
      </c>
      <c r="T1106" t="s">
        <v>343</v>
      </c>
    </row>
    <row r="1107" spans="2:20" x14ac:dyDescent="0.25">
      <c r="B1107">
        <v>1102</v>
      </c>
      <c r="C1107" t="s">
        <v>1446</v>
      </c>
      <c r="D1107" s="10">
        <v>0.23478424179997909</v>
      </c>
      <c r="E1107" s="10">
        <v>0.40468029008823653</v>
      </c>
      <c r="F1107" s="10">
        <v>0.59468438413843838</v>
      </c>
      <c r="G1107" s="10">
        <v>0.25885326589455299</v>
      </c>
      <c r="H1107" s="6">
        <v>0.25846073034191469</v>
      </c>
      <c r="I1107" s="10">
        <v>9.0275337304366303</v>
      </c>
      <c r="J1107" s="7">
        <v>4.3021063854243917E-2</v>
      </c>
      <c r="K1107" s="5">
        <v>0.19439110674521179</v>
      </c>
      <c r="L1107">
        <v>71.54793711576005</v>
      </c>
      <c r="M1107" s="10">
        <v>-0.8788096386100871</v>
      </c>
      <c r="N1107" s="24" t="s">
        <v>343</v>
      </c>
      <c r="O1107" s="24">
        <v>0</v>
      </c>
      <c r="P1107">
        <v>50.787350032211037</v>
      </c>
      <c r="Q1107" t="s">
        <v>47</v>
      </c>
      <c r="R1107" t="s">
        <v>350</v>
      </c>
      <c r="S1107" t="s">
        <v>343</v>
      </c>
      <c r="T1107" t="s">
        <v>343</v>
      </c>
    </row>
    <row r="1108" spans="2:20" x14ac:dyDescent="0.25">
      <c r="B1108">
        <v>1103</v>
      </c>
      <c r="C1108" t="s">
        <v>1447</v>
      </c>
      <c r="D1108" s="10">
        <v>0.25814582227371319</v>
      </c>
      <c r="E1108" s="10">
        <v>0.75166447386380364</v>
      </c>
      <c r="F1108" s="10">
        <v>0.47416805473672807</v>
      </c>
      <c r="G1108" s="10">
        <v>0.29900503081495011</v>
      </c>
      <c r="H1108" s="6">
        <v>0.1676701680985013</v>
      </c>
      <c r="I1108" s="10">
        <v>9.0066001641019042</v>
      </c>
      <c r="J1108" s="7">
        <v>4.3767545180950433E-2</v>
      </c>
      <c r="K1108" s="5">
        <v>0.1141592018747398</v>
      </c>
      <c r="L1108">
        <v>173.7687724807173</v>
      </c>
      <c r="M1108" s="10">
        <v>-0.70566446519419046</v>
      </c>
      <c r="N1108" s="24" t="s">
        <v>343</v>
      </c>
      <c r="O1108" s="24">
        <v>8.6601320883485755</v>
      </c>
      <c r="P1108">
        <v>59.011729488630252</v>
      </c>
      <c r="Q1108" t="s">
        <v>47</v>
      </c>
      <c r="R1108" t="s">
        <v>350</v>
      </c>
      <c r="S1108" t="s">
        <v>343</v>
      </c>
      <c r="T1108" t="s">
        <v>343</v>
      </c>
    </row>
    <row r="1109" spans="2:20" x14ac:dyDescent="0.25">
      <c r="B1109">
        <v>1104</v>
      </c>
      <c r="C1109" t="s">
        <v>1448</v>
      </c>
      <c r="D1109" s="10">
        <v>0.18672543137473199</v>
      </c>
      <c r="E1109" s="10">
        <v>1.336361263372815</v>
      </c>
      <c r="F1109" s="10">
        <v>0.5443214780304132</v>
      </c>
      <c r="G1109" s="10">
        <v>0.31066429671247431</v>
      </c>
      <c r="H1109" s="6">
        <v>0.20511984911548509</v>
      </c>
      <c r="I1109" s="10">
        <v>6.1323699142699182</v>
      </c>
      <c r="J1109" s="7">
        <v>2.513885640104874E-2</v>
      </c>
      <c r="K1109" s="5">
        <v>0.15455217809372851</v>
      </c>
      <c r="L1109">
        <v>126.1140036787932</v>
      </c>
      <c r="M1109" s="10">
        <v>-0.786383754748463</v>
      </c>
      <c r="N1109" s="24" t="s">
        <v>343</v>
      </c>
      <c r="O1109" s="24">
        <v>3.816974715092222</v>
      </c>
      <c r="P1109">
        <v>59.589643382560602</v>
      </c>
      <c r="Q1109" t="s">
        <v>47</v>
      </c>
      <c r="R1109" t="s">
        <v>350</v>
      </c>
      <c r="S1109" t="s">
        <v>343</v>
      </c>
      <c r="T1109" t="s">
        <v>343</v>
      </c>
    </row>
    <row r="1110" spans="2:20" x14ac:dyDescent="0.25">
      <c r="B1110">
        <v>1105</v>
      </c>
      <c r="C1110" t="s">
        <v>1449</v>
      </c>
      <c r="D1110" s="10">
        <v>0.31858698018191622</v>
      </c>
      <c r="E1110" s="10">
        <v>0.77952793998024106</v>
      </c>
      <c r="F1110" s="10">
        <v>0.58793041534057622</v>
      </c>
      <c r="G1110" s="10">
        <v>0.36049048137837553</v>
      </c>
      <c r="H1110" s="6">
        <v>0.14231696032834601</v>
      </c>
      <c r="I1110" s="10">
        <v>5.2138653301132134</v>
      </c>
      <c r="J1110" s="7">
        <v>3.1812099433864233E-2</v>
      </c>
      <c r="K1110" s="5">
        <v>0.13270659923554309</v>
      </c>
      <c r="L1110">
        <v>113.7480660216069</v>
      </c>
      <c r="M1110" s="10">
        <v>-0.80732960607573256</v>
      </c>
      <c r="N1110" s="24" t="s">
        <v>343</v>
      </c>
      <c r="O1110" s="24">
        <v>2.560223635456047</v>
      </c>
      <c r="P1110">
        <v>55.931894136105122</v>
      </c>
      <c r="Q1110" t="s">
        <v>47</v>
      </c>
      <c r="R1110" t="s">
        <v>350</v>
      </c>
      <c r="S1110" t="s">
        <v>343</v>
      </c>
      <c r="T1110" t="s">
        <v>343</v>
      </c>
    </row>
    <row r="1111" spans="2:20" x14ac:dyDescent="0.25">
      <c r="B1111">
        <v>1106</v>
      </c>
      <c r="C1111" t="s">
        <v>1450</v>
      </c>
      <c r="D1111" s="10">
        <v>0.19706747222135099</v>
      </c>
      <c r="E1111" s="10">
        <v>1.383945261828694</v>
      </c>
      <c r="F1111" s="10">
        <v>0.58530908966656048</v>
      </c>
      <c r="G1111" s="10">
        <v>0.41023347199717097</v>
      </c>
      <c r="H1111" s="6">
        <v>0.1851365088148571</v>
      </c>
      <c r="I1111" s="10">
        <v>6.0681067542911924</v>
      </c>
      <c r="J1111" s="7">
        <v>4.0007759511468198E-2</v>
      </c>
      <c r="K1111" s="5">
        <v>0.13684652330193381</v>
      </c>
      <c r="L1111">
        <v>235.049389768526</v>
      </c>
      <c r="M1111" s="10">
        <v>-0.60186524393515295</v>
      </c>
      <c r="N1111" s="24" t="s">
        <v>343</v>
      </c>
      <c r="O1111" s="24">
        <v>14.88808536389082</v>
      </c>
      <c r="P1111">
        <v>59.637116355578463</v>
      </c>
      <c r="Q1111" t="s">
        <v>47</v>
      </c>
      <c r="R1111" t="s">
        <v>350</v>
      </c>
      <c r="S1111" t="s">
        <v>343</v>
      </c>
      <c r="T1111" t="s">
        <v>343</v>
      </c>
    </row>
    <row r="1112" spans="2:20" x14ac:dyDescent="0.25">
      <c r="B1112">
        <v>1107</v>
      </c>
      <c r="C1112" t="s">
        <v>1451</v>
      </c>
      <c r="D1112" s="10">
        <v>0.31083708386162012</v>
      </c>
      <c r="E1112" s="10">
        <v>0.36252296718780158</v>
      </c>
      <c r="F1112" s="10">
        <v>0.47095909075551262</v>
      </c>
      <c r="G1112" s="10">
        <v>0.32705447186348702</v>
      </c>
      <c r="H1112" s="6">
        <v>0.25557052742538272</v>
      </c>
      <c r="I1112" s="10">
        <v>7.8492168001619449</v>
      </c>
      <c r="J1112" s="7">
        <v>1.78198396515027E-2</v>
      </c>
      <c r="K1112" s="5">
        <v>0.18462528788384761</v>
      </c>
      <c r="L1112">
        <v>115.9424786766492</v>
      </c>
      <c r="M1112" s="10">
        <v>-0.80361263430234797</v>
      </c>
      <c r="N1112" s="24" t="s">
        <v>343</v>
      </c>
      <c r="O1112" s="24">
        <v>2.7832419418591172</v>
      </c>
      <c r="P1112">
        <v>64.171880383885366</v>
      </c>
      <c r="Q1112" t="s">
        <v>47</v>
      </c>
      <c r="R1112" t="s">
        <v>350</v>
      </c>
      <c r="S1112" t="s">
        <v>343</v>
      </c>
      <c r="T1112" t="s">
        <v>343</v>
      </c>
    </row>
    <row r="1113" spans="2:20" x14ac:dyDescent="0.25">
      <c r="B1113">
        <v>1108</v>
      </c>
      <c r="C1113" t="s">
        <v>1452</v>
      </c>
      <c r="D1113" s="10">
        <v>0.26394346383877898</v>
      </c>
      <c r="E1113" s="10">
        <v>1.08961275375498</v>
      </c>
      <c r="F1113" s="10">
        <v>0.44895335210809578</v>
      </c>
      <c r="G1113" s="10">
        <v>0.44784651928746022</v>
      </c>
      <c r="H1113" s="6">
        <v>0.26931978577658883</v>
      </c>
      <c r="I1113" s="10">
        <v>11.90549121777368</v>
      </c>
      <c r="J1113" s="7">
        <v>1.09695934065302E-2</v>
      </c>
      <c r="K1113" s="5">
        <v>0.15585074407326691</v>
      </c>
      <c r="L1113">
        <v>337.08905733373962</v>
      </c>
      <c r="M1113" s="10">
        <v>-0.42902693878140641</v>
      </c>
      <c r="N1113" s="24" t="s">
        <v>343</v>
      </c>
      <c r="O1113" s="24">
        <v>25.25838367311562</v>
      </c>
      <c r="P1113">
        <v>11.60111833628558</v>
      </c>
      <c r="Q1113" t="s">
        <v>348</v>
      </c>
      <c r="R1113" t="s">
        <v>371</v>
      </c>
      <c r="S1113" t="s">
        <v>343</v>
      </c>
      <c r="T1113" t="s">
        <v>343</v>
      </c>
    </row>
    <row r="1114" spans="2:20" x14ac:dyDescent="0.25">
      <c r="B1114">
        <v>1109</v>
      </c>
      <c r="C1114" t="s">
        <v>1453</v>
      </c>
      <c r="D1114" s="10">
        <v>0.25723788718061752</v>
      </c>
      <c r="E1114" s="10">
        <v>0.93911785987309626</v>
      </c>
      <c r="F1114" s="10">
        <v>0.64754092160719157</v>
      </c>
      <c r="G1114" s="10">
        <v>0.42201699195705578</v>
      </c>
      <c r="H1114" s="6">
        <v>0.17426277851002009</v>
      </c>
      <c r="I1114" s="10">
        <v>12.118902180342459</v>
      </c>
      <c r="J1114" s="7">
        <v>2.3459818136983519E-2</v>
      </c>
      <c r="K1114" s="5">
        <v>0.17208375699193651</v>
      </c>
      <c r="L1114">
        <v>425.7118864616819</v>
      </c>
      <c r="M1114" s="10">
        <v>-0.2789145369097103</v>
      </c>
      <c r="N1114" s="24" t="s">
        <v>343</v>
      </c>
      <c r="O1114" s="24">
        <v>34.265127785417377</v>
      </c>
      <c r="P1114">
        <v>45.644211659811937</v>
      </c>
      <c r="Q1114" t="s">
        <v>346</v>
      </c>
      <c r="R1114" t="s">
        <v>347</v>
      </c>
      <c r="S1114" t="s">
        <v>343</v>
      </c>
      <c r="T1114" t="s">
        <v>343</v>
      </c>
    </row>
    <row r="1115" spans="2:20" x14ac:dyDescent="0.25">
      <c r="B1115">
        <v>1110</v>
      </c>
      <c r="C1115" t="s">
        <v>1454</v>
      </c>
      <c r="D1115" s="10">
        <v>0.24203016176264139</v>
      </c>
      <c r="E1115" s="10">
        <v>0.85059364484533795</v>
      </c>
      <c r="F1115" s="10">
        <v>0.62873983361896135</v>
      </c>
      <c r="G1115" s="10">
        <v>0.45665640653442402</v>
      </c>
      <c r="H1115" s="6">
        <v>0.14309858194715031</v>
      </c>
      <c r="I1115" s="10">
        <v>4.7971559767998988</v>
      </c>
      <c r="J1115" s="7">
        <v>4.095298706561834E-2</v>
      </c>
      <c r="K1115" s="5">
        <v>0.16395726776204789</v>
      </c>
      <c r="L1115">
        <v>271.33090144837718</v>
      </c>
      <c r="M1115" s="10">
        <v>-0.5404103692105402</v>
      </c>
      <c r="N1115" s="24" t="s">
        <v>343</v>
      </c>
      <c r="O1115" s="24">
        <v>18.575377847367591</v>
      </c>
      <c r="P1115">
        <v>58.25060630606918</v>
      </c>
      <c r="Q1115" t="s">
        <v>47</v>
      </c>
      <c r="R1115" t="s">
        <v>350</v>
      </c>
      <c r="S1115" t="s">
        <v>343</v>
      </c>
      <c r="T1115" t="s">
        <v>343</v>
      </c>
    </row>
    <row r="1116" spans="2:20" x14ac:dyDescent="0.25">
      <c r="B1116">
        <v>1111</v>
      </c>
      <c r="C1116" t="s">
        <v>1455</v>
      </c>
      <c r="D1116" s="10">
        <v>0.19690716987484139</v>
      </c>
      <c r="E1116" s="10">
        <v>1.36793214163351</v>
      </c>
      <c r="F1116" s="10">
        <v>0.46127291518683189</v>
      </c>
      <c r="G1116" s="10">
        <v>0.43276466902912603</v>
      </c>
      <c r="H1116" s="6">
        <v>0.16716772900955931</v>
      </c>
      <c r="I1116" s="10">
        <v>9.0814040556973925</v>
      </c>
      <c r="J1116" s="7">
        <v>2.7677516904092089E-2</v>
      </c>
      <c r="K1116" s="5">
        <v>0.15025649060414711</v>
      </c>
      <c r="L1116">
        <v>194.29889220934089</v>
      </c>
      <c r="M1116" s="10">
        <v>-0.67088984094101922</v>
      </c>
      <c r="N1116" s="24" t="s">
        <v>343</v>
      </c>
      <c r="O1116" s="24">
        <v>10.746609543538851</v>
      </c>
      <c r="P1116">
        <v>52.874115703448354</v>
      </c>
      <c r="Q1116" t="s">
        <v>47</v>
      </c>
      <c r="R1116" t="s">
        <v>350</v>
      </c>
      <c r="S1116" t="s">
        <v>343</v>
      </c>
      <c r="T1116" t="s">
        <v>343</v>
      </c>
    </row>
    <row r="1117" spans="2:20" x14ac:dyDescent="0.25">
      <c r="B1117">
        <v>1112</v>
      </c>
      <c r="C1117" t="s">
        <v>1456</v>
      </c>
      <c r="D1117" s="10">
        <v>0.18824448512088129</v>
      </c>
      <c r="E1117" s="10">
        <v>0.44261544054024149</v>
      </c>
      <c r="F1117" s="10">
        <v>0.47312803488840388</v>
      </c>
      <c r="G1117" s="10">
        <v>0.37567970884806351</v>
      </c>
      <c r="H1117" s="6">
        <v>0.1690862652580529</v>
      </c>
      <c r="I1117" s="10">
        <v>7.5763049525977078</v>
      </c>
      <c r="J1117" s="7">
        <v>2.8557663197929999E-2</v>
      </c>
      <c r="K1117" s="5">
        <v>0.17521256388318571</v>
      </c>
      <c r="L1117">
        <v>74.162003831395467</v>
      </c>
      <c r="M1117" s="10">
        <v>-0.87438184232781779</v>
      </c>
      <c r="N1117" s="24" t="s">
        <v>343</v>
      </c>
      <c r="O1117" s="24">
        <v>0</v>
      </c>
      <c r="P1117">
        <v>59.99051349304851</v>
      </c>
      <c r="Q1117" t="s">
        <v>47</v>
      </c>
      <c r="R1117" t="s">
        <v>350</v>
      </c>
      <c r="S1117" t="s">
        <v>343</v>
      </c>
      <c r="T1117" t="s">
        <v>343</v>
      </c>
    </row>
    <row r="1118" spans="2:20" x14ac:dyDescent="0.25">
      <c r="B1118">
        <v>1113</v>
      </c>
      <c r="C1118" t="s">
        <v>1457</v>
      </c>
      <c r="D1118" s="10">
        <v>0.19527779345122809</v>
      </c>
      <c r="E1118" s="10">
        <v>1.2855988468490041</v>
      </c>
      <c r="F1118" s="10">
        <v>0.67207178186130123</v>
      </c>
      <c r="G1118" s="10">
        <v>0.37166544331967821</v>
      </c>
      <c r="H1118" s="6">
        <v>0.21667631914234761</v>
      </c>
      <c r="I1118" s="10">
        <v>9.2802929820197964</v>
      </c>
      <c r="J1118" s="7">
        <v>3.4201591583256079E-2</v>
      </c>
      <c r="K1118" s="5">
        <v>0.19221962606148649</v>
      </c>
      <c r="L1118">
        <v>292.66720901861709</v>
      </c>
      <c r="M1118" s="10">
        <v>-0.504270196210442</v>
      </c>
      <c r="N1118" s="24" t="s">
        <v>343</v>
      </c>
      <c r="O1118" s="24">
        <v>20.743788227373479</v>
      </c>
      <c r="P1118">
        <v>58.235717754100449</v>
      </c>
      <c r="Q1118" t="s">
        <v>47</v>
      </c>
      <c r="R1118" t="s">
        <v>350</v>
      </c>
      <c r="S1118" t="s">
        <v>343</v>
      </c>
      <c r="T1118" t="s">
        <v>343</v>
      </c>
    </row>
    <row r="1119" spans="2:20" x14ac:dyDescent="0.25">
      <c r="B1119">
        <v>1114</v>
      </c>
      <c r="C1119" t="s">
        <v>1458</v>
      </c>
      <c r="D1119" s="10">
        <v>0.18983012194308069</v>
      </c>
      <c r="E1119" s="10">
        <v>1.0603644522502711</v>
      </c>
      <c r="F1119" s="10">
        <v>0.63997351442166273</v>
      </c>
      <c r="G1119" s="10">
        <v>0.26849574788592773</v>
      </c>
      <c r="H1119" s="6">
        <v>0.19442350867418409</v>
      </c>
      <c r="I1119" s="10">
        <v>10.123857257187289</v>
      </c>
      <c r="J1119" s="7">
        <v>3.0108104113098919E-2</v>
      </c>
      <c r="K1119" s="5">
        <v>0.1918478576257997</v>
      </c>
      <c r="L1119">
        <v>130.590519823287</v>
      </c>
      <c r="M1119" s="10">
        <v>-0.77880127744459282</v>
      </c>
      <c r="N1119" s="24" t="s">
        <v>343</v>
      </c>
      <c r="O1119" s="24">
        <v>4.2719233533244321</v>
      </c>
      <c r="P1119">
        <v>53.050431849887119</v>
      </c>
      <c r="Q1119" t="s">
        <v>47</v>
      </c>
      <c r="R1119" t="s">
        <v>350</v>
      </c>
      <c r="S1119" t="s">
        <v>343</v>
      </c>
      <c r="T1119" t="s">
        <v>343</v>
      </c>
    </row>
    <row r="1120" spans="2:20" x14ac:dyDescent="0.25">
      <c r="B1120">
        <v>1115</v>
      </c>
      <c r="C1120" t="s">
        <v>1459</v>
      </c>
      <c r="D1120" s="10">
        <v>0.28473351577068051</v>
      </c>
      <c r="E1120" s="10">
        <v>0.58489568062959596</v>
      </c>
      <c r="F1120" s="10">
        <v>0.6990016770163352</v>
      </c>
      <c r="G1120" s="10">
        <v>0.39892783475614491</v>
      </c>
      <c r="H1120" s="6">
        <v>0.23526895923984459</v>
      </c>
      <c r="I1120" s="10">
        <v>6.0757319199074153</v>
      </c>
      <c r="J1120" s="7">
        <v>1.190668236633066E-2</v>
      </c>
      <c r="K1120" s="5">
        <v>0.1749979400943702</v>
      </c>
      <c r="L1120">
        <v>69.584658146058132</v>
      </c>
      <c r="M1120" s="10">
        <v>-0.8821351081825004</v>
      </c>
      <c r="N1120" s="24" t="s">
        <v>343</v>
      </c>
      <c r="O1120" s="24">
        <v>0</v>
      </c>
      <c r="P1120">
        <v>51.248324566202903</v>
      </c>
      <c r="Q1120" t="s">
        <v>47</v>
      </c>
      <c r="R1120" t="s">
        <v>350</v>
      </c>
      <c r="S1120" t="s">
        <v>343</v>
      </c>
      <c r="T1120" t="s">
        <v>343</v>
      </c>
    </row>
    <row r="1121" spans="2:20" x14ac:dyDescent="0.25">
      <c r="B1121">
        <v>1116</v>
      </c>
      <c r="C1121" t="s">
        <v>1460</v>
      </c>
      <c r="D1121" s="10">
        <v>0.2160200414666768</v>
      </c>
      <c r="E1121" s="10">
        <v>1.291836060195523</v>
      </c>
      <c r="F1121" s="10">
        <v>0.50603673679330563</v>
      </c>
      <c r="G1121" s="10">
        <v>0.37204550867038771</v>
      </c>
      <c r="H1121" s="6">
        <v>0.22519549267462219</v>
      </c>
      <c r="I1121" s="10">
        <v>13.11166620135751</v>
      </c>
      <c r="J1121" s="7">
        <v>2.963010438014476E-2</v>
      </c>
      <c r="K1121" s="5">
        <v>0.1462963267961768</v>
      </c>
      <c r="L1121">
        <v>413.28898075976889</v>
      </c>
      <c r="M1121" s="10">
        <v>-0.29995688267422582</v>
      </c>
      <c r="N1121" s="24" t="s">
        <v>343</v>
      </c>
      <c r="O1121" s="24">
        <v>33.002587039546462</v>
      </c>
      <c r="P1121">
        <v>56.48930022988074</v>
      </c>
      <c r="Q1121" t="s">
        <v>47</v>
      </c>
      <c r="R1121" t="s">
        <v>350</v>
      </c>
      <c r="S1121" t="s">
        <v>343</v>
      </c>
      <c r="T1121" t="s">
        <v>343</v>
      </c>
    </row>
    <row r="1122" spans="2:20" x14ac:dyDescent="0.25">
      <c r="B1122">
        <v>1117</v>
      </c>
      <c r="C1122" t="s">
        <v>1461</v>
      </c>
      <c r="D1122" s="10">
        <v>0.1692548282501434</v>
      </c>
      <c r="E1122" s="10">
        <v>0.77222440964711447</v>
      </c>
      <c r="F1122" s="10">
        <v>0.56682877710589186</v>
      </c>
      <c r="G1122" s="10">
        <v>0.35152506274711659</v>
      </c>
      <c r="H1122" s="6">
        <v>0.15769630858878689</v>
      </c>
      <c r="I1122" s="10">
        <v>13.289929705022191</v>
      </c>
      <c r="J1122" s="7">
        <v>3.2678559781064438E-2</v>
      </c>
      <c r="K1122" s="5">
        <v>0.1155001011231641</v>
      </c>
      <c r="L1122">
        <v>334.15481931762849</v>
      </c>
      <c r="M1122" s="10">
        <v>-0.4339970522453514</v>
      </c>
      <c r="N1122" s="24" t="s">
        <v>343</v>
      </c>
      <c r="O1122" s="24">
        <v>24.960176865278921</v>
      </c>
      <c r="P1122">
        <v>52.603956750932731</v>
      </c>
      <c r="Q1122" t="s">
        <v>47</v>
      </c>
      <c r="R1122" t="s">
        <v>350</v>
      </c>
      <c r="S1122" t="s">
        <v>343</v>
      </c>
      <c r="T1122" t="s">
        <v>343</v>
      </c>
    </row>
    <row r="1123" spans="2:20" x14ac:dyDescent="0.25">
      <c r="B1123">
        <v>1118</v>
      </c>
      <c r="C1123" t="s">
        <v>1462</v>
      </c>
      <c r="D1123" s="10">
        <v>0.31505642082252983</v>
      </c>
      <c r="E1123" s="10">
        <v>1.195650060880378</v>
      </c>
      <c r="F1123" s="10">
        <v>0.50147948977621248</v>
      </c>
      <c r="G1123" s="10">
        <v>0.39252311196260348</v>
      </c>
      <c r="H1123" s="6">
        <v>0.23763835348286669</v>
      </c>
      <c r="I1123" s="10">
        <v>4.1589351680420688</v>
      </c>
      <c r="J1123" s="7">
        <v>3.245585222378046E-2</v>
      </c>
      <c r="K1123" s="5">
        <v>0.10422469835233</v>
      </c>
      <c r="L1123">
        <v>401.61770554583069</v>
      </c>
      <c r="M1123" s="10">
        <v>-0.31972609081742942</v>
      </c>
      <c r="N1123" s="24" t="s">
        <v>343</v>
      </c>
      <c r="O1123" s="24">
        <v>31.816434550954231</v>
      </c>
      <c r="P1123">
        <v>52.533786248660562</v>
      </c>
      <c r="Q1123" t="s">
        <v>47</v>
      </c>
      <c r="R1123" t="s">
        <v>350</v>
      </c>
      <c r="S1123" t="s">
        <v>343</v>
      </c>
      <c r="T1123" t="s">
        <v>343</v>
      </c>
    </row>
    <row r="1124" spans="2:20" x14ac:dyDescent="0.25">
      <c r="B1124">
        <v>1119</v>
      </c>
      <c r="C1124" t="s">
        <v>1463</v>
      </c>
      <c r="D1124" s="10">
        <v>0.30140574159414812</v>
      </c>
      <c r="E1124" s="10">
        <v>0.72772016875213996</v>
      </c>
      <c r="F1124" s="10">
        <v>0.6019280360041005</v>
      </c>
      <c r="G1124" s="10">
        <v>0.33769052542435862</v>
      </c>
      <c r="H1124" s="6">
        <v>0.24711928003722239</v>
      </c>
      <c r="I1124" s="10">
        <v>10.733203292278411</v>
      </c>
      <c r="J1124" s="7">
        <v>3.549204556773107E-2</v>
      </c>
      <c r="K1124" s="5">
        <v>0.1219872719947647</v>
      </c>
      <c r="L1124">
        <v>191.48472624289079</v>
      </c>
      <c r="M1124" s="10">
        <v>-0.67565657222963049</v>
      </c>
      <c r="N1124" s="24" t="s">
        <v>343</v>
      </c>
      <c r="O1124" s="24">
        <v>10.46060566622217</v>
      </c>
      <c r="P1124">
        <v>48.866493483148247</v>
      </c>
      <c r="Q1124" t="s">
        <v>346</v>
      </c>
      <c r="R1124" t="s">
        <v>347</v>
      </c>
      <c r="S1124" t="s">
        <v>343</v>
      </c>
      <c r="T1124" t="s">
        <v>343</v>
      </c>
    </row>
    <row r="1125" spans="2:20" x14ac:dyDescent="0.25">
      <c r="B1125">
        <v>1120</v>
      </c>
      <c r="C1125" t="s">
        <v>1464</v>
      </c>
      <c r="D1125" s="10">
        <v>0.30844036531123409</v>
      </c>
      <c r="E1125" s="10">
        <v>1.2360239101765651</v>
      </c>
      <c r="F1125" s="10">
        <v>0.47000770216374271</v>
      </c>
      <c r="G1125" s="10">
        <v>0.35524912572982298</v>
      </c>
      <c r="H1125" s="6">
        <v>0.20975852846310031</v>
      </c>
      <c r="I1125" s="10">
        <v>3.3655526786444319</v>
      </c>
      <c r="J1125" s="7">
        <v>2.8197209698400109E-2</v>
      </c>
      <c r="K1125" s="5">
        <v>0.13232450996176659</v>
      </c>
      <c r="L1125">
        <v>154.7008614179687</v>
      </c>
      <c r="M1125" s="10">
        <v>-0.73796235002218236</v>
      </c>
      <c r="N1125" s="24" t="s">
        <v>343</v>
      </c>
      <c r="O1125" s="24">
        <v>6.7222589986690551</v>
      </c>
      <c r="P1125">
        <v>53.445686460180653</v>
      </c>
      <c r="Q1125" t="s">
        <v>47</v>
      </c>
      <c r="R1125" t="s">
        <v>350</v>
      </c>
      <c r="S1125" t="s">
        <v>343</v>
      </c>
      <c r="T1125" t="s">
        <v>343</v>
      </c>
    </row>
    <row r="1126" spans="2:20" x14ac:dyDescent="0.25">
      <c r="B1126">
        <v>1121</v>
      </c>
      <c r="C1126" t="s">
        <v>1465</v>
      </c>
      <c r="D1126" s="10">
        <v>0.31918525162342959</v>
      </c>
      <c r="E1126" s="10">
        <v>1.000292030289553</v>
      </c>
      <c r="F1126" s="10">
        <v>0.4730832249131886</v>
      </c>
      <c r="G1126" s="10">
        <v>0.3276375070567164</v>
      </c>
      <c r="H1126" s="6">
        <v>0.25915015638728639</v>
      </c>
      <c r="I1126" s="10">
        <v>3.5122017769801279</v>
      </c>
      <c r="J1126" s="7">
        <v>4.1502057921325677E-2</v>
      </c>
      <c r="K1126" s="5">
        <v>0.112335713512215</v>
      </c>
      <c r="L1126">
        <v>183.73882878007331</v>
      </c>
      <c r="M1126" s="10">
        <v>-0.68877684027159036</v>
      </c>
      <c r="N1126" s="24" t="s">
        <v>343</v>
      </c>
      <c r="O1126" s="24">
        <v>9.67338958370458</v>
      </c>
      <c r="P1126">
        <v>49.292830117484932</v>
      </c>
      <c r="Q1126" t="s">
        <v>346</v>
      </c>
      <c r="R1126" t="s">
        <v>347</v>
      </c>
      <c r="S1126" t="s">
        <v>343</v>
      </c>
      <c r="T1126" t="s">
        <v>343</v>
      </c>
    </row>
    <row r="1127" spans="2:20" x14ac:dyDescent="0.25">
      <c r="B1127">
        <v>1122</v>
      </c>
      <c r="C1127" t="s">
        <v>1466</v>
      </c>
      <c r="D1127" s="10">
        <v>0.18782323987511801</v>
      </c>
      <c r="E1127" s="10">
        <v>0.45515129694209988</v>
      </c>
      <c r="F1127" s="10">
        <v>0.45869085176533192</v>
      </c>
      <c r="G1127" s="10">
        <v>0.3978215965415518</v>
      </c>
      <c r="H1127" s="6">
        <v>0.23744221841018251</v>
      </c>
      <c r="I1127" s="10">
        <v>13.535799054913239</v>
      </c>
      <c r="J1127" s="7">
        <v>2.6249121469858989E-2</v>
      </c>
      <c r="K1127" s="5">
        <v>0.121352706313183</v>
      </c>
      <c r="L1127">
        <v>183.52701162230301</v>
      </c>
      <c r="M1127" s="10">
        <v>-0.68913562347252644</v>
      </c>
      <c r="N1127" s="24" t="s">
        <v>343</v>
      </c>
      <c r="O1127" s="24">
        <v>9.6518625916484133</v>
      </c>
      <c r="P1127">
        <v>23.313993617309439</v>
      </c>
      <c r="Q1127" t="s">
        <v>348</v>
      </c>
      <c r="R1127" t="s">
        <v>371</v>
      </c>
      <c r="S1127" t="s">
        <v>343</v>
      </c>
      <c r="T1127" t="s">
        <v>343</v>
      </c>
    </row>
    <row r="1128" spans="2:20" x14ac:dyDescent="0.25">
      <c r="B1128">
        <v>1123</v>
      </c>
      <c r="C1128" t="s">
        <v>1467</v>
      </c>
      <c r="D1128" s="10">
        <v>0.2233987230244254</v>
      </c>
      <c r="E1128" s="10">
        <v>1.0146294798164801</v>
      </c>
      <c r="F1128" s="10">
        <v>0.62033238138868341</v>
      </c>
      <c r="G1128" s="10">
        <v>0.43285441352053539</v>
      </c>
      <c r="H1128" s="6">
        <v>0.2093093860309799</v>
      </c>
      <c r="I1128" s="10">
        <v>10.64338448357347</v>
      </c>
      <c r="J1128" s="7">
        <v>2.813652655542637E-2</v>
      </c>
      <c r="K1128" s="5">
        <v>0.107936819133284</v>
      </c>
      <c r="L1128">
        <v>478.76455412335469</v>
      </c>
      <c r="M1128" s="10">
        <v>-0.18905210025811839</v>
      </c>
      <c r="N1128" s="24" t="s">
        <v>343</v>
      </c>
      <c r="O1128" s="24">
        <v>42.080100950957501</v>
      </c>
      <c r="P1128">
        <v>16.039553467572599</v>
      </c>
      <c r="Q1128" t="s">
        <v>348</v>
      </c>
      <c r="R1128" t="s">
        <v>375</v>
      </c>
      <c r="S1128" t="s">
        <v>343</v>
      </c>
      <c r="T1128" t="s">
        <v>343</v>
      </c>
    </row>
    <row r="1129" spans="2:20" x14ac:dyDescent="0.25">
      <c r="B1129">
        <v>1124</v>
      </c>
      <c r="C1129" t="s">
        <v>1468</v>
      </c>
      <c r="D1129" s="10">
        <v>0.28131815611265459</v>
      </c>
      <c r="E1129" s="10">
        <v>0.51047923897205982</v>
      </c>
      <c r="F1129" s="10">
        <v>0.56845887013263374</v>
      </c>
      <c r="G1129" s="10">
        <v>0.42498588660917258</v>
      </c>
      <c r="H1129" s="6">
        <v>0.25592489959699949</v>
      </c>
      <c r="I1129" s="10">
        <v>6.5699579283285487</v>
      </c>
      <c r="J1129" s="7">
        <v>3.7310701469902507E-2</v>
      </c>
      <c r="K1129" s="5">
        <v>0.14974931234598299</v>
      </c>
      <c r="L1129">
        <v>108.51823461982779</v>
      </c>
      <c r="M1129" s="10">
        <v>-0.81618807472122912</v>
      </c>
      <c r="N1129" s="24" t="s">
        <v>343</v>
      </c>
      <c r="O1129" s="24">
        <v>2.0287155167262512</v>
      </c>
      <c r="P1129">
        <v>52.006924040190839</v>
      </c>
      <c r="Q1129" t="s">
        <v>47</v>
      </c>
      <c r="R1129" t="s">
        <v>350</v>
      </c>
      <c r="S1129" t="s">
        <v>343</v>
      </c>
      <c r="T1129" t="s">
        <v>343</v>
      </c>
    </row>
    <row r="1130" spans="2:20" x14ac:dyDescent="0.25">
      <c r="B1130">
        <v>1125</v>
      </c>
      <c r="C1130" t="s">
        <v>1469</v>
      </c>
      <c r="D1130" s="10">
        <v>0.27136329888860677</v>
      </c>
      <c r="E1130" s="10">
        <v>0.75311489068357895</v>
      </c>
      <c r="F1130" s="10">
        <v>0.60061011625220373</v>
      </c>
      <c r="G1130" s="10">
        <v>0.41292555985088308</v>
      </c>
      <c r="H1130" s="6">
        <v>0.2100537720360808</v>
      </c>
      <c r="I1130" s="10">
        <v>10.368654345204799</v>
      </c>
      <c r="J1130" s="7">
        <v>3.9163224150039373E-2</v>
      </c>
      <c r="K1130" s="5">
        <v>0.112000228161487</v>
      </c>
      <c r="L1130">
        <v>325.60879942223818</v>
      </c>
      <c r="M1130" s="10">
        <v>-0.44847259523538968</v>
      </c>
      <c r="N1130" s="24" t="s">
        <v>343</v>
      </c>
      <c r="O1130" s="24">
        <v>24.091644285876619</v>
      </c>
      <c r="P1130">
        <v>52.922791813507047</v>
      </c>
      <c r="Q1130" t="s">
        <v>47</v>
      </c>
      <c r="R1130" t="s">
        <v>350</v>
      </c>
      <c r="S1130" t="s">
        <v>343</v>
      </c>
      <c r="T1130" t="s">
        <v>343</v>
      </c>
    </row>
    <row r="1131" spans="2:20" x14ac:dyDescent="0.25">
      <c r="B1131">
        <v>1126</v>
      </c>
      <c r="C1131" t="s">
        <v>1470</v>
      </c>
      <c r="D1131" s="10">
        <v>0.1846233450143768</v>
      </c>
      <c r="E1131" s="10">
        <v>0.48732514267723698</v>
      </c>
      <c r="F1131" s="10">
        <v>0.66861827211323321</v>
      </c>
      <c r="G1131" s="10">
        <v>0.2430332949998012</v>
      </c>
      <c r="H1131" s="6">
        <v>0.198178669100601</v>
      </c>
      <c r="I1131" s="10">
        <v>12.3041855571905</v>
      </c>
      <c r="J1131" s="7">
        <v>3.2692651344932197E-2</v>
      </c>
      <c r="K1131" s="5">
        <v>0.17056301984268071</v>
      </c>
      <c r="L1131">
        <v>77.117291502177608</v>
      </c>
      <c r="M1131" s="10">
        <v>-0.86937607423343133</v>
      </c>
      <c r="N1131" s="24" t="s">
        <v>343</v>
      </c>
      <c r="O1131" s="24">
        <v>0</v>
      </c>
      <c r="P1131">
        <v>53.209223698035608</v>
      </c>
      <c r="Q1131" t="s">
        <v>47</v>
      </c>
      <c r="R1131" t="s">
        <v>350</v>
      </c>
      <c r="S1131" t="s">
        <v>343</v>
      </c>
      <c r="T1131" t="s">
        <v>343</v>
      </c>
    </row>
    <row r="1132" spans="2:20" x14ac:dyDescent="0.25">
      <c r="B1132">
        <v>1127</v>
      </c>
      <c r="C1132" t="s">
        <v>1471</v>
      </c>
      <c r="D1132" s="10">
        <v>0.29053329999849892</v>
      </c>
      <c r="E1132" s="10">
        <v>0.32421772723383041</v>
      </c>
      <c r="F1132" s="10">
        <v>0.63248540603639325</v>
      </c>
      <c r="G1132" s="10">
        <v>0.44061370205304112</v>
      </c>
      <c r="H1132" s="6">
        <v>0.1734387510616654</v>
      </c>
      <c r="I1132" s="10">
        <v>12.57993824052434</v>
      </c>
      <c r="J1132" s="7">
        <v>1.4423062443216251E-2</v>
      </c>
      <c r="K1132" s="5">
        <v>0.13160172892368791</v>
      </c>
      <c r="L1132">
        <v>281.29702092735539</v>
      </c>
      <c r="M1132" s="10">
        <v>-0.52352941260995678</v>
      </c>
      <c r="N1132" s="24" t="s">
        <v>343</v>
      </c>
      <c r="O1132" s="24">
        <v>19.58823524340259</v>
      </c>
      <c r="P1132">
        <v>51.766908173251053</v>
      </c>
      <c r="Q1132" t="s">
        <v>47</v>
      </c>
      <c r="R1132" t="s">
        <v>350</v>
      </c>
      <c r="S1132" t="s">
        <v>343</v>
      </c>
      <c r="T1132" t="s">
        <v>343</v>
      </c>
    </row>
    <row r="1133" spans="2:20" x14ac:dyDescent="0.25">
      <c r="B1133">
        <v>1128</v>
      </c>
      <c r="C1133" t="s">
        <v>1472</v>
      </c>
      <c r="D1133" s="10">
        <v>0.19591049149386569</v>
      </c>
      <c r="E1133" s="10">
        <v>0.53307519339495324</v>
      </c>
      <c r="F1133" s="10">
        <v>0.56004795872333968</v>
      </c>
      <c r="G1133" s="10">
        <v>0.30047265855914668</v>
      </c>
      <c r="H1133" s="6">
        <v>0.25242949958916677</v>
      </c>
      <c r="I1133" s="10">
        <v>3.2257175692658189</v>
      </c>
      <c r="J1133" s="7">
        <v>2.1618323295704029E-2</v>
      </c>
      <c r="K1133" s="5">
        <v>0.163845957850067</v>
      </c>
      <c r="L1133">
        <v>101.6467217126401</v>
      </c>
      <c r="M1133" s="10">
        <v>-0.8278272800720442</v>
      </c>
      <c r="N1133" s="24" t="s">
        <v>343</v>
      </c>
      <c r="O1133" s="24">
        <v>1.3303631956773501</v>
      </c>
      <c r="P1133">
        <v>63.777394622318759</v>
      </c>
      <c r="Q1133" t="s">
        <v>47</v>
      </c>
      <c r="R1133" t="s">
        <v>350</v>
      </c>
      <c r="S1133" t="s">
        <v>343</v>
      </c>
      <c r="T1133" t="s">
        <v>343</v>
      </c>
    </row>
    <row r="1134" spans="2:20" x14ac:dyDescent="0.25">
      <c r="B1134">
        <v>1129</v>
      </c>
      <c r="C1134" t="s">
        <v>1473</v>
      </c>
      <c r="D1134" s="10">
        <v>0.1958108183716197</v>
      </c>
      <c r="E1134" s="10">
        <v>0.89000922609653821</v>
      </c>
      <c r="F1134" s="10">
        <v>0.69593255698249878</v>
      </c>
      <c r="G1134" s="10">
        <v>0.43535426745194272</v>
      </c>
      <c r="H1134" s="6">
        <v>0.13840907563092331</v>
      </c>
      <c r="I1134" s="10">
        <v>12.00050808151291</v>
      </c>
      <c r="J1134" s="7">
        <v>1.070544433260134E-2</v>
      </c>
      <c r="K1134" s="5">
        <v>0.18383934633263649</v>
      </c>
      <c r="L1134">
        <v>207.39742023825789</v>
      </c>
      <c r="M1134" s="10">
        <v>-0.64870310279744403</v>
      </c>
      <c r="N1134" s="24" t="s">
        <v>343</v>
      </c>
      <c r="O1134" s="24">
        <v>12.07781383215336</v>
      </c>
      <c r="P1134">
        <v>50.317627866922663</v>
      </c>
      <c r="Q1134" t="s">
        <v>47</v>
      </c>
      <c r="R1134" t="s">
        <v>350</v>
      </c>
      <c r="S1134" t="s">
        <v>343</v>
      </c>
      <c r="T1134" t="s">
        <v>343</v>
      </c>
    </row>
    <row r="1135" spans="2:20" x14ac:dyDescent="0.25">
      <c r="B1135">
        <v>1130</v>
      </c>
      <c r="C1135" t="s">
        <v>1474</v>
      </c>
      <c r="D1135" s="10">
        <v>0.24591590766294619</v>
      </c>
      <c r="E1135" s="10">
        <v>0.82971706455508065</v>
      </c>
      <c r="F1135" s="10">
        <v>0.55862658629691297</v>
      </c>
      <c r="G1135" s="10">
        <v>0.28333298267966278</v>
      </c>
      <c r="H1135" s="6">
        <v>0.19102540713261851</v>
      </c>
      <c r="I1135" s="10">
        <v>12.385229865659261</v>
      </c>
      <c r="J1135" s="7">
        <v>2.0340743285477209E-2</v>
      </c>
      <c r="K1135" s="5">
        <v>0.108171571541016</v>
      </c>
      <c r="L1135">
        <v>231.6280399191607</v>
      </c>
      <c r="M1135" s="10">
        <v>-0.60766044420787424</v>
      </c>
      <c r="N1135" s="24" t="s">
        <v>343</v>
      </c>
      <c r="O1135" s="24">
        <v>14.540373347527551</v>
      </c>
      <c r="P1135">
        <v>60.225038673650168</v>
      </c>
      <c r="Q1135" t="s">
        <v>47</v>
      </c>
      <c r="R1135" t="s">
        <v>350</v>
      </c>
      <c r="S1135" t="s">
        <v>343</v>
      </c>
      <c r="T1135" t="s">
        <v>343</v>
      </c>
    </row>
    <row r="1136" spans="2:20" x14ac:dyDescent="0.25">
      <c r="B1136">
        <v>1131</v>
      </c>
      <c r="C1136" t="s">
        <v>1475</v>
      </c>
      <c r="D1136" s="10">
        <v>0.25487038957467251</v>
      </c>
      <c r="E1136" s="10">
        <v>0.85164680508966994</v>
      </c>
      <c r="F1136" s="10">
        <v>0.4692371750407186</v>
      </c>
      <c r="G1136" s="10">
        <v>0.33672206531344218</v>
      </c>
      <c r="H1136" s="6">
        <v>0.2006119997812533</v>
      </c>
      <c r="I1136" s="10">
        <v>9.5512722538837878</v>
      </c>
      <c r="J1136" s="7">
        <v>2.9958550194149291E-2</v>
      </c>
      <c r="K1136" s="5">
        <v>0.19395507480420751</v>
      </c>
      <c r="L1136">
        <v>108.2521246810186</v>
      </c>
      <c r="M1136" s="10">
        <v>-0.81663882090558892</v>
      </c>
      <c r="N1136" s="24" t="s">
        <v>343</v>
      </c>
      <c r="O1136" s="24">
        <v>2.001670745664669</v>
      </c>
      <c r="P1136">
        <v>55.090223428387098</v>
      </c>
      <c r="Q1136" t="s">
        <v>47</v>
      </c>
      <c r="R1136" t="s">
        <v>350</v>
      </c>
      <c r="S1136" t="s">
        <v>343</v>
      </c>
      <c r="T1136" t="s">
        <v>343</v>
      </c>
    </row>
    <row r="1137" spans="2:20" x14ac:dyDescent="0.25">
      <c r="B1137">
        <v>1132</v>
      </c>
      <c r="C1137" t="s">
        <v>1476</v>
      </c>
      <c r="D1137" s="10">
        <v>0.25281379325404979</v>
      </c>
      <c r="E1137" s="10">
        <v>0.57245556629126138</v>
      </c>
      <c r="F1137" s="10">
        <v>0.69809023428570605</v>
      </c>
      <c r="G1137" s="10">
        <v>0.40486773475192112</v>
      </c>
      <c r="H1137" s="6">
        <v>0.20321236601546661</v>
      </c>
      <c r="I1137" s="10">
        <v>8.2789422790502449</v>
      </c>
      <c r="J1137" s="7">
        <v>3.8183075877140517E-2</v>
      </c>
      <c r="K1137" s="5">
        <v>0.16129811752483991</v>
      </c>
      <c r="L1137">
        <v>174.38016364266741</v>
      </c>
      <c r="M1137" s="10">
        <v>-0.70462886977587036</v>
      </c>
      <c r="N1137" s="24" t="s">
        <v>343</v>
      </c>
      <c r="O1137" s="24">
        <v>8.7222678134477825</v>
      </c>
      <c r="P1137">
        <v>56.178708248073633</v>
      </c>
      <c r="Q1137" t="s">
        <v>47</v>
      </c>
      <c r="R1137" t="s">
        <v>350</v>
      </c>
      <c r="S1137" t="s">
        <v>343</v>
      </c>
      <c r="T1137" t="s">
        <v>343</v>
      </c>
    </row>
    <row r="1138" spans="2:20" x14ac:dyDescent="0.25">
      <c r="B1138">
        <v>1133</v>
      </c>
      <c r="C1138" t="s">
        <v>1477</v>
      </c>
      <c r="D1138" s="10">
        <v>0.1746378939836408</v>
      </c>
      <c r="E1138" s="10">
        <v>1.0536773206756049</v>
      </c>
      <c r="F1138" s="10">
        <v>0.44593338980386032</v>
      </c>
      <c r="G1138" s="10">
        <v>0.38086136796097803</v>
      </c>
      <c r="H1138" s="6">
        <v>0.21778347457278649</v>
      </c>
      <c r="I1138" s="10">
        <v>4.2209880891738916</v>
      </c>
      <c r="J1138" s="7">
        <v>3.0497742076081469E-2</v>
      </c>
      <c r="K1138" s="5">
        <v>0.1050697638664823</v>
      </c>
      <c r="L1138">
        <v>240.4404984174279</v>
      </c>
      <c r="M1138" s="10">
        <v>-0.59273359833095296</v>
      </c>
      <c r="N1138" s="24" t="s">
        <v>343</v>
      </c>
      <c r="O1138" s="24">
        <v>15.43598410014282</v>
      </c>
      <c r="P1138">
        <v>57.765864395173303</v>
      </c>
      <c r="Q1138" t="s">
        <v>47</v>
      </c>
      <c r="R1138" t="s">
        <v>350</v>
      </c>
      <c r="S1138" t="s">
        <v>343</v>
      </c>
      <c r="T1138" t="s">
        <v>343</v>
      </c>
    </row>
    <row r="1139" spans="2:20" x14ac:dyDescent="0.25">
      <c r="B1139">
        <v>1134</v>
      </c>
      <c r="C1139" t="s">
        <v>1478</v>
      </c>
      <c r="D1139" s="10">
        <v>0.30039373802086089</v>
      </c>
      <c r="E1139" s="10">
        <v>1.07468961550238</v>
      </c>
      <c r="F1139" s="10">
        <v>0.58296972546681558</v>
      </c>
      <c r="G1139" s="10">
        <v>0.33150282636647449</v>
      </c>
      <c r="H1139" s="6">
        <v>0.19586934363807229</v>
      </c>
      <c r="I1139" s="10">
        <v>5.6357522363578907</v>
      </c>
      <c r="J1139" s="7">
        <v>1.139631295027127E-2</v>
      </c>
      <c r="K1139" s="5">
        <v>0.12983021203298589</v>
      </c>
      <c r="L1139">
        <v>356.54322407999399</v>
      </c>
      <c r="M1139" s="10">
        <v>-0.39607480076653051</v>
      </c>
      <c r="N1139" s="24" t="s">
        <v>343</v>
      </c>
      <c r="O1139" s="24">
        <v>27.235511954008171</v>
      </c>
      <c r="P1139">
        <v>23.60524504618493</v>
      </c>
      <c r="Q1139" t="s">
        <v>348</v>
      </c>
      <c r="R1139" t="s">
        <v>375</v>
      </c>
      <c r="S1139" t="s">
        <v>343</v>
      </c>
      <c r="T1139" t="s">
        <v>343</v>
      </c>
    </row>
    <row r="1140" spans="2:20" x14ac:dyDescent="0.25">
      <c r="B1140">
        <v>1135</v>
      </c>
      <c r="C1140" t="s">
        <v>1479</v>
      </c>
      <c r="D1140" s="10">
        <v>0.202496006814193</v>
      </c>
      <c r="E1140" s="10">
        <v>0.69376460811563212</v>
      </c>
      <c r="F1140" s="10">
        <v>0.52036482706192444</v>
      </c>
      <c r="G1140" s="10">
        <v>0.38929724848286129</v>
      </c>
      <c r="H1140" s="6">
        <v>0.15852272214598909</v>
      </c>
      <c r="I1140" s="10">
        <v>8.3953363163196641</v>
      </c>
      <c r="J1140" s="7">
        <v>1.9068726095565341E-2</v>
      </c>
      <c r="K1140" s="5">
        <v>0.18419328914943839</v>
      </c>
      <c r="L1140">
        <v>123.90840148810111</v>
      </c>
      <c r="M1140" s="10">
        <v>-0.79011967974291664</v>
      </c>
      <c r="N1140" s="24" t="s">
        <v>343</v>
      </c>
      <c r="O1140" s="24">
        <v>3.592819215424996</v>
      </c>
      <c r="P1140">
        <v>60.339717080609077</v>
      </c>
      <c r="Q1140" t="s">
        <v>47</v>
      </c>
      <c r="R1140" t="s">
        <v>350</v>
      </c>
      <c r="S1140" t="s">
        <v>343</v>
      </c>
      <c r="T1140" t="s">
        <v>343</v>
      </c>
    </row>
    <row r="1141" spans="2:20" x14ac:dyDescent="0.25">
      <c r="B1141">
        <v>1136</v>
      </c>
      <c r="C1141" t="s">
        <v>1480</v>
      </c>
      <c r="D1141" s="10">
        <v>0.18072238740524871</v>
      </c>
      <c r="E1141" s="10">
        <v>1.269287097321592</v>
      </c>
      <c r="F1141" s="10">
        <v>0.57092355926441607</v>
      </c>
      <c r="G1141" s="10">
        <v>0.36076889221026071</v>
      </c>
      <c r="H1141" s="6">
        <v>0.24854165942092499</v>
      </c>
      <c r="I1141" s="10">
        <v>12.515876822908609</v>
      </c>
      <c r="J1141" s="7">
        <v>3.0232158850830679E-2</v>
      </c>
      <c r="K1141" s="5">
        <v>0.15664219241542529</v>
      </c>
      <c r="L1141">
        <v>283.87265401785021</v>
      </c>
      <c r="M1141" s="10">
        <v>-0.5191667165263526</v>
      </c>
      <c r="N1141" s="24" t="s">
        <v>343</v>
      </c>
      <c r="O1141" s="24">
        <v>19.84999700841885</v>
      </c>
      <c r="P1141">
        <v>59.830446832277417</v>
      </c>
      <c r="Q1141" t="s">
        <v>47</v>
      </c>
      <c r="R1141" t="s">
        <v>350</v>
      </c>
      <c r="S1141" t="s">
        <v>343</v>
      </c>
      <c r="T1141" t="s">
        <v>343</v>
      </c>
    </row>
    <row r="1142" spans="2:20" x14ac:dyDescent="0.25">
      <c r="B1142">
        <v>1137</v>
      </c>
      <c r="C1142" t="s">
        <v>1481</v>
      </c>
      <c r="D1142" s="10">
        <v>0.30219969277903641</v>
      </c>
      <c r="E1142" s="10">
        <v>1.008425538299103</v>
      </c>
      <c r="F1142" s="10">
        <v>0.5852653676745756</v>
      </c>
      <c r="G1142" s="10">
        <v>0.30066198745981709</v>
      </c>
      <c r="H1142" s="6">
        <v>0.21862879917532921</v>
      </c>
      <c r="I1142" s="10">
        <v>11.83447792479255</v>
      </c>
      <c r="J1142" s="7">
        <v>3.4816670256095333E-2</v>
      </c>
      <c r="K1142" s="5">
        <v>0.1272861248882669</v>
      </c>
      <c r="L1142">
        <v>311.13793046789431</v>
      </c>
      <c r="M1142" s="10">
        <v>-0.47298385172857937</v>
      </c>
      <c r="N1142" s="24" t="s">
        <v>343</v>
      </c>
      <c r="O1142" s="24">
        <v>22.620968896285241</v>
      </c>
      <c r="P1142">
        <v>59.483140662661981</v>
      </c>
      <c r="Q1142" t="s">
        <v>47</v>
      </c>
      <c r="R1142" t="s">
        <v>350</v>
      </c>
      <c r="S1142" t="s">
        <v>343</v>
      </c>
      <c r="T1142" t="s">
        <v>343</v>
      </c>
    </row>
    <row r="1143" spans="2:20" x14ac:dyDescent="0.25">
      <c r="B1143">
        <v>1138</v>
      </c>
      <c r="C1143" t="s">
        <v>1482</v>
      </c>
      <c r="D1143" s="10">
        <v>0.31290423971676051</v>
      </c>
      <c r="E1143" s="10">
        <v>1.084343202784495</v>
      </c>
      <c r="F1143" s="10">
        <v>0.50242493303240676</v>
      </c>
      <c r="G1143" s="10">
        <v>0.38219247800937067</v>
      </c>
      <c r="H1143" s="6">
        <v>0.2487281720565459</v>
      </c>
      <c r="I1143" s="10">
        <v>8.4552253901061007</v>
      </c>
      <c r="J1143" s="7">
        <v>4.0325884750679983E-2</v>
      </c>
      <c r="K1143" s="5">
        <v>0.18934698551785881</v>
      </c>
      <c r="L1143">
        <v>175.5145031855119</v>
      </c>
      <c r="M1143" s="10">
        <v>-0.70270748636947289</v>
      </c>
      <c r="N1143" s="24" t="s">
        <v>343</v>
      </c>
      <c r="O1143" s="24">
        <v>8.8375508178316231</v>
      </c>
      <c r="P1143">
        <v>49.908069932940542</v>
      </c>
      <c r="Q1143" t="s">
        <v>346</v>
      </c>
      <c r="R1143" t="s">
        <v>347</v>
      </c>
      <c r="S1143" t="s">
        <v>343</v>
      </c>
      <c r="T1143" t="s">
        <v>343</v>
      </c>
    </row>
    <row r="1144" spans="2:20" x14ac:dyDescent="0.25">
      <c r="B1144">
        <v>1139</v>
      </c>
      <c r="C1144" t="s">
        <v>1483</v>
      </c>
      <c r="D1144" s="10">
        <v>0.29794041876247213</v>
      </c>
      <c r="E1144" s="10">
        <v>0.60507390973283326</v>
      </c>
      <c r="F1144" s="10">
        <v>0.58478327649168804</v>
      </c>
      <c r="G1144" s="10">
        <v>0.28493435899579511</v>
      </c>
      <c r="H1144" s="6">
        <v>0.16140652364705649</v>
      </c>
      <c r="I1144" s="10">
        <v>11.641897251135269</v>
      </c>
      <c r="J1144" s="7">
        <v>4.3867582564976602E-2</v>
      </c>
      <c r="K1144" s="5">
        <v>0.17478899418874311</v>
      </c>
      <c r="L1144">
        <v>217.37239345464459</v>
      </c>
      <c r="M1144" s="10">
        <v>-0.63180714943134308</v>
      </c>
      <c r="N1144" s="24" t="s">
        <v>343</v>
      </c>
      <c r="O1144" s="24">
        <v>13.09157103411941</v>
      </c>
      <c r="P1144">
        <v>52.431305719099377</v>
      </c>
      <c r="Q1144" t="s">
        <v>47</v>
      </c>
      <c r="R1144" t="s">
        <v>350</v>
      </c>
      <c r="S1144" t="s">
        <v>343</v>
      </c>
      <c r="T1144" t="s">
        <v>343</v>
      </c>
    </row>
    <row r="1145" spans="2:20" x14ac:dyDescent="0.25">
      <c r="B1145">
        <v>1140</v>
      </c>
      <c r="C1145" t="s">
        <v>1484</v>
      </c>
      <c r="D1145" s="10">
        <v>0.28952257195598052</v>
      </c>
      <c r="E1145" s="10">
        <v>0.30067279867114571</v>
      </c>
      <c r="F1145" s="10">
        <v>0.6365758891214397</v>
      </c>
      <c r="G1145" s="10">
        <v>0.39267742253701637</v>
      </c>
      <c r="H1145" s="6">
        <v>0.21555853423542329</v>
      </c>
      <c r="I1145" s="10">
        <v>11.423067125180969</v>
      </c>
      <c r="J1145" s="7">
        <v>4.1212531745237452E-2</v>
      </c>
      <c r="K1145" s="5">
        <v>0.169876157134245</v>
      </c>
      <c r="L1145">
        <v>111.1056711414723</v>
      </c>
      <c r="M1145" s="10">
        <v>-0.8118053855792039</v>
      </c>
      <c r="N1145" s="24" t="s">
        <v>343</v>
      </c>
      <c r="O1145" s="24">
        <v>2.2916768652477728</v>
      </c>
      <c r="P1145">
        <v>17.125970138339941</v>
      </c>
      <c r="Q1145" t="s">
        <v>348</v>
      </c>
      <c r="R1145" t="s">
        <v>353</v>
      </c>
      <c r="S1145" t="s">
        <v>343</v>
      </c>
      <c r="T1145" t="s">
        <v>343</v>
      </c>
    </row>
    <row r="1146" spans="2:20" x14ac:dyDescent="0.25">
      <c r="B1146">
        <v>1141</v>
      </c>
      <c r="C1146" t="s">
        <v>1485</v>
      </c>
      <c r="D1146" s="10">
        <v>0.26483871690224348</v>
      </c>
      <c r="E1146" s="10">
        <v>1.2519131733123201</v>
      </c>
      <c r="F1146" s="10">
        <v>0.50929255768343951</v>
      </c>
      <c r="G1146" s="10">
        <v>0.2406843930771134</v>
      </c>
      <c r="H1146" s="6">
        <v>0.2271260617614593</v>
      </c>
      <c r="I1146" s="10">
        <v>9.3691688650326803</v>
      </c>
      <c r="J1146" s="7">
        <v>2.6356479541073601E-2</v>
      </c>
      <c r="K1146" s="5">
        <v>0.18440057640063681</v>
      </c>
      <c r="L1146">
        <v>239.4192449978664</v>
      </c>
      <c r="M1146" s="10">
        <v>-0.59446343256484713</v>
      </c>
      <c r="N1146" s="24" t="s">
        <v>343</v>
      </c>
      <c r="O1146" s="24">
        <v>15.332194046109169</v>
      </c>
      <c r="P1146">
        <v>21.226150528849541</v>
      </c>
      <c r="Q1146" t="s">
        <v>348</v>
      </c>
      <c r="R1146" t="s">
        <v>375</v>
      </c>
      <c r="S1146" t="s">
        <v>343</v>
      </c>
      <c r="T1146" t="s">
        <v>343</v>
      </c>
    </row>
    <row r="1147" spans="2:20" x14ac:dyDescent="0.25">
      <c r="B1147">
        <v>1142</v>
      </c>
      <c r="C1147" t="s">
        <v>1486</v>
      </c>
      <c r="D1147" s="10">
        <v>0.24813717929746229</v>
      </c>
      <c r="E1147" s="10">
        <v>1.204666823037789</v>
      </c>
      <c r="F1147" s="10">
        <v>0.53969079466161585</v>
      </c>
      <c r="G1147" s="10">
        <v>0.36072995302758942</v>
      </c>
      <c r="H1147" s="6">
        <v>0.17751077405517579</v>
      </c>
      <c r="I1147" s="10">
        <v>5.4235799877516344</v>
      </c>
      <c r="J1147" s="7">
        <v>3.6142532888316481E-2</v>
      </c>
      <c r="K1147" s="5">
        <v>0.1731290947473185</v>
      </c>
      <c r="L1147">
        <v>136.97068366647991</v>
      </c>
      <c r="M1147" s="10">
        <v>-0.76799433606999545</v>
      </c>
      <c r="N1147" s="24" t="s">
        <v>343</v>
      </c>
      <c r="O1147" s="24">
        <v>4.9203398358002701</v>
      </c>
      <c r="P1147">
        <v>59.024198202221903</v>
      </c>
      <c r="Q1147" t="s">
        <v>47</v>
      </c>
      <c r="R1147" t="s">
        <v>350</v>
      </c>
      <c r="S1147" t="s">
        <v>343</v>
      </c>
      <c r="T1147" t="s">
        <v>343</v>
      </c>
    </row>
    <row r="1148" spans="2:20" x14ac:dyDescent="0.25">
      <c r="B1148">
        <v>1143</v>
      </c>
      <c r="C1148" t="s">
        <v>1487</v>
      </c>
      <c r="D1148" s="10">
        <v>0.17391788158582561</v>
      </c>
      <c r="E1148" s="10">
        <v>0.43551107684711321</v>
      </c>
      <c r="F1148" s="10">
        <v>0.50974310022265501</v>
      </c>
      <c r="G1148" s="10">
        <v>0.32823487806235102</v>
      </c>
      <c r="H1148" s="6">
        <v>0.24183661773103521</v>
      </c>
      <c r="I1148" s="10">
        <v>6.8280414563583447</v>
      </c>
      <c r="J1148" s="7">
        <v>1.8418472992099959E-2</v>
      </c>
      <c r="K1148" s="5">
        <v>0.12724014355389199</v>
      </c>
      <c r="L1148">
        <v>130.57218056331149</v>
      </c>
      <c r="M1148" s="10">
        <v>-0.77883234111510025</v>
      </c>
      <c r="N1148" s="24" t="s">
        <v>343</v>
      </c>
      <c r="O1148" s="24">
        <v>4.2700595330939919</v>
      </c>
      <c r="P1148">
        <v>66.665921354677124</v>
      </c>
      <c r="Q1148" t="s">
        <v>47</v>
      </c>
      <c r="R1148" t="s">
        <v>350</v>
      </c>
      <c r="S1148" t="s">
        <v>343</v>
      </c>
      <c r="T1148" t="s">
        <v>343</v>
      </c>
    </row>
    <row r="1149" spans="2:20" x14ac:dyDescent="0.25">
      <c r="B1149">
        <v>1144</v>
      </c>
      <c r="C1149" t="s">
        <v>1488</v>
      </c>
      <c r="D1149" s="10">
        <v>0.2253525140913118</v>
      </c>
      <c r="E1149" s="10">
        <v>0.71151564845193715</v>
      </c>
      <c r="F1149" s="10">
        <v>0.65334553005693263</v>
      </c>
      <c r="G1149" s="10">
        <v>0.30668283023642839</v>
      </c>
      <c r="H1149" s="6">
        <v>0.1203763162263445</v>
      </c>
      <c r="I1149" s="10">
        <v>4.8047100521166</v>
      </c>
      <c r="J1149" s="7">
        <v>1.223407780775787E-2</v>
      </c>
      <c r="K1149" s="5">
        <v>0.15546917717493269</v>
      </c>
      <c r="L1149">
        <v>118.024508598184</v>
      </c>
      <c r="M1149" s="10">
        <v>-0.80008602027562659</v>
      </c>
      <c r="N1149" s="24" t="s">
        <v>343</v>
      </c>
      <c r="O1149" s="24">
        <v>2.9948387834623991</v>
      </c>
      <c r="P1149">
        <v>66.302875579957174</v>
      </c>
      <c r="Q1149" t="s">
        <v>47</v>
      </c>
      <c r="R1149" t="s">
        <v>350</v>
      </c>
      <c r="S1149" t="s">
        <v>343</v>
      </c>
      <c r="T1149" t="s">
        <v>343</v>
      </c>
    </row>
    <row r="1150" spans="2:20" x14ac:dyDescent="0.25">
      <c r="B1150">
        <v>1145</v>
      </c>
      <c r="C1150" t="s">
        <v>1489</v>
      </c>
      <c r="D1150" s="10">
        <v>0.21963016272197031</v>
      </c>
      <c r="E1150" s="10">
        <v>1.027473239227441</v>
      </c>
      <c r="F1150" s="10">
        <v>0.62849538739449518</v>
      </c>
      <c r="G1150" s="10">
        <v>0.35345575279162028</v>
      </c>
      <c r="H1150" s="6">
        <v>0.20923796253213331</v>
      </c>
      <c r="I1150" s="10">
        <v>3.0786555706503518</v>
      </c>
      <c r="J1150" s="7">
        <v>1.192741549230915E-2</v>
      </c>
      <c r="K1150" s="5">
        <v>0.1800171859373865</v>
      </c>
      <c r="L1150">
        <v>155.93823842608811</v>
      </c>
      <c r="M1150" s="10">
        <v>-0.73586643820648678</v>
      </c>
      <c r="N1150" s="24" t="s">
        <v>343</v>
      </c>
      <c r="O1150" s="24">
        <v>6.8480137076107894</v>
      </c>
      <c r="P1150">
        <v>66.495197442803374</v>
      </c>
      <c r="Q1150" t="s">
        <v>47</v>
      </c>
      <c r="R1150" t="s">
        <v>350</v>
      </c>
      <c r="S1150" t="s">
        <v>343</v>
      </c>
      <c r="T1150" t="s">
        <v>343</v>
      </c>
    </row>
    <row r="1151" spans="2:20" x14ac:dyDescent="0.25">
      <c r="B1151">
        <v>1146</v>
      </c>
      <c r="C1151" t="s">
        <v>1490</v>
      </c>
      <c r="D1151" s="10">
        <v>0.20156060540165219</v>
      </c>
      <c r="E1151" s="10">
        <v>1.0173219429406011</v>
      </c>
      <c r="F1151" s="10">
        <v>0.66651107367678586</v>
      </c>
      <c r="G1151" s="10">
        <v>0.3819685591578954</v>
      </c>
      <c r="H1151" s="6">
        <v>0.21203527055281959</v>
      </c>
      <c r="I1151" s="10">
        <v>3.8857797447558018</v>
      </c>
      <c r="J1151" s="7">
        <v>1.8445698963772291E-2</v>
      </c>
      <c r="K1151" s="5">
        <v>0.1171805701386693</v>
      </c>
      <c r="L1151">
        <v>140.43425758321021</v>
      </c>
      <c r="M1151" s="10">
        <v>-0.7621276152169526</v>
      </c>
      <c r="N1151" s="24" t="s">
        <v>343</v>
      </c>
      <c r="O1151" s="24">
        <v>5.2723430869828496</v>
      </c>
      <c r="P1151">
        <v>60.134199292534312</v>
      </c>
      <c r="Q1151" t="s">
        <v>47</v>
      </c>
      <c r="R1151" t="s">
        <v>350</v>
      </c>
      <c r="S1151" t="s">
        <v>343</v>
      </c>
      <c r="T1151" t="s">
        <v>343</v>
      </c>
    </row>
    <row r="1152" spans="2:20" x14ac:dyDescent="0.25">
      <c r="B1152">
        <v>1147</v>
      </c>
      <c r="C1152" t="s">
        <v>1491</v>
      </c>
      <c r="D1152" s="10">
        <v>0.27574721819017362</v>
      </c>
      <c r="E1152" s="10">
        <v>1.2463853682894119</v>
      </c>
      <c r="F1152" s="10">
        <v>0.48421297215443138</v>
      </c>
      <c r="G1152" s="10">
        <v>0.45236869856696232</v>
      </c>
      <c r="H1152" s="6">
        <v>0.20007646395579529</v>
      </c>
      <c r="I1152" s="10">
        <v>11.355881978324369</v>
      </c>
      <c r="J1152" s="7">
        <v>1.131393798011557E-2</v>
      </c>
      <c r="K1152" s="5">
        <v>0.11548721155261429</v>
      </c>
      <c r="L1152">
        <v>635.1449640949096</v>
      </c>
      <c r="M1152" s="10">
        <v>7.5830426936098955E-2</v>
      </c>
      <c r="N1152" s="24" t="s">
        <v>343</v>
      </c>
      <c r="O1152" s="24">
        <v>69.184437764282393</v>
      </c>
      <c r="P1152">
        <v>11.975749867022071</v>
      </c>
      <c r="Q1152" t="s">
        <v>348</v>
      </c>
      <c r="R1152" t="s">
        <v>700</v>
      </c>
      <c r="S1152" t="s">
        <v>343</v>
      </c>
      <c r="T1152" t="s">
        <v>343</v>
      </c>
    </row>
    <row r="1153" spans="2:20" x14ac:dyDescent="0.25">
      <c r="B1153">
        <v>1148</v>
      </c>
      <c r="C1153" t="s">
        <v>1492</v>
      </c>
      <c r="D1153" s="10">
        <v>0.23934011761260329</v>
      </c>
      <c r="E1153" s="10">
        <v>0.45429497779897138</v>
      </c>
      <c r="F1153" s="10">
        <v>0.45913070592153538</v>
      </c>
      <c r="G1153" s="10">
        <v>0.42327418777538151</v>
      </c>
      <c r="H1153" s="6">
        <v>0.21450727303791739</v>
      </c>
      <c r="I1153" s="10">
        <v>3.3683476584424752</v>
      </c>
      <c r="J1153" s="7">
        <v>3.9759534487724853E-2</v>
      </c>
      <c r="K1153" s="5">
        <v>0.11510274351923359</v>
      </c>
      <c r="L1153">
        <v>115.8063590413999</v>
      </c>
      <c r="M1153" s="10">
        <v>-0.80384319843114227</v>
      </c>
      <c r="N1153" s="24" t="s">
        <v>343</v>
      </c>
      <c r="O1153" s="24">
        <v>2.7694080941314638</v>
      </c>
      <c r="P1153">
        <v>61.489224951648211</v>
      </c>
      <c r="Q1153" t="s">
        <v>47</v>
      </c>
      <c r="R1153" t="s">
        <v>350</v>
      </c>
      <c r="S1153" t="s">
        <v>343</v>
      </c>
      <c r="T1153" t="s">
        <v>343</v>
      </c>
    </row>
    <row r="1154" spans="2:20" x14ac:dyDescent="0.25">
      <c r="B1154">
        <v>1149</v>
      </c>
      <c r="C1154" t="s">
        <v>1493</v>
      </c>
      <c r="D1154" s="10">
        <v>0.1729673945452237</v>
      </c>
      <c r="E1154" s="10">
        <v>0.77293372256363058</v>
      </c>
      <c r="F1154" s="10">
        <v>0.47103971100325509</v>
      </c>
      <c r="G1154" s="10">
        <v>0.39777297427843838</v>
      </c>
      <c r="H1154" s="6">
        <v>0.14508402855349051</v>
      </c>
      <c r="I1154" s="10">
        <v>7.3983790269553751</v>
      </c>
      <c r="J1154" s="7">
        <v>2.7147226511141299E-2</v>
      </c>
      <c r="K1154" s="5">
        <v>0.1184542510929395</v>
      </c>
      <c r="L1154">
        <v>154.78788139594661</v>
      </c>
      <c r="M1154" s="10">
        <v>-0.73781495258482177</v>
      </c>
      <c r="N1154" s="24" t="s">
        <v>343</v>
      </c>
      <c r="O1154" s="24">
        <v>6.7311028449106942</v>
      </c>
      <c r="P1154">
        <v>61.674810580882408</v>
      </c>
      <c r="Q1154" t="s">
        <v>47</v>
      </c>
      <c r="R1154" t="s">
        <v>350</v>
      </c>
      <c r="S1154" t="s">
        <v>343</v>
      </c>
      <c r="T1154" t="s">
        <v>343</v>
      </c>
    </row>
    <row r="1155" spans="2:20" x14ac:dyDescent="0.25">
      <c r="B1155">
        <v>1150</v>
      </c>
      <c r="C1155" t="s">
        <v>1494</v>
      </c>
      <c r="D1155" s="10">
        <v>0.1952293123119698</v>
      </c>
      <c r="E1155" s="10">
        <v>0.40694685971906719</v>
      </c>
      <c r="F1155" s="10">
        <v>0.48186476653430138</v>
      </c>
      <c r="G1155" s="10">
        <v>0.34537272056941221</v>
      </c>
      <c r="H1155" s="6">
        <v>0.2227172222703564</v>
      </c>
      <c r="I1155" s="10">
        <v>13.84358364839148</v>
      </c>
      <c r="J1155" s="7">
        <v>3.8381501424212261E-2</v>
      </c>
      <c r="K1155" s="5">
        <v>0.1098069274832557</v>
      </c>
      <c r="L1155">
        <v>236.78946575853689</v>
      </c>
      <c r="M1155" s="10">
        <v>-0.59891784326119435</v>
      </c>
      <c r="N1155" s="24" t="s">
        <v>343</v>
      </c>
      <c r="O1155" s="24">
        <v>15.064929404328341</v>
      </c>
      <c r="P1155">
        <v>14.36935827616926</v>
      </c>
      <c r="Q1155" t="s">
        <v>348</v>
      </c>
      <c r="R1155" t="s">
        <v>371</v>
      </c>
      <c r="S1155" t="s">
        <v>343</v>
      </c>
      <c r="T1155" t="s">
        <v>343</v>
      </c>
    </row>
    <row r="1156" spans="2:20" x14ac:dyDescent="0.25">
      <c r="B1156">
        <v>1151</v>
      </c>
      <c r="C1156" t="s">
        <v>1495</v>
      </c>
      <c r="D1156" s="10">
        <v>0.26932140218553541</v>
      </c>
      <c r="E1156" s="10">
        <v>0.72855477328249085</v>
      </c>
      <c r="F1156" s="10">
        <v>0.57860149177544862</v>
      </c>
      <c r="G1156" s="10">
        <v>0.32627170632615787</v>
      </c>
      <c r="H1156" s="6">
        <v>0.17036834442549981</v>
      </c>
      <c r="I1156" s="10">
        <v>11.747631395912419</v>
      </c>
      <c r="J1156" s="7">
        <v>4.2896439690032401E-2</v>
      </c>
      <c r="K1156" s="5">
        <v>0.1795747568965958</v>
      </c>
      <c r="L1156">
        <v>122.54513394388179</v>
      </c>
      <c r="M1156" s="10">
        <v>-0.79242882928677782</v>
      </c>
      <c r="N1156" s="24" t="s">
        <v>343</v>
      </c>
      <c r="O1156" s="24">
        <v>3.4542702427933278</v>
      </c>
      <c r="P1156">
        <v>51.67910718771617</v>
      </c>
      <c r="Q1156" t="s">
        <v>47</v>
      </c>
      <c r="R1156" t="s">
        <v>350</v>
      </c>
      <c r="S1156" t="s">
        <v>343</v>
      </c>
      <c r="T1156" t="s">
        <v>343</v>
      </c>
    </row>
    <row r="1157" spans="2:20" x14ac:dyDescent="0.25">
      <c r="B1157">
        <v>1152</v>
      </c>
      <c r="C1157" t="s">
        <v>1496</v>
      </c>
      <c r="D1157" s="10">
        <v>0.17218093751844801</v>
      </c>
      <c r="E1157" s="10">
        <v>0.3166181901464748</v>
      </c>
      <c r="F1157" s="10">
        <v>0.69243713829431885</v>
      </c>
      <c r="G1157" s="10">
        <v>0.24715652400891941</v>
      </c>
      <c r="H1157" s="6">
        <v>0.1878080613863877</v>
      </c>
      <c r="I1157" s="10">
        <v>11.256793655430799</v>
      </c>
      <c r="J1157" s="7">
        <v>4.4786776029267977E-2</v>
      </c>
      <c r="K1157" s="5">
        <v>0.17774023093776101</v>
      </c>
      <c r="L1157">
        <v>49.814474389151393</v>
      </c>
      <c r="M1157" s="10">
        <v>-0.9156225266997946</v>
      </c>
      <c r="N1157" s="24" t="s">
        <v>343</v>
      </c>
      <c r="O1157" s="24">
        <v>0</v>
      </c>
      <c r="P1157">
        <v>56.162648616489648</v>
      </c>
      <c r="Q1157" t="s">
        <v>47</v>
      </c>
      <c r="R1157" t="s">
        <v>350</v>
      </c>
      <c r="S1157" t="s">
        <v>343</v>
      </c>
      <c r="T1157" t="s">
        <v>343</v>
      </c>
    </row>
    <row r="1158" spans="2:20" x14ac:dyDescent="0.25">
      <c r="B1158">
        <v>1153</v>
      </c>
      <c r="C1158" t="s">
        <v>1497</v>
      </c>
      <c r="D1158" s="10">
        <v>0.29619310624780298</v>
      </c>
      <c r="E1158" s="10">
        <v>1.288100371621139</v>
      </c>
      <c r="F1158" s="10">
        <v>0.53288120832036334</v>
      </c>
      <c r="G1158" s="10">
        <v>0.31900131867299059</v>
      </c>
      <c r="H1158" s="6">
        <v>0.16996640459944029</v>
      </c>
      <c r="I1158" s="10">
        <v>6.0217964477046886</v>
      </c>
      <c r="J1158" s="7">
        <v>4.2800740331752588E-2</v>
      </c>
      <c r="K1158" s="5">
        <v>0.114380054226614</v>
      </c>
      <c r="L1158">
        <v>253.95557657912261</v>
      </c>
      <c r="M1158" s="10">
        <v>-0.5698412932183865</v>
      </c>
      <c r="N1158" s="24" t="s">
        <v>343</v>
      </c>
      <c r="O1158" s="24">
        <v>16.809522406896811</v>
      </c>
      <c r="P1158">
        <v>16.958367477635509</v>
      </c>
      <c r="Q1158" t="s">
        <v>348</v>
      </c>
      <c r="R1158" t="s">
        <v>353</v>
      </c>
      <c r="S1158" t="s">
        <v>343</v>
      </c>
      <c r="T1158" t="s">
        <v>343</v>
      </c>
    </row>
    <row r="1159" spans="2:20" x14ac:dyDescent="0.25">
      <c r="B1159">
        <v>1154</v>
      </c>
      <c r="C1159" t="s">
        <v>1498</v>
      </c>
      <c r="D1159" s="10">
        <v>0.23922344432223591</v>
      </c>
      <c r="E1159" s="10">
        <v>0.87974839651154912</v>
      </c>
      <c r="F1159" s="10">
        <v>0.68921215003365333</v>
      </c>
      <c r="G1159" s="10">
        <v>0.42664297050797562</v>
      </c>
      <c r="H1159" s="6">
        <v>0.19109043052492281</v>
      </c>
      <c r="I1159" s="10">
        <v>10.059032371719439</v>
      </c>
      <c r="J1159" s="7">
        <v>3.5079487900984363E-2</v>
      </c>
      <c r="K1159" s="5">
        <v>0.1670260317874829</v>
      </c>
      <c r="L1159">
        <v>375.18442071532832</v>
      </c>
      <c r="M1159" s="10">
        <v>-0.36449969954004158</v>
      </c>
      <c r="N1159" s="24" t="s">
        <v>343</v>
      </c>
      <c r="O1159" s="24">
        <v>29.130018027597512</v>
      </c>
      <c r="P1159">
        <v>56.725819964404003</v>
      </c>
      <c r="Q1159" t="s">
        <v>47</v>
      </c>
      <c r="R1159" t="s">
        <v>350</v>
      </c>
      <c r="S1159" t="s">
        <v>343</v>
      </c>
      <c r="T1159" t="s">
        <v>343</v>
      </c>
    </row>
    <row r="1160" spans="2:20" x14ac:dyDescent="0.25">
      <c r="B1160">
        <v>1155</v>
      </c>
      <c r="C1160" t="s">
        <v>1499</v>
      </c>
      <c r="D1160" s="10">
        <v>0.23689385237226371</v>
      </c>
      <c r="E1160" s="10">
        <v>1.234782486882589</v>
      </c>
      <c r="F1160" s="10">
        <v>0.44993220669718681</v>
      </c>
      <c r="G1160" s="10">
        <v>0.32448540803478382</v>
      </c>
      <c r="H1160" s="6">
        <v>0.2132353839767622</v>
      </c>
      <c r="I1160" s="10">
        <v>8.4858303245282123</v>
      </c>
      <c r="J1160" s="7">
        <v>2.5469287814433739E-2</v>
      </c>
      <c r="K1160" s="5">
        <v>0.15956267812494521</v>
      </c>
      <c r="L1160">
        <v>214.46879374869459</v>
      </c>
      <c r="M1160" s="10">
        <v>-0.63672536666975754</v>
      </c>
      <c r="N1160" s="24" t="s">
        <v>343</v>
      </c>
      <c r="O1160" s="24">
        <v>12.796477999814551</v>
      </c>
      <c r="P1160">
        <v>61.166404860539707</v>
      </c>
      <c r="Q1160" t="s">
        <v>47</v>
      </c>
      <c r="R1160" t="s">
        <v>350</v>
      </c>
      <c r="S1160" t="s">
        <v>343</v>
      </c>
      <c r="T1160" t="s">
        <v>343</v>
      </c>
    </row>
    <row r="1161" spans="2:20" x14ac:dyDescent="0.25">
      <c r="B1161">
        <v>1156</v>
      </c>
      <c r="C1161" t="s">
        <v>1500</v>
      </c>
      <c r="D1161" s="10">
        <v>0.25478524554552279</v>
      </c>
      <c r="E1161" s="10">
        <v>0.36589517110370012</v>
      </c>
      <c r="F1161" s="10">
        <v>0.68098677273181107</v>
      </c>
      <c r="G1161" s="10">
        <v>0.34154869979367219</v>
      </c>
      <c r="H1161" s="6">
        <v>0.2457515206343327</v>
      </c>
      <c r="I1161" s="10">
        <v>9.8620684145018487</v>
      </c>
      <c r="J1161" s="7">
        <v>3.09294693671417E-2</v>
      </c>
      <c r="K1161" s="5">
        <v>0.12623845523317431</v>
      </c>
      <c r="L1161">
        <v>137.40076055288571</v>
      </c>
      <c r="M1161" s="10">
        <v>-0.76726585701958427</v>
      </c>
      <c r="N1161" s="24" t="s">
        <v>343</v>
      </c>
      <c r="O1161" s="24">
        <v>4.9640485788249444</v>
      </c>
      <c r="P1161">
        <v>52.580072774597006</v>
      </c>
      <c r="Q1161" t="s">
        <v>47</v>
      </c>
      <c r="R1161" t="s">
        <v>350</v>
      </c>
      <c r="S1161" t="s">
        <v>343</v>
      </c>
      <c r="T1161" t="s">
        <v>343</v>
      </c>
    </row>
    <row r="1162" spans="2:20" x14ac:dyDescent="0.25">
      <c r="B1162">
        <v>1157</v>
      </c>
      <c r="C1162" t="s">
        <v>1501</v>
      </c>
      <c r="D1162" s="10">
        <v>0.29194895454802378</v>
      </c>
      <c r="E1162" s="10">
        <v>0.55020392152021258</v>
      </c>
      <c r="F1162" s="10">
        <v>0.48709967789929248</v>
      </c>
      <c r="G1162" s="10">
        <v>0.29980357328547902</v>
      </c>
      <c r="H1162" s="6">
        <v>0.19251525864603311</v>
      </c>
      <c r="I1162" s="10">
        <v>7.7939773089284676</v>
      </c>
      <c r="J1162" s="7">
        <v>3.8577372876834819E-2</v>
      </c>
      <c r="K1162" s="5">
        <v>0.12160000120086541</v>
      </c>
      <c r="L1162">
        <v>182.62440595084919</v>
      </c>
      <c r="M1162" s="10">
        <v>-0.69066448806213854</v>
      </c>
      <c r="N1162" s="24" t="s">
        <v>343</v>
      </c>
      <c r="O1162" s="24">
        <v>9.56013071627169</v>
      </c>
      <c r="P1162">
        <v>56.05769615361698</v>
      </c>
      <c r="Q1162" t="s">
        <v>47</v>
      </c>
      <c r="R1162" t="s">
        <v>350</v>
      </c>
      <c r="S1162" t="s">
        <v>343</v>
      </c>
      <c r="T1162" t="s">
        <v>343</v>
      </c>
    </row>
    <row r="1163" spans="2:20" x14ac:dyDescent="0.25">
      <c r="B1163">
        <v>1158</v>
      </c>
      <c r="C1163" t="s">
        <v>1502</v>
      </c>
      <c r="D1163" s="10">
        <v>0.21564947326435091</v>
      </c>
      <c r="E1163" s="10">
        <v>0.5853179947432986</v>
      </c>
      <c r="F1163" s="10">
        <v>0.67724349628703062</v>
      </c>
      <c r="G1163" s="10">
        <v>0.3003092069389407</v>
      </c>
      <c r="H1163" s="6">
        <v>0.16848357414054049</v>
      </c>
      <c r="I1163" s="10">
        <v>8.8405934433345372</v>
      </c>
      <c r="J1163" s="7">
        <v>4.1414407678826697E-2</v>
      </c>
      <c r="K1163" s="5">
        <v>0.12380565625116501</v>
      </c>
      <c r="L1163">
        <v>107.79603343005139</v>
      </c>
      <c r="M1163" s="10">
        <v>-0.81741136398313508</v>
      </c>
      <c r="N1163" s="24" t="s">
        <v>343</v>
      </c>
      <c r="O1163" s="24">
        <v>1.955318161011895</v>
      </c>
      <c r="P1163">
        <v>52.04230744500682</v>
      </c>
      <c r="Q1163" t="s">
        <v>47</v>
      </c>
      <c r="R1163" t="s">
        <v>350</v>
      </c>
      <c r="S1163" t="s">
        <v>343</v>
      </c>
      <c r="T1163" t="s">
        <v>343</v>
      </c>
    </row>
    <row r="1164" spans="2:20" x14ac:dyDescent="0.25">
      <c r="B1164">
        <v>1159</v>
      </c>
      <c r="C1164" t="s">
        <v>1503</v>
      </c>
      <c r="D1164" s="10">
        <v>0.26848258440945022</v>
      </c>
      <c r="E1164" s="10">
        <v>0.72536064410266676</v>
      </c>
      <c r="F1164" s="10">
        <v>0.4546191318300199</v>
      </c>
      <c r="G1164" s="10">
        <v>0.25361178739618462</v>
      </c>
      <c r="H1164" s="6">
        <v>0.19319128183880771</v>
      </c>
      <c r="I1164" s="10">
        <v>13.8723587391945</v>
      </c>
      <c r="J1164" s="7">
        <v>4.3476396401135833E-2</v>
      </c>
      <c r="K1164" s="5">
        <v>0.16940990777015241</v>
      </c>
      <c r="L1164">
        <v>97.144905092572941</v>
      </c>
      <c r="M1164" s="10">
        <v>-0.83545261219328126</v>
      </c>
      <c r="N1164" s="24" t="s">
        <v>343</v>
      </c>
      <c r="O1164" s="24">
        <v>0.87284326840312332</v>
      </c>
      <c r="P1164">
        <v>13.00931275314392</v>
      </c>
      <c r="Q1164" t="s">
        <v>348</v>
      </c>
      <c r="R1164" t="s">
        <v>371</v>
      </c>
      <c r="S1164" t="s">
        <v>343</v>
      </c>
      <c r="T1164" t="s">
        <v>343</v>
      </c>
    </row>
    <row r="1165" spans="2:20" x14ac:dyDescent="0.25">
      <c r="B1165">
        <v>1160</v>
      </c>
      <c r="C1165" t="s">
        <v>1504</v>
      </c>
      <c r="D1165" s="10">
        <v>0.25051711423932649</v>
      </c>
      <c r="E1165" s="10">
        <v>1.1831530096373011</v>
      </c>
      <c r="F1165" s="10">
        <v>0.68653705634870843</v>
      </c>
      <c r="G1165" s="10">
        <v>0.37503686363635619</v>
      </c>
      <c r="H1165" s="6">
        <v>0.22332054961057729</v>
      </c>
      <c r="I1165" s="10">
        <v>6.6224414050876117</v>
      </c>
      <c r="J1165" s="7">
        <v>3.5571199466994642E-2</v>
      </c>
      <c r="K1165" s="5">
        <v>0.13033512130234279</v>
      </c>
      <c r="L1165">
        <v>393.96372451639769</v>
      </c>
      <c r="M1165" s="10">
        <v>-0.33269066763713212</v>
      </c>
      <c r="N1165" s="24" t="s">
        <v>343</v>
      </c>
      <c r="O1165" s="24">
        <v>31.038559941772071</v>
      </c>
      <c r="P1165">
        <v>54.302572038936127</v>
      </c>
      <c r="Q1165" t="s">
        <v>47</v>
      </c>
      <c r="R1165" t="s">
        <v>350</v>
      </c>
      <c r="S1165" t="s">
        <v>343</v>
      </c>
      <c r="T1165" t="s">
        <v>343</v>
      </c>
    </row>
    <row r="1166" spans="2:20" x14ac:dyDescent="0.25">
      <c r="B1166">
        <v>1161</v>
      </c>
      <c r="C1166" t="s">
        <v>1505</v>
      </c>
      <c r="D1166" s="10">
        <v>0.20272452322710741</v>
      </c>
      <c r="E1166" s="10">
        <v>0.7252136611046418</v>
      </c>
      <c r="F1166" s="10">
        <v>0.49220754872290379</v>
      </c>
      <c r="G1166" s="10">
        <v>0.33857526866997623</v>
      </c>
      <c r="H1166" s="6">
        <v>0.17200510750886941</v>
      </c>
      <c r="I1166" s="10">
        <v>5.3809805083276263</v>
      </c>
      <c r="J1166" s="7">
        <v>2.8898374219258179E-2</v>
      </c>
      <c r="K1166" s="5">
        <v>0.12640613137366</v>
      </c>
      <c r="L1166">
        <v>163.11688909876949</v>
      </c>
      <c r="M1166" s="10">
        <v>-0.72370699232467717</v>
      </c>
      <c r="N1166" s="24" t="s">
        <v>343</v>
      </c>
      <c r="O1166" s="24">
        <v>7.5775804605193748</v>
      </c>
      <c r="P1166">
        <v>58.333536431581713</v>
      </c>
      <c r="Q1166" t="s">
        <v>47</v>
      </c>
      <c r="R1166" t="s">
        <v>350</v>
      </c>
      <c r="S1166" t="s">
        <v>343</v>
      </c>
      <c r="T1166" t="s">
        <v>343</v>
      </c>
    </row>
    <row r="1167" spans="2:20" x14ac:dyDescent="0.25">
      <c r="B1167">
        <v>1162</v>
      </c>
      <c r="C1167" t="s">
        <v>1506</v>
      </c>
      <c r="D1167" s="10">
        <v>0.30058079781682528</v>
      </c>
      <c r="E1167" s="10">
        <v>0.52511888261095963</v>
      </c>
      <c r="F1167" s="10">
        <v>0.51870565561902171</v>
      </c>
      <c r="G1167" s="10">
        <v>0.37331137764797478</v>
      </c>
      <c r="H1167" s="6">
        <v>0.1821423112085109</v>
      </c>
      <c r="I1167" s="10">
        <v>7.9334388711379518</v>
      </c>
      <c r="J1167" s="7">
        <v>4.3893009843709002E-2</v>
      </c>
      <c r="K1167" s="5">
        <v>0.1021357044875217</v>
      </c>
      <c r="L1167">
        <v>184.663865304909</v>
      </c>
      <c r="M1167" s="10">
        <v>-0.68720998152956503</v>
      </c>
      <c r="N1167" s="24" t="s">
        <v>343</v>
      </c>
      <c r="O1167" s="24">
        <v>9.7674011082260996</v>
      </c>
      <c r="P1167">
        <v>53.147591737216189</v>
      </c>
      <c r="Q1167" t="s">
        <v>47</v>
      </c>
      <c r="R1167" t="s">
        <v>350</v>
      </c>
      <c r="S1167" t="s">
        <v>343</v>
      </c>
      <c r="T1167" t="s">
        <v>343</v>
      </c>
    </row>
    <row r="1168" spans="2:20" x14ac:dyDescent="0.25">
      <c r="B1168">
        <v>1163</v>
      </c>
      <c r="C1168" t="s">
        <v>1507</v>
      </c>
      <c r="D1168" s="10">
        <v>0.28758816345710853</v>
      </c>
      <c r="E1168" s="10">
        <v>0.37148928637264522</v>
      </c>
      <c r="F1168" s="10">
        <v>0.5676450094667691</v>
      </c>
      <c r="G1168" s="10">
        <v>0.36031511800634758</v>
      </c>
      <c r="H1168" s="6">
        <v>0.20442597255131051</v>
      </c>
      <c r="I1168" s="10">
        <v>8.767525616699583</v>
      </c>
      <c r="J1168" s="7">
        <v>4.3551873661872707E-2</v>
      </c>
      <c r="K1168" s="5">
        <v>0.18628246690876951</v>
      </c>
      <c r="L1168">
        <v>150.85375348215709</v>
      </c>
      <c r="M1168" s="10">
        <v>-0.74447871401311982</v>
      </c>
      <c r="N1168" s="24" t="s">
        <v>343</v>
      </c>
      <c r="O1168" s="24">
        <v>6.3312771592128172</v>
      </c>
      <c r="P1168">
        <v>62.329259587295859</v>
      </c>
      <c r="Q1168" t="s">
        <v>47</v>
      </c>
      <c r="R1168" t="s">
        <v>350</v>
      </c>
      <c r="S1168" t="s">
        <v>343</v>
      </c>
      <c r="T1168" t="s">
        <v>343</v>
      </c>
    </row>
    <row r="1169" spans="2:20" x14ac:dyDescent="0.25">
      <c r="B1169">
        <v>1164</v>
      </c>
      <c r="C1169" t="s">
        <v>1508</v>
      </c>
      <c r="D1169" s="10">
        <v>0.26535229354534812</v>
      </c>
      <c r="E1169" s="10">
        <v>0.3874409231879562</v>
      </c>
      <c r="F1169" s="10">
        <v>0.53898742912122355</v>
      </c>
      <c r="G1169" s="10">
        <v>0.41574580920537851</v>
      </c>
      <c r="H1169" s="6">
        <v>0.1641013895741025</v>
      </c>
      <c r="I1169" s="10">
        <v>3.9419171986809851</v>
      </c>
      <c r="J1169" s="7">
        <v>2.6714349315482399E-2</v>
      </c>
      <c r="K1169" s="5">
        <v>0.1715068937255016</v>
      </c>
      <c r="L1169">
        <v>120.6812754962552</v>
      </c>
      <c r="M1169" s="10">
        <v>-0.79558589695292259</v>
      </c>
      <c r="N1169" s="24" t="s">
        <v>343</v>
      </c>
      <c r="O1169" s="24">
        <v>3.2648461828246411</v>
      </c>
      <c r="P1169">
        <v>65.90144841065603</v>
      </c>
      <c r="Q1169" t="s">
        <v>47</v>
      </c>
      <c r="R1169" t="s">
        <v>350</v>
      </c>
      <c r="S1169" t="s">
        <v>343</v>
      </c>
      <c r="T1169" t="s">
        <v>343</v>
      </c>
    </row>
    <row r="1170" spans="2:20" x14ac:dyDescent="0.25">
      <c r="B1170">
        <v>1165</v>
      </c>
      <c r="C1170" t="s">
        <v>1509</v>
      </c>
      <c r="D1170" s="10">
        <v>0.29609307665507872</v>
      </c>
      <c r="E1170" s="10">
        <v>1.136051926557075</v>
      </c>
      <c r="F1170" s="10">
        <v>0.61355727200841892</v>
      </c>
      <c r="G1170" s="10">
        <v>0.405222620708524</v>
      </c>
      <c r="H1170" s="6">
        <v>0.15136269893166629</v>
      </c>
      <c r="I1170" s="10">
        <v>11.86569224396427</v>
      </c>
      <c r="J1170" s="7">
        <v>3.2703043667311991E-2</v>
      </c>
      <c r="K1170" s="5">
        <v>0.14491444920163851</v>
      </c>
      <c r="L1170">
        <v>306.59202864984331</v>
      </c>
      <c r="M1170" s="10">
        <v>-0.48068385687731358</v>
      </c>
      <c r="N1170" s="24" t="s">
        <v>343</v>
      </c>
      <c r="O1170" s="24">
        <v>22.158968587361191</v>
      </c>
      <c r="P1170">
        <v>50.8647585521746</v>
      </c>
      <c r="Q1170" t="s">
        <v>47</v>
      </c>
      <c r="R1170" t="s">
        <v>350</v>
      </c>
      <c r="S1170" t="s">
        <v>343</v>
      </c>
      <c r="T1170" t="s">
        <v>343</v>
      </c>
    </row>
    <row r="1171" spans="2:20" x14ac:dyDescent="0.25">
      <c r="B1171">
        <v>1166</v>
      </c>
      <c r="C1171" t="s">
        <v>1510</v>
      </c>
      <c r="D1171" s="10">
        <v>0.29876707215356829</v>
      </c>
      <c r="E1171" s="10">
        <v>0.78928329014029619</v>
      </c>
      <c r="F1171" s="10">
        <v>0.69345001948502005</v>
      </c>
      <c r="G1171" s="10">
        <v>0.40971984769033348</v>
      </c>
      <c r="H1171" s="6">
        <v>0.14105884257948931</v>
      </c>
      <c r="I1171" s="10">
        <v>7.6425806646438188</v>
      </c>
      <c r="J1171" s="7">
        <v>3.8324350176224903E-2</v>
      </c>
      <c r="K1171" s="5">
        <v>0.18957805743330439</v>
      </c>
      <c r="L1171">
        <v>155.64460884734689</v>
      </c>
      <c r="M1171" s="10">
        <v>-0.7363637981052753</v>
      </c>
      <c r="N1171" s="24" t="s">
        <v>343</v>
      </c>
      <c r="O1171" s="24">
        <v>6.818172113683481</v>
      </c>
      <c r="P1171">
        <v>58.920210760429313</v>
      </c>
      <c r="Q1171" t="s">
        <v>47</v>
      </c>
      <c r="R1171" t="s">
        <v>350</v>
      </c>
      <c r="S1171" t="s">
        <v>343</v>
      </c>
      <c r="T1171" t="s">
        <v>343</v>
      </c>
    </row>
    <row r="1172" spans="2:20" x14ac:dyDescent="0.25">
      <c r="B1172">
        <v>1167</v>
      </c>
      <c r="C1172" t="s">
        <v>1511</v>
      </c>
      <c r="D1172" s="10">
        <v>0.27333807627440548</v>
      </c>
      <c r="E1172" s="10">
        <v>1.098799234200017</v>
      </c>
      <c r="F1172" s="10">
        <v>0.59767088760928455</v>
      </c>
      <c r="G1172" s="10">
        <v>0.34983258152716862</v>
      </c>
      <c r="H1172" s="6">
        <v>0.17289149746891111</v>
      </c>
      <c r="I1172" s="10">
        <v>7.5450551721413586</v>
      </c>
      <c r="J1172" s="7">
        <v>2.51577687339683E-2</v>
      </c>
      <c r="K1172" s="5">
        <v>0.12788556011866509</v>
      </c>
      <c r="L1172">
        <v>314.45819408152659</v>
      </c>
      <c r="M1172" s="10">
        <v>-0.46735987480531971</v>
      </c>
      <c r="N1172" s="24" t="s">
        <v>343</v>
      </c>
      <c r="O1172" s="24">
        <v>22.958407511680822</v>
      </c>
      <c r="P1172">
        <v>56.883217397389537</v>
      </c>
      <c r="Q1172" t="s">
        <v>47</v>
      </c>
      <c r="R1172" t="s">
        <v>350</v>
      </c>
      <c r="S1172" t="s">
        <v>343</v>
      </c>
      <c r="T1172" t="s">
        <v>343</v>
      </c>
    </row>
    <row r="1173" spans="2:20" x14ac:dyDescent="0.25">
      <c r="B1173">
        <v>1168</v>
      </c>
      <c r="C1173" t="s">
        <v>1512</v>
      </c>
      <c r="D1173" s="10">
        <v>0.29392213253818761</v>
      </c>
      <c r="E1173" s="10">
        <v>1.0505158339400671</v>
      </c>
      <c r="F1173" s="10">
        <v>0.62758620645350272</v>
      </c>
      <c r="G1173" s="10">
        <v>0.31785389729786467</v>
      </c>
      <c r="H1173" s="6">
        <v>0.12725143596570859</v>
      </c>
      <c r="I1173" s="10">
        <v>10.247238291515901</v>
      </c>
      <c r="J1173" s="7">
        <v>3.9028216933909891E-2</v>
      </c>
      <c r="K1173" s="5">
        <v>0.16409697910239909</v>
      </c>
      <c r="L1173">
        <v>191.68430269646581</v>
      </c>
      <c r="M1173" s="10">
        <v>-0.67531852275526849</v>
      </c>
      <c r="N1173" s="24" t="s">
        <v>343</v>
      </c>
      <c r="O1173" s="24">
        <v>10.48088863468389</v>
      </c>
      <c r="P1173">
        <v>51.285090030218939</v>
      </c>
      <c r="Q1173" t="s">
        <v>47</v>
      </c>
      <c r="R1173" t="s">
        <v>350</v>
      </c>
      <c r="S1173" t="s">
        <v>343</v>
      </c>
      <c r="T1173" t="s">
        <v>343</v>
      </c>
    </row>
    <row r="1174" spans="2:20" x14ac:dyDescent="0.25">
      <c r="B1174">
        <v>1169</v>
      </c>
      <c r="C1174" t="s">
        <v>1513</v>
      </c>
      <c r="D1174" s="10">
        <v>0.2715954338670854</v>
      </c>
      <c r="E1174" s="10">
        <v>0.4488987079362835</v>
      </c>
      <c r="F1174" s="10">
        <v>0.46288136507948241</v>
      </c>
      <c r="G1174" s="10">
        <v>0.44535604991724959</v>
      </c>
      <c r="H1174" s="6">
        <v>0.2075223790064252</v>
      </c>
      <c r="I1174" s="10">
        <v>11.505687666834961</v>
      </c>
      <c r="J1174" s="7">
        <v>1.390094153698327E-2</v>
      </c>
      <c r="K1174" s="5">
        <v>0.1289892858794788</v>
      </c>
      <c r="L1174">
        <v>268.34975983906457</v>
      </c>
      <c r="M1174" s="10">
        <v>-0.54545992959692224</v>
      </c>
      <c r="N1174" s="24" t="s">
        <v>343</v>
      </c>
      <c r="O1174" s="24">
        <v>18.272404224184669</v>
      </c>
      <c r="P1174">
        <v>20.65679550779809</v>
      </c>
      <c r="Q1174" t="s">
        <v>348</v>
      </c>
      <c r="R1174" t="s">
        <v>371</v>
      </c>
      <c r="S1174" t="s">
        <v>343</v>
      </c>
      <c r="T1174" t="s">
        <v>343</v>
      </c>
    </row>
    <row r="1175" spans="2:20" x14ac:dyDescent="0.25">
      <c r="B1175">
        <v>1170</v>
      </c>
      <c r="C1175" t="s">
        <v>1514</v>
      </c>
      <c r="D1175" s="10">
        <v>0.26882252348164809</v>
      </c>
      <c r="E1175" s="10">
        <v>0.45717672761149392</v>
      </c>
      <c r="F1175" s="10">
        <v>0.60323123155820135</v>
      </c>
      <c r="G1175" s="10">
        <v>0.25193935021764191</v>
      </c>
      <c r="H1175" s="6">
        <v>0.1463864048996287</v>
      </c>
      <c r="I1175" s="10">
        <v>13.8453429675595</v>
      </c>
      <c r="J1175" s="7">
        <v>2.6840310229843851E-2</v>
      </c>
      <c r="K1175" s="5">
        <v>0.12988438042430009</v>
      </c>
      <c r="L1175">
        <v>75.21826399744576</v>
      </c>
      <c r="M1175" s="10">
        <v>-0.87259271246040748</v>
      </c>
      <c r="N1175" s="24" t="s">
        <v>343</v>
      </c>
      <c r="O1175" s="24">
        <v>0</v>
      </c>
      <c r="P1175">
        <v>46.859240983860794</v>
      </c>
      <c r="Q1175" t="s">
        <v>346</v>
      </c>
      <c r="R1175" t="s">
        <v>347</v>
      </c>
      <c r="S1175" t="s">
        <v>343</v>
      </c>
      <c r="T1175" t="s">
        <v>343</v>
      </c>
    </row>
    <row r="1176" spans="2:20" x14ac:dyDescent="0.25">
      <c r="B1176">
        <v>1171</v>
      </c>
      <c r="C1176" t="s">
        <v>1515</v>
      </c>
      <c r="D1176" s="10">
        <v>0.25897782051442952</v>
      </c>
      <c r="E1176" s="10">
        <v>1.130876216977547</v>
      </c>
      <c r="F1176" s="10">
        <v>0.5580009420320674</v>
      </c>
      <c r="G1176" s="10">
        <v>0.27357668772705068</v>
      </c>
      <c r="H1176" s="6">
        <v>0.17660921884950639</v>
      </c>
      <c r="I1176" s="10">
        <v>4.9087166834478069</v>
      </c>
      <c r="J1176" s="7">
        <v>2.6891437461114241E-2</v>
      </c>
      <c r="K1176" s="5">
        <v>0.18024737083795059</v>
      </c>
      <c r="L1176">
        <v>146.5863213555881</v>
      </c>
      <c r="M1176" s="10">
        <v>-0.75170703760250679</v>
      </c>
      <c r="N1176" s="24" t="s">
        <v>343</v>
      </c>
      <c r="O1176" s="24">
        <v>5.8975777438495882</v>
      </c>
      <c r="P1176">
        <v>30.87820222578743</v>
      </c>
      <c r="Q1176" t="s">
        <v>348</v>
      </c>
      <c r="R1176" t="s">
        <v>353</v>
      </c>
      <c r="S1176" t="s">
        <v>343</v>
      </c>
      <c r="T1176" t="s">
        <v>343</v>
      </c>
    </row>
    <row r="1177" spans="2:20" x14ac:dyDescent="0.25">
      <c r="B1177">
        <v>1172</v>
      </c>
      <c r="C1177" t="s">
        <v>1516</v>
      </c>
      <c r="D1177" s="10">
        <v>0.28043466232922259</v>
      </c>
      <c r="E1177" s="10">
        <v>1.0933951228339589</v>
      </c>
      <c r="F1177" s="10">
        <v>0.67030341305910335</v>
      </c>
      <c r="G1177" s="10">
        <v>0.33231180027886081</v>
      </c>
      <c r="H1177" s="6">
        <v>0.16038342230975591</v>
      </c>
      <c r="I1177" s="10">
        <v>6.8011125179893366</v>
      </c>
      <c r="J1177" s="7">
        <v>3.3962996965876582E-2</v>
      </c>
      <c r="K1177" s="5">
        <v>0.17476708557830389</v>
      </c>
      <c r="L1177">
        <v>137.97403311757159</v>
      </c>
      <c r="M1177" s="10">
        <v>-0.76629482819485661</v>
      </c>
      <c r="N1177" s="24" t="s">
        <v>343</v>
      </c>
      <c r="O1177" s="24">
        <v>5.0223103083086036</v>
      </c>
      <c r="P1177">
        <v>54.757039849018462</v>
      </c>
      <c r="Q1177" t="s">
        <v>47</v>
      </c>
      <c r="R1177" t="s">
        <v>350</v>
      </c>
      <c r="S1177" t="s">
        <v>343</v>
      </c>
      <c r="T1177" t="s">
        <v>343</v>
      </c>
    </row>
    <row r="1178" spans="2:20" x14ac:dyDescent="0.25">
      <c r="B1178">
        <v>1173</v>
      </c>
      <c r="C1178" t="s">
        <v>1517</v>
      </c>
      <c r="D1178" s="10">
        <v>0.18537681684689181</v>
      </c>
      <c r="E1178" s="10">
        <v>0.71583384356174129</v>
      </c>
      <c r="F1178" s="10">
        <v>0.54093488590720651</v>
      </c>
      <c r="G1178" s="10">
        <v>0.37507068356496243</v>
      </c>
      <c r="H1178" s="6">
        <v>0.21455849495126239</v>
      </c>
      <c r="I1178" s="10">
        <v>4.850829956101653</v>
      </c>
      <c r="J1178" s="7">
        <v>1.4074455356137491E-2</v>
      </c>
      <c r="K1178" s="5">
        <v>0.12794020591244809</v>
      </c>
      <c r="L1178">
        <v>148.2031889490037</v>
      </c>
      <c r="M1178" s="10">
        <v>-0.74896833155639608</v>
      </c>
      <c r="N1178" s="24" t="s">
        <v>343</v>
      </c>
      <c r="O1178" s="24">
        <v>6.0619001066162346</v>
      </c>
      <c r="P1178">
        <v>60.989625235716836</v>
      </c>
      <c r="Q1178" t="s">
        <v>47</v>
      </c>
      <c r="R1178" t="s">
        <v>350</v>
      </c>
      <c r="S1178" t="s">
        <v>343</v>
      </c>
      <c r="T1178" t="s">
        <v>343</v>
      </c>
    </row>
    <row r="1179" spans="2:20" x14ac:dyDescent="0.25">
      <c r="B1179">
        <v>1174</v>
      </c>
      <c r="C1179" t="s">
        <v>1518</v>
      </c>
      <c r="D1179" s="10">
        <v>0.30093932147182861</v>
      </c>
      <c r="E1179" s="10">
        <v>0.38516448966612399</v>
      </c>
      <c r="F1179" s="10">
        <v>0.61665807745297896</v>
      </c>
      <c r="G1179" s="10">
        <v>0.24180408245747881</v>
      </c>
      <c r="H1179" s="6">
        <v>0.24755184922003001</v>
      </c>
      <c r="I1179" s="10">
        <v>12.689405310499851</v>
      </c>
      <c r="J1179" s="7">
        <v>1.361236517075985E-2</v>
      </c>
      <c r="K1179" s="5">
        <v>0.1077320039883264</v>
      </c>
      <c r="L1179">
        <v>114.7691324709737</v>
      </c>
      <c r="M1179" s="10">
        <v>-0.80560008853839715</v>
      </c>
      <c r="N1179" s="24" t="s">
        <v>343</v>
      </c>
      <c r="O1179" s="24">
        <v>2.6639946876961669</v>
      </c>
      <c r="P1179">
        <v>50.573172366512608</v>
      </c>
      <c r="Q1179" t="s">
        <v>47</v>
      </c>
      <c r="R1179" t="s">
        <v>350</v>
      </c>
      <c r="S1179" t="s">
        <v>343</v>
      </c>
      <c r="T1179" t="s">
        <v>343</v>
      </c>
    </row>
    <row r="1180" spans="2:20" x14ac:dyDescent="0.25">
      <c r="B1180">
        <v>1175</v>
      </c>
      <c r="C1180" t="s">
        <v>1519</v>
      </c>
      <c r="D1180" s="10">
        <v>0.29949496443923712</v>
      </c>
      <c r="E1180" s="10">
        <v>0.31330782386829742</v>
      </c>
      <c r="F1180" s="10">
        <v>0.49931996934736061</v>
      </c>
      <c r="G1180" s="10">
        <v>0.39825102024845133</v>
      </c>
      <c r="H1180" s="6">
        <v>0.21499515644825179</v>
      </c>
      <c r="I1180" s="10">
        <v>9.0334256252840142</v>
      </c>
      <c r="J1180" s="7">
        <v>4.1520818434192822E-2</v>
      </c>
      <c r="K1180" s="5">
        <v>0.13397049326116389</v>
      </c>
      <c r="L1180">
        <v>159.1241964821931</v>
      </c>
      <c r="M1180" s="10">
        <v>-0.73046995266466364</v>
      </c>
      <c r="N1180" s="24" t="s">
        <v>343</v>
      </c>
      <c r="O1180" s="24">
        <v>7.1718028401201792</v>
      </c>
      <c r="P1180">
        <v>54.121040232024718</v>
      </c>
      <c r="Q1180" t="s">
        <v>47</v>
      </c>
      <c r="R1180" t="s">
        <v>350</v>
      </c>
      <c r="S1180" t="s">
        <v>343</v>
      </c>
      <c r="T1180" t="s">
        <v>343</v>
      </c>
    </row>
    <row r="1181" spans="2:20" x14ac:dyDescent="0.25">
      <c r="B1181">
        <v>1176</v>
      </c>
      <c r="C1181" t="s">
        <v>1520</v>
      </c>
      <c r="D1181" s="10">
        <v>0.16467956528552949</v>
      </c>
      <c r="E1181" s="10">
        <v>0.61697264440791932</v>
      </c>
      <c r="F1181" s="10">
        <v>0.50743685871629096</v>
      </c>
      <c r="G1181" s="10">
        <v>0.36291983941378131</v>
      </c>
      <c r="H1181" s="6">
        <v>0.2013757393010091</v>
      </c>
      <c r="I1181" s="10">
        <v>12.37684105275812</v>
      </c>
      <c r="J1181" s="7">
        <v>2.0630951255867658E-2</v>
      </c>
      <c r="K1181" s="5">
        <v>0.172205465871105</v>
      </c>
      <c r="L1181">
        <v>130.53412562237369</v>
      </c>
      <c r="M1181" s="10">
        <v>-0.77889679988541338</v>
      </c>
      <c r="N1181" s="24" t="s">
        <v>343</v>
      </c>
      <c r="O1181" s="24">
        <v>4.2661920068752011</v>
      </c>
      <c r="P1181">
        <v>58.174018282695698</v>
      </c>
      <c r="Q1181" t="s">
        <v>47</v>
      </c>
      <c r="R1181" t="s">
        <v>350</v>
      </c>
      <c r="S1181" t="s">
        <v>343</v>
      </c>
      <c r="T1181" t="s">
        <v>343</v>
      </c>
    </row>
    <row r="1182" spans="2:20" x14ac:dyDescent="0.25">
      <c r="B1182">
        <v>1177</v>
      </c>
      <c r="C1182" t="s">
        <v>1521</v>
      </c>
      <c r="D1182" s="10">
        <v>0.29213068009036203</v>
      </c>
      <c r="E1182" s="10">
        <v>0.31014450094594959</v>
      </c>
      <c r="F1182" s="10">
        <v>0.53779183203979108</v>
      </c>
      <c r="G1182" s="10">
        <v>0.34663460690892361</v>
      </c>
      <c r="H1182" s="6">
        <v>0.2203625608983063</v>
      </c>
      <c r="I1182" s="10">
        <v>13.83747820152084</v>
      </c>
      <c r="J1182" s="7">
        <v>2.1442283240781349E-2</v>
      </c>
      <c r="K1182" s="5">
        <v>0.1095517143125756</v>
      </c>
      <c r="L1182">
        <v>150.8529703413914</v>
      </c>
      <c r="M1182" s="10">
        <v>-0.74448004052393535</v>
      </c>
      <c r="N1182" s="24" t="s">
        <v>343</v>
      </c>
      <c r="O1182" s="24">
        <v>6.3311975685638799</v>
      </c>
      <c r="P1182">
        <v>53.286361864805762</v>
      </c>
      <c r="Q1182" t="s">
        <v>47</v>
      </c>
      <c r="R1182" t="s">
        <v>350</v>
      </c>
      <c r="S1182" t="s">
        <v>343</v>
      </c>
      <c r="T1182" t="s">
        <v>343</v>
      </c>
    </row>
    <row r="1183" spans="2:20" x14ac:dyDescent="0.25">
      <c r="B1183">
        <v>1178</v>
      </c>
      <c r="C1183" t="s">
        <v>1522</v>
      </c>
      <c r="D1183" s="10">
        <v>0.18061917879575121</v>
      </c>
      <c r="E1183" s="10">
        <v>0.55307988321407375</v>
      </c>
      <c r="F1183" s="10">
        <v>0.51905651975169065</v>
      </c>
      <c r="G1183" s="10">
        <v>0.33316890854213099</v>
      </c>
      <c r="H1183" s="6">
        <v>0.12449859566403</v>
      </c>
      <c r="I1183" s="10">
        <v>9.0522734891792354</v>
      </c>
      <c r="J1183" s="7">
        <v>3.7190154134328038E-2</v>
      </c>
      <c r="K1183" s="5">
        <v>0.16384958214870901</v>
      </c>
      <c r="L1183">
        <v>154.30998227390421</v>
      </c>
      <c r="M1183" s="10">
        <v>-0.73862443458588267</v>
      </c>
      <c r="N1183" s="24" t="s">
        <v>343</v>
      </c>
      <c r="O1183" s="24">
        <v>6.6825339248470428</v>
      </c>
      <c r="P1183">
        <v>27.77235249973646</v>
      </c>
      <c r="Q1183" t="s">
        <v>348</v>
      </c>
      <c r="R1183" t="s">
        <v>353</v>
      </c>
      <c r="S1183" t="s">
        <v>343</v>
      </c>
      <c r="T1183" t="s">
        <v>343</v>
      </c>
    </row>
    <row r="1184" spans="2:20" x14ac:dyDescent="0.25">
      <c r="B1184">
        <v>1179</v>
      </c>
      <c r="C1184" t="s">
        <v>1523</v>
      </c>
      <c r="D1184" s="10">
        <v>0.21361901668146269</v>
      </c>
      <c r="E1184" s="10">
        <v>0.7614508142324723</v>
      </c>
      <c r="F1184" s="10">
        <v>0.50600849824141947</v>
      </c>
      <c r="G1184" s="10">
        <v>0.3542871469829374</v>
      </c>
      <c r="H1184" s="6">
        <v>0.13842669914431799</v>
      </c>
      <c r="I1184" s="10">
        <v>4.299670011097886</v>
      </c>
      <c r="J1184" s="7">
        <v>2.452181626390491E-2</v>
      </c>
      <c r="K1184" s="5">
        <v>0.184527509691821</v>
      </c>
      <c r="L1184">
        <v>81.839971239661566</v>
      </c>
      <c r="M1184" s="10">
        <v>-0.86137663655309016</v>
      </c>
      <c r="N1184" s="24" t="s">
        <v>343</v>
      </c>
      <c r="O1184" s="24">
        <v>0</v>
      </c>
      <c r="P1184">
        <v>64.57846794589959</v>
      </c>
      <c r="Q1184" t="s">
        <v>47</v>
      </c>
      <c r="R1184" t="s">
        <v>350</v>
      </c>
      <c r="S1184" t="s">
        <v>343</v>
      </c>
      <c r="T1184" t="s">
        <v>343</v>
      </c>
    </row>
    <row r="1185" spans="2:20" x14ac:dyDescent="0.25">
      <c r="B1185">
        <v>1180</v>
      </c>
      <c r="C1185" t="s">
        <v>1524</v>
      </c>
      <c r="D1185" s="10">
        <v>0.27896132100665733</v>
      </c>
      <c r="E1185" s="10">
        <v>0.43355734184314959</v>
      </c>
      <c r="F1185" s="10">
        <v>0.45291386353421043</v>
      </c>
      <c r="G1185" s="10">
        <v>0.27559286158598439</v>
      </c>
      <c r="H1185" s="6">
        <v>0.1342390853956566</v>
      </c>
      <c r="I1185" s="10">
        <v>6.9739449298634462</v>
      </c>
      <c r="J1185" s="7">
        <v>3.915233139346215E-2</v>
      </c>
      <c r="K1185" s="5">
        <v>0.1170265797824795</v>
      </c>
      <c r="L1185">
        <v>93.888636860545603</v>
      </c>
      <c r="M1185" s="10">
        <v>-0.84096819153393221</v>
      </c>
      <c r="N1185" s="24" t="s">
        <v>343</v>
      </c>
      <c r="O1185" s="24">
        <v>0.54190850796406664</v>
      </c>
      <c r="P1185">
        <v>54.169717697354919</v>
      </c>
      <c r="Q1185" t="s">
        <v>47</v>
      </c>
      <c r="R1185" t="s">
        <v>350</v>
      </c>
      <c r="S1185" t="s">
        <v>343</v>
      </c>
      <c r="T1185" t="s">
        <v>343</v>
      </c>
    </row>
    <row r="1186" spans="2:20" x14ac:dyDescent="0.25">
      <c r="B1186">
        <v>1181</v>
      </c>
      <c r="C1186" t="s">
        <v>1525</v>
      </c>
      <c r="D1186" s="10">
        <v>0.18572158336772929</v>
      </c>
      <c r="E1186" s="10">
        <v>0.41470553361470092</v>
      </c>
      <c r="F1186" s="10">
        <v>0.65755404625563929</v>
      </c>
      <c r="G1186" s="10">
        <v>0.26391658264093609</v>
      </c>
      <c r="H1186" s="6">
        <v>0.1347295748623176</v>
      </c>
      <c r="I1186" s="10">
        <v>3.3980822699553022</v>
      </c>
      <c r="J1186" s="7">
        <v>2.4051405590740611E-2</v>
      </c>
      <c r="K1186" s="5">
        <v>0.18190941080718939</v>
      </c>
      <c r="L1186">
        <v>47.133057507805972</v>
      </c>
      <c r="M1186" s="10">
        <v>-0.92016440301359392</v>
      </c>
      <c r="N1186" s="24" t="s">
        <v>343</v>
      </c>
      <c r="O1186" s="24">
        <v>0</v>
      </c>
      <c r="P1186">
        <v>57.961604325359559</v>
      </c>
      <c r="Q1186" t="s">
        <v>47</v>
      </c>
      <c r="R1186" t="s">
        <v>350</v>
      </c>
      <c r="S1186" t="s">
        <v>343</v>
      </c>
      <c r="T1186" t="s">
        <v>343</v>
      </c>
    </row>
    <row r="1187" spans="2:20" x14ac:dyDescent="0.25">
      <c r="B1187">
        <v>1182</v>
      </c>
      <c r="C1187" t="s">
        <v>1526</v>
      </c>
      <c r="D1187" s="10">
        <v>0.29087472385904989</v>
      </c>
      <c r="E1187" s="10">
        <v>1.2860811792906099</v>
      </c>
      <c r="F1187" s="10">
        <v>0.45671839803173392</v>
      </c>
      <c r="G1187" s="10">
        <v>0.30372024532540443</v>
      </c>
      <c r="H1187" s="6">
        <v>0.15907255727948219</v>
      </c>
      <c r="I1187" s="10">
        <v>12.342310416298719</v>
      </c>
      <c r="J1187" s="7">
        <v>3.6620991817270951E-2</v>
      </c>
      <c r="K1187" s="5">
        <v>0.1048795688334047</v>
      </c>
      <c r="L1187">
        <v>418.23099388274289</v>
      </c>
      <c r="M1187" s="10">
        <v>-0.2915859305474317</v>
      </c>
      <c r="N1187" s="24" t="s">
        <v>343</v>
      </c>
      <c r="O1187" s="24">
        <v>33.504844167154097</v>
      </c>
      <c r="P1187">
        <v>17.079635723659081</v>
      </c>
      <c r="Q1187" t="s">
        <v>348</v>
      </c>
      <c r="R1187" t="s">
        <v>371</v>
      </c>
      <c r="S1187" t="s">
        <v>343</v>
      </c>
      <c r="T1187" t="s">
        <v>343</v>
      </c>
    </row>
    <row r="1188" spans="2:20" x14ac:dyDescent="0.25">
      <c r="B1188">
        <v>1183</v>
      </c>
      <c r="C1188" t="s">
        <v>1527</v>
      </c>
      <c r="D1188" s="10">
        <v>0.29314146847323869</v>
      </c>
      <c r="E1188" s="10">
        <v>0.94401703192517816</v>
      </c>
      <c r="F1188" s="10">
        <v>0.67071503405677158</v>
      </c>
      <c r="G1188" s="10">
        <v>0.39609105423677138</v>
      </c>
      <c r="H1188" s="6">
        <v>0.19980783905748081</v>
      </c>
      <c r="I1188" s="10">
        <v>3.1967563576759028</v>
      </c>
      <c r="J1188" s="7">
        <v>2.8385848524740132E-2</v>
      </c>
      <c r="K1188" s="5">
        <v>0.1633536245186035</v>
      </c>
      <c r="L1188">
        <v>188.61252017097291</v>
      </c>
      <c r="M1188" s="10">
        <v>-0.68052161384891374</v>
      </c>
      <c r="N1188" s="24" t="s">
        <v>343</v>
      </c>
      <c r="O1188" s="24">
        <v>10.16870316906518</v>
      </c>
      <c r="P1188">
        <v>51.511713646482292</v>
      </c>
      <c r="Q1188" t="s">
        <v>47</v>
      </c>
      <c r="R1188" t="s">
        <v>350</v>
      </c>
      <c r="S1188" t="s">
        <v>343</v>
      </c>
      <c r="T1188" t="s">
        <v>343</v>
      </c>
    </row>
    <row r="1189" spans="2:20" x14ac:dyDescent="0.25">
      <c r="B1189">
        <v>1184</v>
      </c>
      <c r="C1189" t="s">
        <v>1528</v>
      </c>
      <c r="D1189" s="10">
        <v>0.24119483740173381</v>
      </c>
      <c r="E1189" s="10">
        <v>1.327901255439059</v>
      </c>
      <c r="F1189" s="10">
        <v>0.47262100115769567</v>
      </c>
      <c r="G1189" s="10">
        <v>0.3694233344438092</v>
      </c>
      <c r="H1189" s="6">
        <v>0.13720223679851209</v>
      </c>
      <c r="I1189" s="10">
        <v>9.514034891429354</v>
      </c>
      <c r="J1189" s="7">
        <v>4.275398442183808E-2</v>
      </c>
      <c r="K1189" s="5">
        <v>0.17514869743570791</v>
      </c>
      <c r="L1189">
        <v>195.7539836044231</v>
      </c>
      <c r="M1189" s="10">
        <v>-0.66842515699436622</v>
      </c>
      <c r="N1189" s="24" t="s">
        <v>343</v>
      </c>
      <c r="O1189" s="24">
        <v>10.894490580338029</v>
      </c>
      <c r="P1189">
        <v>55.943667201100197</v>
      </c>
      <c r="Q1189" t="s">
        <v>47</v>
      </c>
      <c r="R1189" t="s">
        <v>350</v>
      </c>
      <c r="S1189" t="s">
        <v>343</v>
      </c>
      <c r="T1189" t="s">
        <v>343</v>
      </c>
    </row>
    <row r="1190" spans="2:20" x14ac:dyDescent="0.25">
      <c r="B1190">
        <v>1185</v>
      </c>
      <c r="C1190" t="s">
        <v>1529</v>
      </c>
      <c r="D1190" s="10">
        <v>0.16102173947469339</v>
      </c>
      <c r="E1190" s="10">
        <v>0.68040878016424711</v>
      </c>
      <c r="F1190" s="10">
        <v>0.45696805163629128</v>
      </c>
      <c r="G1190" s="10">
        <v>0.34562706387618281</v>
      </c>
      <c r="H1190" s="6">
        <v>0.26026743617840842</v>
      </c>
      <c r="I1190" s="10">
        <v>4.1674661449809358</v>
      </c>
      <c r="J1190" s="7">
        <v>2.1458614053553381E-2</v>
      </c>
      <c r="K1190" s="5">
        <v>0.14225278117763659</v>
      </c>
      <c r="L1190">
        <v>55.352813224573232</v>
      </c>
      <c r="M1190" s="10">
        <v>-0.90624149753219463</v>
      </c>
      <c r="N1190" s="24" t="s">
        <v>343</v>
      </c>
      <c r="O1190" s="24">
        <v>0</v>
      </c>
      <c r="P1190">
        <v>53.583323112121811</v>
      </c>
      <c r="Q1190" t="s">
        <v>47</v>
      </c>
      <c r="R1190" t="s">
        <v>350</v>
      </c>
      <c r="S1190" t="s">
        <v>343</v>
      </c>
      <c r="T1190" t="s">
        <v>343</v>
      </c>
    </row>
    <row r="1191" spans="2:20" x14ac:dyDescent="0.25">
      <c r="B1191">
        <v>1186</v>
      </c>
      <c r="C1191" t="s">
        <v>1530</v>
      </c>
      <c r="D1191" s="10">
        <v>0.20592610130798611</v>
      </c>
      <c r="E1191" s="10">
        <v>1.0448594310620789</v>
      </c>
      <c r="F1191" s="10">
        <v>0.58638123863498126</v>
      </c>
      <c r="G1191" s="10">
        <v>0.36573461249711131</v>
      </c>
      <c r="H1191" s="6">
        <v>0.24813852039816231</v>
      </c>
      <c r="I1191" s="10">
        <v>3.0831362553357851</v>
      </c>
      <c r="J1191" s="7">
        <v>2.2694170826369979E-2</v>
      </c>
      <c r="K1191" s="5">
        <v>0.11935422600728381</v>
      </c>
      <c r="L1191">
        <v>106.7471129591206</v>
      </c>
      <c r="M1191" s="10">
        <v>-0.81918806162203006</v>
      </c>
      <c r="N1191" s="24" t="s">
        <v>343</v>
      </c>
      <c r="O1191" s="24">
        <v>1.848716302678199</v>
      </c>
      <c r="P1191">
        <v>63.348293031075549</v>
      </c>
      <c r="Q1191" t="s">
        <v>47</v>
      </c>
      <c r="R1191" t="s">
        <v>350</v>
      </c>
      <c r="S1191" t="s">
        <v>343</v>
      </c>
      <c r="T1191" t="s">
        <v>343</v>
      </c>
    </row>
    <row r="1192" spans="2:20" x14ac:dyDescent="0.25">
      <c r="B1192">
        <v>1187</v>
      </c>
      <c r="C1192" t="s">
        <v>1531</v>
      </c>
      <c r="D1192" s="10">
        <v>0.25870830694011882</v>
      </c>
      <c r="E1192" s="10">
        <v>0.5251608420839694</v>
      </c>
      <c r="F1192" s="10">
        <v>0.57063486606942759</v>
      </c>
      <c r="G1192" s="10">
        <v>0.36303676286865549</v>
      </c>
      <c r="H1192" s="6">
        <v>0.26574665307494733</v>
      </c>
      <c r="I1192" s="10">
        <v>5.8176548648754522</v>
      </c>
      <c r="J1192" s="7">
        <v>4.3949528068540633E-2</v>
      </c>
      <c r="K1192" s="5">
        <v>0.187849302395833</v>
      </c>
      <c r="L1192">
        <v>82.678052731229982</v>
      </c>
      <c r="M1192" s="10">
        <v>-0.85995706524283644</v>
      </c>
      <c r="N1192" s="24" t="s">
        <v>343</v>
      </c>
      <c r="O1192" s="24">
        <v>0</v>
      </c>
      <c r="P1192">
        <v>51.717020081804819</v>
      </c>
      <c r="Q1192" t="s">
        <v>47</v>
      </c>
      <c r="R1192" t="s">
        <v>350</v>
      </c>
      <c r="S1192" t="s">
        <v>343</v>
      </c>
      <c r="T1192" t="s">
        <v>343</v>
      </c>
    </row>
    <row r="1193" spans="2:20" x14ac:dyDescent="0.25">
      <c r="B1193">
        <v>1188</v>
      </c>
      <c r="C1193" t="s">
        <v>1532</v>
      </c>
      <c r="D1193" s="10">
        <v>0.31698978848438769</v>
      </c>
      <c r="E1193" s="10">
        <v>0.98017434900793532</v>
      </c>
      <c r="F1193" s="10">
        <v>0.56772098789629011</v>
      </c>
      <c r="G1193" s="10">
        <v>0.30754922360778358</v>
      </c>
      <c r="H1193" s="6">
        <v>0.1263750067632736</v>
      </c>
      <c r="I1193" s="10">
        <v>9.0703741234131847</v>
      </c>
      <c r="J1193" s="7">
        <v>3.5813378428825572E-2</v>
      </c>
      <c r="K1193" s="5">
        <v>0.101897042517301</v>
      </c>
      <c r="L1193">
        <v>289.65675387573521</v>
      </c>
      <c r="M1193" s="10">
        <v>-0.50936940887011239</v>
      </c>
      <c r="N1193" s="24" t="s">
        <v>343</v>
      </c>
      <c r="O1193" s="24">
        <v>20.43783546779326</v>
      </c>
      <c r="P1193">
        <v>48.376039932192597</v>
      </c>
      <c r="Q1193" t="s">
        <v>346</v>
      </c>
      <c r="R1193" t="s">
        <v>347</v>
      </c>
      <c r="S1193" t="s">
        <v>343</v>
      </c>
      <c r="T1193" t="s">
        <v>343</v>
      </c>
    </row>
    <row r="1194" spans="2:20" x14ac:dyDescent="0.25">
      <c r="B1194">
        <v>1189</v>
      </c>
      <c r="C1194" t="s">
        <v>1533</v>
      </c>
      <c r="D1194" s="10">
        <v>0.26109016432266702</v>
      </c>
      <c r="E1194" s="10">
        <v>0.4425443030109828</v>
      </c>
      <c r="F1194" s="10">
        <v>0.58937112515036338</v>
      </c>
      <c r="G1194" s="10">
        <v>0.26144030839383969</v>
      </c>
      <c r="H1194" s="6">
        <v>0.2477103670633975</v>
      </c>
      <c r="I1194" s="10">
        <v>3.8259670342501022</v>
      </c>
      <c r="J1194" s="7">
        <v>3.7039856851851662E-2</v>
      </c>
      <c r="K1194" s="5">
        <v>0.15273176677680561</v>
      </c>
      <c r="L1194">
        <v>88.1674936281957</v>
      </c>
      <c r="M1194" s="10">
        <v>-0.85065886108838984</v>
      </c>
      <c r="N1194" s="24" t="s">
        <v>343</v>
      </c>
      <c r="O1194" s="24">
        <v>0</v>
      </c>
      <c r="P1194">
        <v>56.842518642153763</v>
      </c>
      <c r="Q1194" t="s">
        <v>47</v>
      </c>
      <c r="R1194" t="s">
        <v>350</v>
      </c>
      <c r="S1194" t="s">
        <v>343</v>
      </c>
      <c r="T1194" t="s">
        <v>343</v>
      </c>
    </row>
    <row r="1195" spans="2:20" x14ac:dyDescent="0.25">
      <c r="B1195">
        <v>1190</v>
      </c>
      <c r="C1195" t="s">
        <v>1534</v>
      </c>
      <c r="D1195" s="10">
        <v>0.20156857297026559</v>
      </c>
      <c r="E1195" s="10">
        <v>0.30228870309391431</v>
      </c>
      <c r="F1195" s="10">
        <v>0.51463471759098045</v>
      </c>
      <c r="G1195" s="10">
        <v>0.43729212110587112</v>
      </c>
      <c r="H1195" s="6">
        <v>0.2405601113162234</v>
      </c>
      <c r="I1195" s="10">
        <v>9.7637667127821413</v>
      </c>
      <c r="J1195" s="7">
        <v>2.0359186213147879E-2</v>
      </c>
      <c r="K1195" s="5">
        <v>0.13542069382697811</v>
      </c>
      <c r="L1195">
        <v>101.14816254256669</v>
      </c>
      <c r="M1195" s="10">
        <v>-0.82867175677439386</v>
      </c>
      <c r="N1195" s="24" t="s">
        <v>343</v>
      </c>
      <c r="O1195" s="24">
        <v>1.2796945935363691</v>
      </c>
      <c r="P1195">
        <v>57.928558100006953</v>
      </c>
      <c r="Q1195" t="s">
        <v>47</v>
      </c>
      <c r="R1195" t="s">
        <v>350</v>
      </c>
      <c r="S1195" t="s">
        <v>343</v>
      </c>
      <c r="T1195" t="s">
        <v>343</v>
      </c>
    </row>
    <row r="1196" spans="2:20" x14ac:dyDescent="0.25">
      <c r="B1196">
        <v>1191</v>
      </c>
      <c r="C1196" t="s">
        <v>1535</v>
      </c>
      <c r="D1196" s="10">
        <v>0.26144091249593782</v>
      </c>
      <c r="E1196" s="10">
        <v>1.324684981550537</v>
      </c>
      <c r="F1196" s="10">
        <v>0.61236681109169888</v>
      </c>
      <c r="G1196" s="10">
        <v>0.37198047777726118</v>
      </c>
      <c r="H1196" s="6">
        <v>0.25531587969036912</v>
      </c>
      <c r="I1196" s="10">
        <v>10.391914432511459</v>
      </c>
      <c r="J1196" s="7">
        <v>2.862155390511973E-2</v>
      </c>
      <c r="K1196" s="5">
        <v>0.14380043357069941</v>
      </c>
      <c r="L1196">
        <v>372.02397515246872</v>
      </c>
      <c r="M1196" s="10">
        <v>-0.36985297114165883</v>
      </c>
      <c r="N1196" s="24" t="s">
        <v>343</v>
      </c>
      <c r="O1196" s="24">
        <v>28.808821731500469</v>
      </c>
      <c r="P1196">
        <v>53.506596422084563</v>
      </c>
      <c r="Q1196" t="s">
        <v>47</v>
      </c>
      <c r="R1196" t="s">
        <v>350</v>
      </c>
      <c r="S1196" t="s">
        <v>343</v>
      </c>
      <c r="T1196" t="s">
        <v>343</v>
      </c>
    </row>
    <row r="1197" spans="2:20" x14ac:dyDescent="0.25">
      <c r="B1197">
        <v>1192</v>
      </c>
      <c r="C1197" t="s">
        <v>1536</v>
      </c>
      <c r="D1197" s="10">
        <v>0.2463976607545369</v>
      </c>
      <c r="E1197" s="10">
        <v>0.91038381379273026</v>
      </c>
      <c r="F1197" s="10">
        <v>0.5706245771238676</v>
      </c>
      <c r="G1197" s="10">
        <v>0.39350455992978739</v>
      </c>
      <c r="H1197" s="6">
        <v>0.19919162514897129</v>
      </c>
      <c r="I1197" s="10">
        <v>13.66667910124797</v>
      </c>
      <c r="J1197" s="7">
        <v>2.097393449002322E-2</v>
      </c>
      <c r="K1197" s="5">
        <v>0.15097368034649511</v>
      </c>
      <c r="L1197">
        <v>254.41898893223291</v>
      </c>
      <c r="M1197" s="10">
        <v>-0.56905634940574901</v>
      </c>
      <c r="N1197" s="24" t="s">
        <v>343</v>
      </c>
      <c r="O1197" s="24">
        <v>16.856619035655061</v>
      </c>
      <c r="P1197">
        <v>56.331005865974262</v>
      </c>
      <c r="Q1197" t="s">
        <v>47</v>
      </c>
      <c r="R1197" t="s">
        <v>350</v>
      </c>
      <c r="S1197" t="s">
        <v>343</v>
      </c>
      <c r="T1197" t="s">
        <v>343</v>
      </c>
    </row>
    <row r="1198" spans="2:20" x14ac:dyDescent="0.25">
      <c r="B1198">
        <v>1193</v>
      </c>
      <c r="C1198" t="s">
        <v>1537</v>
      </c>
      <c r="D1198" s="10">
        <v>0.28477526322418301</v>
      </c>
      <c r="E1198" s="10">
        <v>1.319634729060243</v>
      </c>
      <c r="F1198" s="10">
        <v>0.52703330140890459</v>
      </c>
      <c r="G1198" s="10">
        <v>0.34207938936073012</v>
      </c>
      <c r="H1198" s="6">
        <v>0.23818336061635101</v>
      </c>
      <c r="I1198" s="10">
        <v>12.894907884269349</v>
      </c>
      <c r="J1198" s="7">
        <v>1.909541104007589E-2</v>
      </c>
      <c r="K1198" s="5">
        <v>0.15080111911531829</v>
      </c>
      <c r="L1198">
        <v>332.06410208769728</v>
      </c>
      <c r="M1198" s="10">
        <v>-0.43753838113439442</v>
      </c>
      <c r="N1198" s="24" t="s">
        <v>343</v>
      </c>
      <c r="O1198" s="24">
        <v>24.747697131936331</v>
      </c>
      <c r="P1198">
        <v>54.762729841185433</v>
      </c>
      <c r="Q1198" t="s">
        <v>47</v>
      </c>
      <c r="R1198" t="s">
        <v>350</v>
      </c>
      <c r="S1198" t="s">
        <v>343</v>
      </c>
      <c r="T1198" t="s">
        <v>343</v>
      </c>
    </row>
    <row r="1199" spans="2:20" x14ac:dyDescent="0.25">
      <c r="B1199">
        <v>1194</v>
      </c>
      <c r="C1199" t="s">
        <v>1538</v>
      </c>
      <c r="D1199" s="10">
        <v>0.17711690221231341</v>
      </c>
      <c r="E1199" s="10">
        <v>0.66721467607227924</v>
      </c>
      <c r="F1199" s="10">
        <v>0.65489017341498923</v>
      </c>
      <c r="G1199" s="10">
        <v>0.40642572759484369</v>
      </c>
      <c r="H1199" s="6">
        <v>0.12769303190139791</v>
      </c>
      <c r="I1199" s="10">
        <v>9.2347021283671857</v>
      </c>
      <c r="J1199" s="7">
        <v>2.8733441566952591E-2</v>
      </c>
      <c r="K1199" s="5">
        <v>0.1193442480568611</v>
      </c>
      <c r="L1199">
        <v>168.4508338325675</v>
      </c>
      <c r="M1199" s="10">
        <v>-0.71467217292971785</v>
      </c>
      <c r="N1199" s="24" t="s">
        <v>343</v>
      </c>
      <c r="O1199" s="24">
        <v>8.1196696242169253</v>
      </c>
      <c r="P1199">
        <v>52.083762891606227</v>
      </c>
      <c r="Q1199" t="s">
        <v>47</v>
      </c>
      <c r="R1199" t="s">
        <v>350</v>
      </c>
      <c r="S1199" t="s">
        <v>343</v>
      </c>
      <c r="T1199" t="s">
        <v>343</v>
      </c>
    </row>
    <row r="1200" spans="2:20" x14ac:dyDescent="0.25">
      <c r="B1200">
        <v>1195</v>
      </c>
      <c r="C1200" t="s">
        <v>1539</v>
      </c>
      <c r="D1200" s="10">
        <v>0.28176446440032449</v>
      </c>
      <c r="E1200" s="10">
        <v>0.66056467607793246</v>
      </c>
      <c r="F1200" s="10">
        <v>0.62920748504494461</v>
      </c>
      <c r="G1200" s="10">
        <v>0.36858939807530677</v>
      </c>
      <c r="H1200" s="6">
        <v>0.1313816684225983</v>
      </c>
      <c r="I1200" s="10">
        <v>11.72701289580993</v>
      </c>
      <c r="J1200" s="7">
        <v>4.4571621848745933E-2</v>
      </c>
      <c r="K1200" s="5">
        <v>0.1645717206755041</v>
      </c>
      <c r="L1200">
        <v>158.4699713863132</v>
      </c>
      <c r="M1200" s="10">
        <v>-0.73157810167630821</v>
      </c>
      <c r="N1200" s="24" t="s">
        <v>343</v>
      </c>
      <c r="O1200" s="24">
        <v>7.1053138994215104</v>
      </c>
      <c r="P1200">
        <v>54.420714214672508</v>
      </c>
      <c r="Q1200" t="s">
        <v>47</v>
      </c>
      <c r="R1200" t="s">
        <v>350</v>
      </c>
      <c r="S1200" t="s">
        <v>343</v>
      </c>
      <c r="T1200" t="s">
        <v>343</v>
      </c>
    </row>
    <row r="1201" spans="2:20" x14ac:dyDescent="0.25">
      <c r="B1201">
        <v>1196</v>
      </c>
      <c r="C1201" t="s">
        <v>1540</v>
      </c>
      <c r="D1201" s="10">
        <v>0.24660265258817771</v>
      </c>
      <c r="E1201" s="10">
        <v>0.74072050195033479</v>
      </c>
      <c r="F1201" s="10">
        <v>0.54233868890560166</v>
      </c>
      <c r="G1201" s="10">
        <v>0.25183624686138179</v>
      </c>
      <c r="H1201" s="6">
        <v>0.13777983614243819</v>
      </c>
      <c r="I1201" s="10">
        <v>7.0000518981169124</v>
      </c>
      <c r="J1201" s="7">
        <v>1.7511792652502439E-2</v>
      </c>
      <c r="K1201" s="5">
        <v>0.1018190876632539</v>
      </c>
      <c r="L1201">
        <v>139.43294632830839</v>
      </c>
      <c r="M1201" s="10">
        <v>-0.76382367072514989</v>
      </c>
      <c r="N1201" s="24" t="s">
        <v>343</v>
      </c>
      <c r="O1201" s="24">
        <v>5.1705797564910094</v>
      </c>
      <c r="P1201">
        <v>55.656413479096557</v>
      </c>
      <c r="Q1201" t="s">
        <v>47</v>
      </c>
      <c r="R1201" t="s">
        <v>350</v>
      </c>
      <c r="S1201" t="s">
        <v>343</v>
      </c>
      <c r="T1201" t="s">
        <v>343</v>
      </c>
    </row>
    <row r="1202" spans="2:20" x14ac:dyDescent="0.25">
      <c r="B1202">
        <v>1197</v>
      </c>
      <c r="C1202" t="s">
        <v>1541</v>
      </c>
      <c r="D1202" s="10">
        <v>0.31407872061743908</v>
      </c>
      <c r="E1202" s="10">
        <v>1.076645082353985</v>
      </c>
      <c r="F1202" s="10">
        <v>0.66038062415950693</v>
      </c>
      <c r="G1202" s="10">
        <v>0.43582134778661208</v>
      </c>
      <c r="H1202" s="6">
        <v>0.25721832949473122</v>
      </c>
      <c r="I1202" s="10">
        <v>9.442834376699123</v>
      </c>
      <c r="J1202" s="7">
        <v>1.8488195068063869E-2</v>
      </c>
      <c r="K1202" s="5">
        <v>0.1020124889502214</v>
      </c>
      <c r="L1202">
        <v>385.66295248111192</v>
      </c>
      <c r="M1202" s="10">
        <v>-0.34675080135061659</v>
      </c>
      <c r="N1202" s="24" t="s">
        <v>343</v>
      </c>
      <c r="O1202" s="24">
        <v>30.19495191896301</v>
      </c>
      <c r="P1202">
        <v>46.823332938694563</v>
      </c>
      <c r="Q1202" t="s">
        <v>346</v>
      </c>
      <c r="R1202" t="s">
        <v>347</v>
      </c>
      <c r="S1202" t="s">
        <v>343</v>
      </c>
      <c r="T1202" t="s">
        <v>343</v>
      </c>
    </row>
    <row r="1203" spans="2:20" x14ac:dyDescent="0.25">
      <c r="B1203">
        <v>1198</v>
      </c>
      <c r="C1203" t="s">
        <v>1542</v>
      </c>
      <c r="D1203" s="10">
        <v>0.21469954656618981</v>
      </c>
      <c r="E1203" s="10">
        <v>0.9223894976047915</v>
      </c>
      <c r="F1203" s="10">
        <v>0.67926714502906127</v>
      </c>
      <c r="G1203" s="10">
        <v>0.30721795229333509</v>
      </c>
      <c r="H1203" s="6">
        <v>0.1291754024082673</v>
      </c>
      <c r="I1203" s="10">
        <v>7.4368958693015257</v>
      </c>
      <c r="J1203" s="7">
        <v>1.8509514592064319E-2</v>
      </c>
      <c r="K1203" s="5">
        <v>0.14545629742143951</v>
      </c>
      <c r="L1203">
        <v>151.61577929887261</v>
      </c>
      <c r="M1203" s="10">
        <v>-0.74318796842576929</v>
      </c>
      <c r="N1203" s="24" t="s">
        <v>343</v>
      </c>
      <c r="O1203" s="24">
        <v>6.4087218944538478</v>
      </c>
      <c r="P1203">
        <v>55.648505412883999</v>
      </c>
      <c r="Q1203" t="s">
        <v>47</v>
      </c>
      <c r="R1203" t="s">
        <v>350</v>
      </c>
      <c r="S1203" t="s">
        <v>343</v>
      </c>
      <c r="T1203" t="s">
        <v>343</v>
      </c>
    </row>
    <row r="1204" spans="2:20" x14ac:dyDescent="0.25">
      <c r="B1204">
        <v>1199</v>
      </c>
      <c r="C1204" t="s">
        <v>1543</v>
      </c>
      <c r="D1204" s="10">
        <v>0.2612195029014317</v>
      </c>
      <c r="E1204" s="10">
        <v>1.3178903978090299</v>
      </c>
      <c r="F1204" s="10">
        <v>0.57958522944193425</v>
      </c>
      <c r="G1204" s="10">
        <v>0.2703359710326938</v>
      </c>
      <c r="H1204" s="6">
        <v>0.13502242900486661</v>
      </c>
      <c r="I1204" s="10">
        <v>6.7074593788326329</v>
      </c>
      <c r="J1204" s="7">
        <v>3.7709579156465153E-2</v>
      </c>
      <c r="K1204" s="5">
        <v>0.15148077362567619</v>
      </c>
      <c r="L1204">
        <v>212.7161294211628</v>
      </c>
      <c r="M1204" s="10">
        <v>-0.63969408990359633</v>
      </c>
      <c r="N1204" s="24" t="s">
        <v>343</v>
      </c>
      <c r="O1204" s="24">
        <v>12.618354605784219</v>
      </c>
      <c r="P1204">
        <v>58.891742268799689</v>
      </c>
      <c r="Q1204" t="s">
        <v>47</v>
      </c>
      <c r="R1204" t="s">
        <v>350</v>
      </c>
      <c r="S1204" t="s">
        <v>343</v>
      </c>
      <c r="T1204" t="s">
        <v>343</v>
      </c>
    </row>
    <row r="1205" spans="2:20" x14ac:dyDescent="0.25">
      <c r="B1205">
        <v>1200</v>
      </c>
      <c r="C1205" t="s">
        <v>1544</v>
      </c>
      <c r="D1205" s="10">
        <v>0.30912449688160282</v>
      </c>
      <c r="E1205" s="10">
        <v>0.32798499124568331</v>
      </c>
      <c r="F1205" s="10">
        <v>0.49588763704079941</v>
      </c>
      <c r="G1205" s="10">
        <v>0.25936902169494952</v>
      </c>
      <c r="H1205" s="6">
        <v>0.25956156039442912</v>
      </c>
      <c r="I1205" s="10">
        <v>11.00403434462438</v>
      </c>
      <c r="J1205" s="7">
        <v>2.786687213901325E-2</v>
      </c>
      <c r="K1205" s="5">
        <v>0.12611450076152481</v>
      </c>
      <c r="L1205">
        <v>97.783717768476876</v>
      </c>
      <c r="M1205" s="10">
        <v>-0.83437056926969566</v>
      </c>
      <c r="N1205" s="24" t="s">
        <v>343</v>
      </c>
      <c r="O1205" s="24">
        <v>0.93776584381825501</v>
      </c>
      <c r="P1205">
        <v>14.63018254760359</v>
      </c>
      <c r="Q1205" t="s">
        <v>348</v>
      </c>
      <c r="R1205" t="s">
        <v>371</v>
      </c>
      <c r="S1205" t="s">
        <v>343</v>
      </c>
      <c r="T1205" t="s">
        <v>343</v>
      </c>
    </row>
    <row r="1206" spans="2:20" x14ac:dyDescent="0.25">
      <c r="B1206">
        <v>1201</v>
      </c>
      <c r="C1206" t="s">
        <v>1545</v>
      </c>
      <c r="D1206" s="10">
        <v>0.17640155647850869</v>
      </c>
      <c r="E1206" s="10">
        <v>1.07901553176979</v>
      </c>
      <c r="F1206" s="10">
        <v>0.67810596070221651</v>
      </c>
      <c r="G1206" s="10">
        <v>0.39849686904526438</v>
      </c>
      <c r="H1206" s="6">
        <v>0.13610888727484169</v>
      </c>
      <c r="I1206" s="10">
        <v>6.2633759871542054</v>
      </c>
      <c r="J1206" s="7">
        <v>2.3466867985582951E-2</v>
      </c>
      <c r="K1206" s="5">
        <v>0.1524091756945492</v>
      </c>
      <c r="L1206">
        <v>300.70640799286531</v>
      </c>
      <c r="M1206" s="10">
        <v>-0.49065312396140931</v>
      </c>
      <c r="N1206" s="24" t="s">
        <v>343</v>
      </c>
      <c r="O1206" s="24">
        <v>21.560812562315441</v>
      </c>
      <c r="P1206">
        <v>58.630586772183221</v>
      </c>
      <c r="Q1206" t="s">
        <v>47</v>
      </c>
      <c r="R1206" t="s">
        <v>350</v>
      </c>
      <c r="S1206" t="s">
        <v>343</v>
      </c>
      <c r="T1206" t="s">
        <v>343</v>
      </c>
    </row>
    <row r="1207" spans="2:20" x14ac:dyDescent="0.25">
      <c r="B1207">
        <v>1202</v>
      </c>
      <c r="C1207" t="s">
        <v>1546</v>
      </c>
      <c r="D1207" s="10">
        <v>0.30995655795783222</v>
      </c>
      <c r="E1207" s="10">
        <v>0.66336045830320978</v>
      </c>
      <c r="F1207" s="10">
        <v>0.48926470122483451</v>
      </c>
      <c r="G1207" s="10">
        <v>0.39487304069695922</v>
      </c>
      <c r="H1207" s="6">
        <v>0.25046344480880611</v>
      </c>
      <c r="I1207" s="10">
        <v>7.1860749700558486</v>
      </c>
      <c r="J1207" s="7">
        <v>3.9532644202851693E-2</v>
      </c>
      <c r="K1207" s="5">
        <v>0.1490303771336311</v>
      </c>
      <c r="L1207">
        <v>266.29409826608708</v>
      </c>
      <c r="M1207" s="10">
        <v>-0.54894188000621824</v>
      </c>
      <c r="N1207" s="24" t="s">
        <v>343</v>
      </c>
      <c r="O1207" s="24">
        <v>18.063487199626909</v>
      </c>
      <c r="P1207">
        <v>51.945738079447914</v>
      </c>
      <c r="Q1207" t="s">
        <v>47</v>
      </c>
      <c r="R1207" t="s">
        <v>350</v>
      </c>
      <c r="S1207" t="s">
        <v>343</v>
      </c>
      <c r="T1207" t="s">
        <v>343</v>
      </c>
    </row>
    <row r="1208" spans="2:20" x14ac:dyDescent="0.25">
      <c r="B1208">
        <v>1203</v>
      </c>
      <c r="C1208" t="s">
        <v>1547</v>
      </c>
      <c r="D1208" s="10">
        <v>0.27006171556813008</v>
      </c>
      <c r="E1208" s="10">
        <v>0.49825701700030728</v>
      </c>
      <c r="F1208" s="10">
        <v>0.45259003886848997</v>
      </c>
      <c r="G1208" s="10">
        <v>0.39403566745891949</v>
      </c>
      <c r="H1208" s="6">
        <v>0.23839061820934301</v>
      </c>
      <c r="I1208" s="10">
        <v>7.0388872818885737</v>
      </c>
      <c r="J1208" s="7">
        <v>2.0412172342618759E-2</v>
      </c>
      <c r="K1208" s="5">
        <v>0.1331759527034013</v>
      </c>
      <c r="L1208">
        <v>163.21708288883701</v>
      </c>
      <c r="M1208" s="10">
        <v>-0.72353728063043699</v>
      </c>
      <c r="N1208" s="24" t="s">
        <v>343</v>
      </c>
      <c r="O1208" s="24">
        <v>7.5877631621737791</v>
      </c>
      <c r="P1208">
        <v>59.426100357696242</v>
      </c>
      <c r="Q1208" t="s">
        <v>47</v>
      </c>
      <c r="R1208" t="s">
        <v>350</v>
      </c>
      <c r="S1208" t="s">
        <v>343</v>
      </c>
      <c r="T1208" t="s">
        <v>343</v>
      </c>
    </row>
    <row r="1209" spans="2:20" x14ac:dyDescent="0.25">
      <c r="B1209">
        <v>1204</v>
      </c>
      <c r="C1209" t="s">
        <v>1548</v>
      </c>
      <c r="D1209" s="10">
        <v>0.17085392945682751</v>
      </c>
      <c r="E1209" s="10">
        <v>0.86143518477210868</v>
      </c>
      <c r="F1209" s="10">
        <v>0.52514662230701403</v>
      </c>
      <c r="G1209" s="10">
        <v>0.44146560998994461</v>
      </c>
      <c r="H1209" s="6">
        <v>0.12604229827982311</v>
      </c>
      <c r="I1209" s="10">
        <v>12.57443769904854</v>
      </c>
      <c r="J1209" s="7">
        <v>2.3727626453611511E-2</v>
      </c>
      <c r="K1209" s="5">
        <v>0.16191859047178611</v>
      </c>
      <c r="L1209">
        <v>234.2002389936124</v>
      </c>
      <c r="M1209" s="10">
        <v>-0.60330356477897829</v>
      </c>
      <c r="N1209" s="24" t="s">
        <v>343</v>
      </c>
      <c r="O1209" s="24">
        <v>14.801786113261301</v>
      </c>
      <c r="P1209">
        <v>60.405849127531823</v>
      </c>
      <c r="Q1209" t="s">
        <v>47</v>
      </c>
      <c r="R1209" t="s">
        <v>350</v>
      </c>
      <c r="S1209" t="s">
        <v>343</v>
      </c>
      <c r="T1209" t="s">
        <v>343</v>
      </c>
    </row>
    <row r="1210" spans="2:20" x14ac:dyDescent="0.25">
      <c r="B1210">
        <v>1205</v>
      </c>
      <c r="C1210" t="s">
        <v>1549</v>
      </c>
      <c r="D1210" s="10">
        <v>0.20815417071149059</v>
      </c>
      <c r="E1210" s="10">
        <v>0.85557016259799545</v>
      </c>
      <c r="F1210" s="10">
        <v>0.62901124955987031</v>
      </c>
      <c r="G1210" s="10">
        <v>0.31676746483948331</v>
      </c>
      <c r="H1210" s="6">
        <v>0.12327710953344451</v>
      </c>
      <c r="I1210" s="10">
        <v>4.8744491694610126</v>
      </c>
      <c r="J1210" s="7">
        <v>1.257671957527E-2</v>
      </c>
      <c r="K1210" s="5">
        <v>0.19100403557194309</v>
      </c>
      <c r="L1210">
        <v>70.827467211012291</v>
      </c>
      <c r="M1210" s="10">
        <v>-0.88002999536175242</v>
      </c>
      <c r="N1210" s="24" t="s">
        <v>343</v>
      </c>
      <c r="O1210" s="24">
        <v>0</v>
      </c>
      <c r="P1210">
        <v>18.00356655189162</v>
      </c>
      <c r="Q1210" t="s">
        <v>348</v>
      </c>
      <c r="R1210" t="s">
        <v>353</v>
      </c>
      <c r="S1210" t="s">
        <v>343</v>
      </c>
      <c r="T1210" t="s">
        <v>343</v>
      </c>
    </row>
    <row r="1211" spans="2:20" x14ac:dyDescent="0.25">
      <c r="B1211">
        <v>1206</v>
      </c>
      <c r="C1211" t="s">
        <v>1550</v>
      </c>
      <c r="D1211" s="10">
        <v>0.27330753418324499</v>
      </c>
      <c r="E1211" s="10">
        <v>0.45071213155727119</v>
      </c>
      <c r="F1211" s="10">
        <v>0.68005126245192282</v>
      </c>
      <c r="G1211" s="10">
        <v>0.36344927239896307</v>
      </c>
      <c r="H1211" s="6">
        <v>0.200158257527039</v>
      </c>
      <c r="I1211" s="10">
        <v>7.1962337116221118</v>
      </c>
      <c r="J1211" s="7">
        <v>1.416185356562559E-2</v>
      </c>
      <c r="K1211" s="5">
        <v>0.14662625597038789</v>
      </c>
      <c r="L1211">
        <v>154.9622334273968</v>
      </c>
      <c r="M1211" s="10">
        <v>-0.73751962910587487</v>
      </c>
      <c r="N1211" s="24" t="s">
        <v>343</v>
      </c>
      <c r="O1211" s="24">
        <v>6.7488222536475106</v>
      </c>
      <c r="P1211">
        <v>23.41589100297794</v>
      </c>
      <c r="Q1211" t="s">
        <v>348</v>
      </c>
      <c r="R1211" t="s">
        <v>353</v>
      </c>
      <c r="S1211" t="s">
        <v>343</v>
      </c>
      <c r="T1211" t="s">
        <v>343</v>
      </c>
    </row>
    <row r="1212" spans="2:20" x14ac:dyDescent="0.25">
      <c r="B1212">
        <v>1207</v>
      </c>
      <c r="C1212" t="s">
        <v>1551</v>
      </c>
      <c r="D1212" s="10">
        <v>0.1707760962350035</v>
      </c>
      <c r="E1212" s="10">
        <v>0.52208566174617876</v>
      </c>
      <c r="F1212" s="10">
        <v>0.60569426817175431</v>
      </c>
      <c r="G1212" s="10">
        <v>0.37628902825875687</v>
      </c>
      <c r="H1212" s="6">
        <v>0.26957631056501508</v>
      </c>
      <c r="I1212" s="10">
        <v>12.766567709017041</v>
      </c>
      <c r="J1212" s="7">
        <v>1.478558733524056E-2</v>
      </c>
      <c r="K1212" s="5">
        <v>0.17467482213112309</v>
      </c>
      <c r="L1212">
        <v>81.557609443780237</v>
      </c>
      <c r="M1212" s="10">
        <v>-0.86185491069298881</v>
      </c>
      <c r="N1212" s="24" t="s">
        <v>343</v>
      </c>
      <c r="O1212" s="24">
        <v>0</v>
      </c>
      <c r="P1212">
        <v>46.209272155942926</v>
      </c>
      <c r="Q1212" t="s">
        <v>346</v>
      </c>
      <c r="R1212" t="s">
        <v>347</v>
      </c>
      <c r="S1212" t="s">
        <v>343</v>
      </c>
      <c r="T1212" t="s">
        <v>343</v>
      </c>
    </row>
    <row r="1213" spans="2:20" x14ac:dyDescent="0.25">
      <c r="B1213">
        <v>1208</v>
      </c>
      <c r="C1213" t="s">
        <v>1552</v>
      </c>
      <c r="D1213" s="10">
        <v>0.25314727362820372</v>
      </c>
      <c r="E1213" s="10">
        <v>0.7489811313917103</v>
      </c>
      <c r="F1213" s="10">
        <v>0.68747802221133159</v>
      </c>
      <c r="G1213" s="10">
        <v>0.45548600228462183</v>
      </c>
      <c r="H1213" s="6">
        <v>0.25182452401484801</v>
      </c>
      <c r="I1213" s="10">
        <v>3.1683486846644171</v>
      </c>
      <c r="J1213" s="7">
        <v>2.2144133345480561E-2</v>
      </c>
      <c r="K1213" s="5">
        <v>0.123521673539434</v>
      </c>
      <c r="L1213">
        <v>164.74695951469769</v>
      </c>
      <c r="M1213" s="10">
        <v>-0.72094592288283266</v>
      </c>
      <c r="N1213" s="24" t="s">
        <v>343</v>
      </c>
      <c r="O1213" s="24">
        <v>7.7432446270300446</v>
      </c>
      <c r="P1213">
        <v>55.702419487456289</v>
      </c>
      <c r="Q1213" t="s">
        <v>47</v>
      </c>
      <c r="R1213" t="s">
        <v>350</v>
      </c>
      <c r="S1213" t="s">
        <v>343</v>
      </c>
      <c r="T1213" t="s">
        <v>343</v>
      </c>
    </row>
    <row r="1214" spans="2:20" x14ac:dyDescent="0.25">
      <c r="B1214">
        <v>1209</v>
      </c>
      <c r="C1214" t="s">
        <v>1553</v>
      </c>
      <c r="D1214" s="10">
        <v>0.21534128911247311</v>
      </c>
      <c r="E1214" s="10">
        <v>0.74969255363154685</v>
      </c>
      <c r="F1214" s="10">
        <v>0.46401641821173312</v>
      </c>
      <c r="G1214" s="10">
        <v>0.30871615161809018</v>
      </c>
      <c r="H1214" s="6">
        <v>0.1665038150056927</v>
      </c>
      <c r="I1214" s="10">
        <v>13.42653694860925</v>
      </c>
      <c r="J1214" s="7">
        <v>2.8342984117069269E-2</v>
      </c>
      <c r="K1214" s="5">
        <v>0.1723853063832107</v>
      </c>
      <c r="L1214">
        <v>154.96616652893749</v>
      </c>
      <c r="M1214" s="10">
        <v>-0.73751296708295255</v>
      </c>
      <c r="N1214" s="24" t="s">
        <v>343</v>
      </c>
      <c r="O1214" s="24">
        <v>6.7492219750228406</v>
      </c>
      <c r="P1214">
        <v>18.001598973776641</v>
      </c>
      <c r="Q1214" t="s">
        <v>348</v>
      </c>
      <c r="R1214" t="s">
        <v>371</v>
      </c>
      <c r="S1214" t="s">
        <v>343</v>
      </c>
      <c r="T1214" t="s">
        <v>343</v>
      </c>
    </row>
    <row r="1215" spans="2:20" x14ac:dyDescent="0.25">
      <c r="B1215">
        <v>1210</v>
      </c>
      <c r="C1215" t="s">
        <v>1554</v>
      </c>
      <c r="D1215" s="10">
        <v>0.25934648284279638</v>
      </c>
      <c r="E1215" s="10">
        <v>0.64931395358165311</v>
      </c>
      <c r="F1215" s="10">
        <v>0.45579596969288522</v>
      </c>
      <c r="G1215" s="10">
        <v>0.45039286397886691</v>
      </c>
      <c r="H1215" s="6">
        <v>0.17794638511731051</v>
      </c>
      <c r="I1215" s="10">
        <v>12.887904617750319</v>
      </c>
      <c r="J1215" s="7">
        <v>1.0026051021117839E-2</v>
      </c>
      <c r="K1215" s="5">
        <v>0.16164606567768949</v>
      </c>
      <c r="L1215">
        <v>174.89080362954829</v>
      </c>
      <c r="M1215" s="10">
        <v>-0.70376393016971361</v>
      </c>
      <c r="N1215" s="24" t="s">
        <v>343</v>
      </c>
      <c r="O1215" s="24">
        <v>8.7741641898171814</v>
      </c>
      <c r="P1215">
        <v>15.160614165026301</v>
      </c>
      <c r="Q1215" t="s">
        <v>348</v>
      </c>
      <c r="R1215" t="s">
        <v>371</v>
      </c>
      <c r="S1215" t="s">
        <v>343</v>
      </c>
      <c r="T1215" t="s">
        <v>343</v>
      </c>
    </row>
    <row r="1216" spans="2:20" x14ac:dyDescent="0.25">
      <c r="B1216">
        <v>1211</v>
      </c>
      <c r="C1216" t="s">
        <v>1555</v>
      </c>
      <c r="D1216" s="10">
        <v>0.16731872541000209</v>
      </c>
      <c r="E1216" s="10">
        <v>0.46339966666097898</v>
      </c>
      <c r="F1216" s="10">
        <v>0.59708990719335264</v>
      </c>
      <c r="G1216" s="10">
        <v>0.27272155327812392</v>
      </c>
      <c r="H1216" s="6">
        <v>0.17818589943571519</v>
      </c>
      <c r="I1216" s="10">
        <v>7.5963296105002671</v>
      </c>
      <c r="J1216" s="7">
        <v>1.6647630902494121E-2</v>
      </c>
      <c r="K1216" s="5">
        <v>0.16077128909318891</v>
      </c>
      <c r="L1216">
        <v>57.422209044243147</v>
      </c>
      <c r="M1216" s="10">
        <v>-0.9027362835825764</v>
      </c>
      <c r="N1216" s="24" t="s">
        <v>343</v>
      </c>
      <c r="O1216" s="24">
        <v>0</v>
      </c>
      <c r="P1216">
        <v>65.97068666367386</v>
      </c>
      <c r="Q1216" t="s">
        <v>47</v>
      </c>
      <c r="R1216" t="s">
        <v>350</v>
      </c>
      <c r="S1216" t="s">
        <v>343</v>
      </c>
      <c r="T1216" t="s">
        <v>343</v>
      </c>
    </row>
    <row r="1217" spans="2:20" x14ac:dyDescent="0.25">
      <c r="B1217">
        <v>1212</v>
      </c>
      <c r="C1217" t="s">
        <v>1556</v>
      </c>
      <c r="D1217" s="10">
        <v>0.29944588898438018</v>
      </c>
      <c r="E1217" s="10">
        <v>0.30481104701107747</v>
      </c>
      <c r="F1217" s="10">
        <v>0.69119024384811623</v>
      </c>
      <c r="G1217" s="10">
        <v>0.40808032032612518</v>
      </c>
      <c r="H1217" s="6">
        <v>0.23012682238575219</v>
      </c>
      <c r="I1217" s="10">
        <v>10.183278085127419</v>
      </c>
      <c r="J1217" s="7">
        <v>1.614775070668609E-2</v>
      </c>
      <c r="K1217" s="5">
        <v>0.18483835734201159</v>
      </c>
      <c r="L1217">
        <v>105.2689750848424</v>
      </c>
      <c r="M1217" s="10">
        <v>-0.82169178248931463</v>
      </c>
      <c r="N1217" s="24" t="s">
        <v>343</v>
      </c>
      <c r="O1217" s="24">
        <v>1.6984930506411191</v>
      </c>
      <c r="P1217">
        <v>48.654395883313171</v>
      </c>
      <c r="Q1217" t="s">
        <v>346</v>
      </c>
      <c r="R1217" t="s">
        <v>347</v>
      </c>
      <c r="S1217" t="s">
        <v>343</v>
      </c>
      <c r="T1217" t="s">
        <v>343</v>
      </c>
    </row>
    <row r="1218" spans="2:20" x14ac:dyDescent="0.25">
      <c r="B1218">
        <v>1213</v>
      </c>
      <c r="C1218" t="s">
        <v>1557</v>
      </c>
      <c r="D1218" s="10">
        <v>0.31575823506838352</v>
      </c>
      <c r="E1218" s="10">
        <v>1.367258568670823</v>
      </c>
      <c r="F1218" s="10">
        <v>0.57070754032822824</v>
      </c>
      <c r="G1218" s="10">
        <v>0.37923489800449078</v>
      </c>
      <c r="H1218" s="6">
        <v>0.17116991289935751</v>
      </c>
      <c r="I1218" s="10">
        <v>13.901733266842051</v>
      </c>
      <c r="J1218" s="7">
        <v>1.8867139707598089E-2</v>
      </c>
      <c r="K1218" s="5">
        <v>0.1221682742204639</v>
      </c>
      <c r="L1218">
        <v>555.31739287683524</v>
      </c>
      <c r="M1218" s="10">
        <v>-5.9384264008029521E-2</v>
      </c>
      <c r="N1218" s="24" t="s">
        <v>343</v>
      </c>
      <c r="O1218" s="24">
        <v>75.43397967694878</v>
      </c>
      <c r="P1218">
        <v>48.567136838130587</v>
      </c>
      <c r="Q1218" t="s">
        <v>346</v>
      </c>
      <c r="R1218" t="s">
        <v>347</v>
      </c>
      <c r="S1218" t="s">
        <v>343</v>
      </c>
      <c r="T1218" t="s">
        <v>343</v>
      </c>
    </row>
    <row r="1219" spans="2:20" x14ac:dyDescent="0.25">
      <c r="B1219">
        <v>1214</v>
      </c>
      <c r="C1219" t="s">
        <v>1558</v>
      </c>
      <c r="D1219" s="10">
        <v>0.31502045684571067</v>
      </c>
      <c r="E1219" s="10">
        <v>1.337849152674319</v>
      </c>
      <c r="F1219" s="10">
        <v>0.45339395874421928</v>
      </c>
      <c r="G1219" s="10">
        <v>0.41971712819983731</v>
      </c>
      <c r="H1219" s="6">
        <v>0.1421695592062891</v>
      </c>
      <c r="I1219" s="10">
        <v>9.104432147679546</v>
      </c>
      <c r="J1219" s="7">
        <v>1.5812832411863029E-2</v>
      </c>
      <c r="K1219" s="5">
        <v>0.13500276112363949</v>
      </c>
      <c r="L1219">
        <v>308.80353418138958</v>
      </c>
      <c r="M1219" s="10">
        <v>-0.47693793260069528</v>
      </c>
      <c r="N1219" s="24" t="s">
        <v>343</v>
      </c>
      <c r="O1219" s="24">
        <v>22.383724043958281</v>
      </c>
      <c r="P1219">
        <v>46.005063415215737</v>
      </c>
      <c r="Q1219" t="s">
        <v>346</v>
      </c>
      <c r="R1219" t="s">
        <v>347</v>
      </c>
      <c r="S1219" t="s">
        <v>343</v>
      </c>
      <c r="T1219" t="s">
        <v>343</v>
      </c>
    </row>
    <row r="1220" spans="2:20" x14ac:dyDescent="0.25">
      <c r="B1220">
        <v>1215</v>
      </c>
      <c r="C1220" t="s">
        <v>1559</v>
      </c>
      <c r="D1220" s="10">
        <v>0.27994429307886798</v>
      </c>
      <c r="E1220" s="10">
        <v>0.8320154170937486</v>
      </c>
      <c r="F1220" s="10">
        <v>0.49751685058013861</v>
      </c>
      <c r="G1220" s="10">
        <v>0.24631082620076639</v>
      </c>
      <c r="H1220" s="6">
        <v>0.2320661112875326</v>
      </c>
      <c r="I1220" s="10">
        <v>4.0658856059016921</v>
      </c>
      <c r="J1220" s="7">
        <v>1.6829486340736902E-2</v>
      </c>
      <c r="K1220" s="5">
        <v>0.10789140841604369</v>
      </c>
      <c r="L1220">
        <v>92.676386928226819</v>
      </c>
      <c r="M1220" s="10">
        <v>-0.84302154224277126</v>
      </c>
      <c r="N1220" s="24" t="s">
        <v>343</v>
      </c>
      <c r="O1220" s="24">
        <v>0.41870746543372661</v>
      </c>
      <c r="P1220">
        <v>57.373700363183033</v>
      </c>
      <c r="Q1220" t="s">
        <v>47</v>
      </c>
      <c r="R1220" t="s">
        <v>350</v>
      </c>
      <c r="S1220" t="s">
        <v>343</v>
      </c>
      <c r="T1220" t="s">
        <v>343</v>
      </c>
    </row>
    <row r="1221" spans="2:20" x14ac:dyDescent="0.25">
      <c r="B1221">
        <v>1216</v>
      </c>
      <c r="C1221" t="s">
        <v>1560</v>
      </c>
      <c r="D1221" s="10">
        <v>0.18081379842090109</v>
      </c>
      <c r="E1221" s="10">
        <v>1.3945569286025059</v>
      </c>
      <c r="F1221" s="10">
        <v>0.50364615566810034</v>
      </c>
      <c r="G1221" s="10">
        <v>0.25718882944659233</v>
      </c>
      <c r="H1221" s="6">
        <v>0.1887023427367657</v>
      </c>
      <c r="I1221" s="10">
        <v>12.39005114883453</v>
      </c>
      <c r="J1221" s="7">
        <v>4.443581263373992E-2</v>
      </c>
      <c r="K1221" s="5">
        <v>0.16898139779307511</v>
      </c>
      <c r="L1221">
        <v>142.8529708268872</v>
      </c>
      <c r="M1221" s="10">
        <v>-0.75803071537726163</v>
      </c>
      <c r="N1221" s="24" t="s">
        <v>343</v>
      </c>
      <c r="O1221" s="24">
        <v>5.5181570773643003</v>
      </c>
      <c r="P1221">
        <v>13.678884680671491</v>
      </c>
      <c r="Q1221" t="s">
        <v>348</v>
      </c>
      <c r="R1221" t="s">
        <v>353</v>
      </c>
      <c r="S1221" t="s">
        <v>343</v>
      </c>
      <c r="T1221" t="s">
        <v>343</v>
      </c>
    </row>
    <row r="1222" spans="2:20" x14ac:dyDescent="0.25">
      <c r="B1222">
        <v>1217</v>
      </c>
      <c r="C1222" t="s">
        <v>1561</v>
      </c>
      <c r="D1222" s="10">
        <v>0.2813221113486436</v>
      </c>
      <c r="E1222" s="10">
        <v>1.041019763860467</v>
      </c>
      <c r="F1222" s="10">
        <v>0.52784285357560701</v>
      </c>
      <c r="G1222" s="10">
        <v>0.25533307150521212</v>
      </c>
      <c r="H1222" s="6">
        <v>0.13151680855296999</v>
      </c>
      <c r="I1222" s="10">
        <v>4.4756677601292898</v>
      </c>
      <c r="J1222" s="7">
        <v>3.081555907041145E-2</v>
      </c>
      <c r="K1222" s="5">
        <v>0.18016739210346311</v>
      </c>
      <c r="L1222">
        <v>140.39457591384141</v>
      </c>
      <c r="M1222" s="10">
        <v>-0.7621948293959383</v>
      </c>
      <c r="N1222" s="24" t="s">
        <v>343</v>
      </c>
      <c r="O1222" s="24">
        <v>5.2683102362437069</v>
      </c>
      <c r="P1222">
        <v>58.173837415489047</v>
      </c>
      <c r="Q1222" t="s">
        <v>47</v>
      </c>
      <c r="R1222" t="s">
        <v>350</v>
      </c>
      <c r="S1222" t="s">
        <v>343</v>
      </c>
      <c r="T1222" t="s">
        <v>343</v>
      </c>
    </row>
    <row r="1223" spans="2:20" x14ac:dyDescent="0.25">
      <c r="B1223">
        <v>1218</v>
      </c>
      <c r="C1223" t="s">
        <v>1562</v>
      </c>
      <c r="D1223" s="10">
        <v>0.16393390663340821</v>
      </c>
      <c r="E1223" s="10">
        <v>0.37574329136829571</v>
      </c>
      <c r="F1223" s="10">
        <v>0.45133687973241532</v>
      </c>
      <c r="G1223" s="10">
        <v>0.37045108020940332</v>
      </c>
      <c r="H1223" s="6">
        <v>0.23850784027380911</v>
      </c>
      <c r="I1223" s="10">
        <v>5.8299882116655928</v>
      </c>
      <c r="J1223" s="7">
        <v>3.6694260769861882E-2</v>
      </c>
      <c r="K1223" s="5">
        <v>0.1385541828450213</v>
      </c>
      <c r="L1223">
        <v>95.002812128640215</v>
      </c>
      <c r="M1223" s="10">
        <v>-0.83908096307095603</v>
      </c>
      <c r="N1223" s="24" t="s">
        <v>343</v>
      </c>
      <c r="O1223" s="24">
        <v>0.65514221574264297</v>
      </c>
      <c r="P1223">
        <v>64.320950365763721</v>
      </c>
      <c r="Q1223" t="s">
        <v>47</v>
      </c>
      <c r="R1223" t="s">
        <v>350</v>
      </c>
      <c r="S1223" t="s">
        <v>343</v>
      </c>
      <c r="T1223" t="s">
        <v>343</v>
      </c>
    </row>
    <row r="1224" spans="2:20" x14ac:dyDescent="0.25">
      <c r="B1224">
        <v>1219</v>
      </c>
      <c r="C1224" t="s">
        <v>1563</v>
      </c>
      <c r="D1224" s="10">
        <v>0.16353976824463959</v>
      </c>
      <c r="E1224" s="10">
        <v>0.42949001899089012</v>
      </c>
      <c r="F1224" s="10">
        <v>0.67527210212945821</v>
      </c>
      <c r="G1224" s="10">
        <v>0.37264593486661829</v>
      </c>
      <c r="H1224" s="6">
        <v>0.20779668959253439</v>
      </c>
      <c r="I1224" s="10">
        <v>12.6086688836516</v>
      </c>
      <c r="J1224" s="7">
        <v>3.8677018197824098E-2</v>
      </c>
      <c r="K1224" s="5">
        <v>0.13389854775448459</v>
      </c>
      <c r="L1224">
        <v>238.1513922981799</v>
      </c>
      <c r="M1224" s="10">
        <v>-0.59661096515709489</v>
      </c>
      <c r="N1224" s="24" t="s">
        <v>343</v>
      </c>
      <c r="O1224" s="24">
        <v>15.20334209057431</v>
      </c>
      <c r="P1224">
        <v>62.025612216406302</v>
      </c>
      <c r="Q1224" t="s">
        <v>47</v>
      </c>
      <c r="R1224" t="s">
        <v>350</v>
      </c>
      <c r="S1224" t="s">
        <v>343</v>
      </c>
      <c r="T1224" t="s">
        <v>343</v>
      </c>
    </row>
    <row r="1225" spans="2:20" x14ac:dyDescent="0.25">
      <c r="B1225">
        <v>1220</v>
      </c>
      <c r="C1225" t="s">
        <v>1564</v>
      </c>
      <c r="D1225" s="10">
        <v>0.21177763506392661</v>
      </c>
      <c r="E1225" s="10">
        <v>1.3077219282566011</v>
      </c>
      <c r="F1225" s="10">
        <v>0.57404662562758868</v>
      </c>
      <c r="G1225" s="10">
        <v>0.43934307565809477</v>
      </c>
      <c r="H1225" s="6">
        <v>0.19340539879031771</v>
      </c>
      <c r="I1225" s="10">
        <v>5.8163213302118004</v>
      </c>
      <c r="J1225" s="7">
        <v>3.3368820909908073E-2</v>
      </c>
      <c r="K1225" s="5">
        <v>0.1625719263063701</v>
      </c>
      <c r="L1225">
        <v>320.57922009259761</v>
      </c>
      <c r="M1225" s="10">
        <v>-0.45699187002051989</v>
      </c>
      <c r="N1225" s="24" t="s">
        <v>343</v>
      </c>
      <c r="O1225" s="24">
        <v>23.5804877987688</v>
      </c>
      <c r="P1225">
        <v>23.420875008870691</v>
      </c>
      <c r="Q1225" t="s">
        <v>348</v>
      </c>
      <c r="R1225" t="s">
        <v>375</v>
      </c>
      <c r="S1225" t="s">
        <v>343</v>
      </c>
      <c r="T1225" t="s">
        <v>343</v>
      </c>
    </row>
    <row r="1226" spans="2:20" x14ac:dyDescent="0.25">
      <c r="B1226">
        <v>1221</v>
      </c>
      <c r="C1226" t="s">
        <v>1565</v>
      </c>
      <c r="D1226" s="10">
        <v>0.23818291046474649</v>
      </c>
      <c r="E1226" s="10">
        <v>0.99305742236459116</v>
      </c>
      <c r="F1226" s="10">
        <v>0.61444200616806832</v>
      </c>
      <c r="G1226" s="10">
        <v>0.3428727731940579</v>
      </c>
      <c r="H1226" s="6">
        <v>0.221001475072092</v>
      </c>
      <c r="I1226" s="10">
        <v>11.19594523718024</v>
      </c>
      <c r="J1226" s="7">
        <v>3.4642809450953507E-2</v>
      </c>
      <c r="K1226" s="5">
        <v>0.107181093774987</v>
      </c>
      <c r="L1226">
        <v>279.39346142601238</v>
      </c>
      <c r="M1226" s="10">
        <v>-0.52675372728896297</v>
      </c>
      <c r="N1226" s="24" t="s">
        <v>343</v>
      </c>
      <c r="O1226" s="24">
        <v>19.39477636266222</v>
      </c>
      <c r="P1226">
        <v>18.577133535071731</v>
      </c>
      <c r="Q1226" t="s">
        <v>348</v>
      </c>
      <c r="R1226" t="s">
        <v>375</v>
      </c>
      <c r="S1226" t="s">
        <v>343</v>
      </c>
      <c r="T1226" t="s">
        <v>343</v>
      </c>
    </row>
    <row r="1227" spans="2:20" x14ac:dyDescent="0.25">
      <c r="B1227">
        <v>1222</v>
      </c>
      <c r="C1227" t="s">
        <v>1566</v>
      </c>
      <c r="D1227" s="10">
        <v>0.28326518684924701</v>
      </c>
      <c r="E1227" s="10">
        <v>1.2275019893230861</v>
      </c>
      <c r="F1227" s="10">
        <v>0.45746493759270229</v>
      </c>
      <c r="G1227" s="10">
        <v>0.25497079210109208</v>
      </c>
      <c r="H1227" s="6">
        <v>0.19580515242305499</v>
      </c>
      <c r="I1227" s="10">
        <v>7.9244104663474921</v>
      </c>
      <c r="J1227" s="7">
        <v>3.2129920558734953E-2</v>
      </c>
      <c r="K1227" s="5">
        <v>0.1279149801329498</v>
      </c>
      <c r="L1227">
        <v>265.52359558480782</v>
      </c>
      <c r="M1227" s="10">
        <v>-0.55024698399887495</v>
      </c>
      <c r="N1227" s="24" t="s">
        <v>343</v>
      </c>
      <c r="O1227" s="24">
        <v>17.985180960067499</v>
      </c>
      <c r="P1227">
        <v>56.408839353419083</v>
      </c>
      <c r="Q1227" t="s">
        <v>47</v>
      </c>
      <c r="R1227" t="s">
        <v>350</v>
      </c>
      <c r="S1227" t="s">
        <v>343</v>
      </c>
      <c r="T1227" t="s">
        <v>343</v>
      </c>
    </row>
    <row r="1228" spans="2:20" x14ac:dyDescent="0.25">
      <c r="B1228">
        <v>1223</v>
      </c>
      <c r="C1228" t="s">
        <v>1567</v>
      </c>
      <c r="D1228" s="10">
        <v>0.26932726025704079</v>
      </c>
      <c r="E1228" s="10">
        <v>1.288096614597229</v>
      </c>
      <c r="F1228" s="10">
        <v>0.45407002162894877</v>
      </c>
      <c r="G1228" s="10">
        <v>0.2860964683569534</v>
      </c>
      <c r="H1228" s="6">
        <v>0.2172630221982749</v>
      </c>
      <c r="I1228" s="10">
        <v>11.357238401955501</v>
      </c>
      <c r="J1228" s="7">
        <v>3.2728071731620421E-2</v>
      </c>
      <c r="K1228" s="5">
        <v>0.13479021586084239</v>
      </c>
      <c r="L1228">
        <v>192.60761255010621</v>
      </c>
      <c r="M1228" s="10">
        <v>-0.67375458870841376</v>
      </c>
      <c r="N1228" s="24" t="s">
        <v>343</v>
      </c>
      <c r="O1228" s="24">
        <v>10.57472467749518</v>
      </c>
      <c r="P1228">
        <v>18.789299935753181</v>
      </c>
      <c r="Q1228" t="s">
        <v>348</v>
      </c>
      <c r="R1228" t="s">
        <v>371</v>
      </c>
      <c r="S1228" t="s">
        <v>343</v>
      </c>
      <c r="T1228" t="s">
        <v>343</v>
      </c>
    </row>
    <row r="1229" spans="2:20" x14ac:dyDescent="0.25">
      <c r="B1229">
        <v>1224</v>
      </c>
      <c r="C1229" t="s">
        <v>1568</v>
      </c>
      <c r="D1229" s="10">
        <v>0.23134443302027971</v>
      </c>
      <c r="E1229" s="10">
        <v>0.79273621241062464</v>
      </c>
      <c r="F1229" s="10">
        <v>0.59248162073054222</v>
      </c>
      <c r="G1229" s="10">
        <v>0.24177608085992541</v>
      </c>
      <c r="H1229" s="6">
        <v>0.25012328180479831</v>
      </c>
      <c r="I1229" s="10">
        <v>5.5558746954310632</v>
      </c>
      <c r="J1229" s="7">
        <v>4.2495737023315813E-2</v>
      </c>
      <c r="K1229" s="5">
        <v>0.14926607698292141</v>
      </c>
      <c r="L1229">
        <v>83.661655059920847</v>
      </c>
      <c r="M1229" s="10">
        <v>-0.85829100572409522</v>
      </c>
      <c r="N1229" s="24" t="s">
        <v>343</v>
      </c>
      <c r="O1229" s="24">
        <v>0</v>
      </c>
      <c r="P1229">
        <v>56.306078255518017</v>
      </c>
      <c r="Q1229" t="s">
        <v>47</v>
      </c>
      <c r="R1229" t="s">
        <v>350</v>
      </c>
      <c r="S1229" t="s">
        <v>343</v>
      </c>
      <c r="T1229" t="s">
        <v>343</v>
      </c>
    </row>
    <row r="1230" spans="2:20" x14ac:dyDescent="0.25">
      <c r="B1230">
        <v>1225</v>
      </c>
      <c r="C1230" t="s">
        <v>1569</v>
      </c>
      <c r="D1230" s="10">
        <v>0.20378026660506651</v>
      </c>
      <c r="E1230" s="10">
        <v>0.35337854673436231</v>
      </c>
      <c r="F1230" s="10">
        <v>0.67069696273109403</v>
      </c>
      <c r="G1230" s="10">
        <v>0.41087719552824908</v>
      </c>
      <c r="H1230" s="6">
        <v>0.21202715521666879</v>
      </c>
      <c r="I1230" s="10">
        <v>7.615220774547919</v>
      </c>
      <c r="J1230" s="7">
        <v>1.6500846585641719E-2</v>
      </c>
      <c r="K1230" s="5">
        <v>0.1452740758495559</v>
      </c>
      <c r="L1230">
        <v>155.3312035081581</v>
      </c>
      <c r="M1230" s="10">
        <v>-0.73689465486857175</v>
      </c>
      <c r="N1230" s="24" t="s">
        <v>343</v>
      </c>
      <c r="O1230" s="24">
        <v>6.7863207078856931</v>
      </c>
      <c r="P1230">
        <v>56.664981537644103</v>
      </c>
      <c r="Q1230" t="s">
        <v>47</v>
      </c>
      <c r="R1230" t="s">
        <v>350</v>
      </c>
      <c r="S1230" t="s">
        <v>343</v>
      </c>
      <c r="T1230" t="s">
        <v>343</v>
      </c>
    </row>
    <row r="1231" spans="2:20" x14ac:dyDescent="0.25">
      <c r="B1231">
        <v>1226</v>
      </c>
      <c r="C1231" t="s">
        <v>1570</v>
      </c>
      <c r="D1231" s="10">
        <v>0.31953992002523379</v>
      </c>
      <c r="E1231" s="10">
        <v>0.50710838378705425</v>
      </c>
      <c r="F1231" s="10">
        <v>0.57740532024948221</v>
      </c>
      <c r="G1231" s="10">
        <v>0.41943187611377042</v>
      </c>
      <c r="H1231" s="6">
        <v>0.21894007467814119</v>
      </c>
      <c r="I1231" s="10">
        <v>6.4997747245072706</v>
      </c>
      <c r="J1231" s="7">
        <v>1.9615551253919419E-2</v>
      </c>
      <c r="K1231" s="5">
        <v>0.1198246401635896</v>
      </c>
      <c r="L1231">
        <v>106.25357753761</v>
      </c>
      <c r="M1231" s="10">
        <v>-0.82002402892594861</v>
      </c>
      <c r="N1231" s="24" t="s">
        <v>343</v>
      </c>
      <c r="O1231" s="24">
        <v>1.7985582644430811</v>
      </c>
      <c r="P1231">
        <v>54.064274539129222</v>
      </c>
      <c r="Q1231" t="s">
        <v>47</v>
      </c>
      <c r="R1231" t="s">
        <v>350</v>
      </c>
      <c r="S1231" t="s">
        <v>343</v>
      </c>
      <c r="T1231" t="s">
        <v>343</v>
      </c>
    </row>
    <row r="1232" spans="2:20" x14ac:dyDescent="0.25">
      <c r="B1232">
        <v>1227</v>
      </c>
      <c r="C1232" t="s">
        <v>1571</v>
      </c>
      <c r="D1232" s="10">
        <v>0.22818900835775571</v>
      </c>
      <c r="E1232" s="10">
        <v>0.3732291420326786</v>
      </c>
      <c r="F1232" s="10">
        <v>0.66823298486821858</v>
      </c>
      <c r="G1232" s="10">
        <v>0.45954689158250989</v>
      </c>
      <c r="H1232" s="6">
        <v>0.21207841041310119</v>
      </c>
      <c r="I1232" s="10">
        <v>5.7394844618023821</v>
      </c>
      <c r="J1232" s="7">
        <v>1.326404920865581E-2</v>
      </c>
      <c r="K1232" s="5">
        <v>0.15137484801701659</v>
      </c>
      <c r="L1232">
        <v>103.2757078593974</v>
      </c>
      <c r="M1232" s="10">
        <v>-0.82506804720268467</v>
      </c>
      <c r="N1232" s="24" t="s">
        <v>343</v>
      </c>
      <c r="O1232" s="24">
        <v>1.4959171678389249</v>
      </c>
      <c r="P1232">
        <v>24.100534079169609</v>
      </c>
      <c r="Q1232" t="s">
        <v>348</v>
      </c>
      <c r="R1232" t="s">
        <v>351</v>
      </c>
      <c r="S1232" t="s">
        <v>343</v>
      </c>
      <c r="T1232" t="s">
        <v>343</v>
      </c>
    </row>
    <row r="1233" spans="2:20" x14ac:dyDescent="0.25">
      <c r="B1233">
        <v>1228</v>
      </c>
      <c r="C1233" t="s">
        <v>1572</v>
      </c>
      <c r="D1233" s="10">
        <v>0.23222192389274809</v>
      </c>
      <c r="E1233" s="10">
        <v>0.50761383026835805</v>
      </c>
      <c r="F1233" s="10">
        <v>0.65085773099436217</v>
      </c>
      <c r="G1233" s="10">
        <v>0.33068277879168068</v>
      </c>
      <c r="H1233" s="6">
        <v>0.19967696664499451</v>
      </c>
      <c r="I1233" s="10">
        <v>6.4587285231364362</v>
      </c>
      <c r="J1233" s="7">
        <v>3.9306356203749518E-2</v>
      </c>
      <c r="K1233" s="5">
        <v>0.18795752563424309</v>
      </c>
      <c r="L1233">
        <v>78.491503736788104</v>
      </c>
      <c r="M1233" s="10">
        <v>-0.86704838619583735</v>
      </c>
      <c r="N1233" s="24" t="s">
        <v>343</v>
      </c>
      <c r="O1233" s="24">
        <v>0</v>
      </c>
      <c r="P1233">
        <v>56.166362738235748</v>
      </c>
      <c r="Q1233" t="s">
        <v>47</v>
      </c>
      <c r="R1233" t="s">
        <v>350</v>
      </c>
      <c r="S1233" t="s">
        <v>343</v>
      </c>
      <c r="T1233" t="s">
        <v>343</v>
      </c>
    </row>
    <row r="1234" spans="2:20" x14ac:dyDescent="0.25">
      <c r="B1234">
        <v>1229</v>
      </c>
      <c r="C1234" t="s">
        <v>1573</v>
      </c>
      <c r="D1234" s="10">
        <v>0.18617981139066711</v>
      </c>
      <c r="E1234" s="10">
        <v>0.75158621910146439</v>
      </c>
      <c r="F1234" s="10">
        <v>0.45972198430667938</v>
      </c>
      <c r="G1234" s="10">
        <v>0.24424564258835041</v>
      </c>
      <c r="H1234" s="6">
        <v>0.14579586164632069</v>
      </c>
      <c r="I1234" s="10">
        <v>6.5529141878831902</v>
      </c>
      <c r="J1234" s="7">
        <v>2.57064363269747E-2</v>
      </c>
      <c r="K1234" s="5">
        <v>0.10257334957822729</v>
      </c>
      <c r="L1234">
        <v>169.80463956775711</v>
      </c>
      <c r="M1234" s="10">
        <v>-0.7123790501240399</v>
      </c>
      <c r="N1234" s="24" t="s">
        <v>343</v>
      </c>
      <c r="O1234" s="24">
        <v>8.257256992557604</v>
      </c>
      <c r="P1234">
        <v>65.967669649748871</v>
      </c>
      <c r="Q1234" t="s">
        <v>47</v>
      </c>
      <c r="R1234" t="s">
        <v>350</v>
      </c>
      <c r="S1234" t="s">
        <v>343</v>
      </c>
      <c r="T1234" t="s">
        <v>343</v>
      </c>
    </row>
    <row r="1235" spans="2:20" x14ac:dyDescent="0.25">
      <c r="B1235">
        <v>1230</v>
      </c>
      <c r="C1235" t="s">
        <v>1574</v>
      </c>
      <c r="D1235" s="10">
        <v>0.28716952779998872</v>
      </c>
      <c r="E1235" s="10">
        <v>0.43001649156648392</v>
      </c>
      <c r="F1235" s="10">
        <v>0.49250894334027939</v>
      </c>
      <c r="G1235" s="10">
        <v>0.2916405739278819</v>
      </c>
      <c r="H1235" s="6">
        <v>0.17035164653382981</v>
      </c>
      <c r="I1235" s="10">
        <v>13.5091601302196</v>
      </c>
      <c r="J1235" s="7">
        <v>4.1748659619163353E-2</v>
      </c>
      <c r="K1235" s="5">
        <v>0.1646291243784439</v>
      </c>
      <c r="L1235">
        <v>141.43492491563629</v>
      </c>
      <c r="M1235" s="10">
        <v>-0.76043265040683405</v>
      </c>
      <c r="N1235" s="24" t="s">
        <v>343</v>
      </c>
      <c r="O1235" s="24">
        <v>5.3740409755899634</v>
      </c>
      <c r="P1235">
        <v>16.65966676709067</v>
      </c>
      <c r="Q1235" t="s">
        <v>348</v>
      </c>
      <c r="R1235" t="s">
        <v>371</v>
      </c>
      <c r="S1235" t="s">
        <v>343</v>
      </c>
      <c r="T1235" t="s">
        <v>343</v>
      </c>
    </row>
    <row r="1236" spans="2:20" x14ac:dyDescent="0.25">
      <c r="B1236">
        <v>1231</v>
      </c>
      <c r="C1236" t="s">
        <v>1575</v>
      </c>
      <c r="D1236" s="10">
        <v>0.27098915612503821</v>
      </c>
      <c r="E1236" s="10">
        <v>0.48340657258587749</v>
      </c>
      <c r="F1236" s="10">
        <v>0.61100477398038899</v>
      </c>
      <c r="G1236" s="10">
        <v>0.36930915088592509</v>
      </c>
      <c r="H1236" s="6">
        <v>0.22396634510371841</v>
      </c>
      <c r="I1236" s="10">
        <v>8.8655336587551332</v>
      </c>
      <c r="J1236" s="7">
        <v>2.440864996362303E-2</v>
      </c>
      <c r="K1236" s="5">
        <v>0.15934735758991939</v>
      </c>
      <c r="L1236">
        <v>142.22039541829551</v>
      </c>
      <c r="M1236" s="10">
        <v>-0.75910219340254081</v>
      </c>
      <c r="N1236" s="24" t="s">
        <v>343</v>
      </c>
      <c r="O1236" s="24">
        <v>5.4538683958475502</v>
      </c>
      <c r="P1236">
        <v>58.00314046390222</v>
      </c>
      <c r="Q1236" t="s">
        <v>47</v>
      </c>
      <c r="R1236" t="s">
        <v>350</v>
      </c>
      <c r="S1236" t="s">
        <v>343</v>
      </c>
      <c r="T1236" t="s">
        <v>343</v>
      </c>
    </row>
    <row r="1237" spans="2:20" x14ac:dyDescent="0.25">
      <c r="B1237">
        <v>1232</v>
      </c>
      <c r="C1237" t="s">
        <v>1576</v>
      </c>
      <c r="D1237" s="10">
        <v>0.19532313804620169</v>
      </c>
      <c r="E1237" s="10">
        <v>0.79040396027884707</v>
      </c>
      <c r="F1237" s="10">
        <v>0.55531035946301077</v>
      </c>
      <c r="G1237" s="10">
        <v>0.45162745275160199</v>
      </c>
      <c r="H1237" s="6">
        <v>0.18382141600526661</v>
      </c>
      <c r="I1237" s="10">
        <v>8.0825740716028562</v>
      </c>
      <c r="J1237" s="7">
        <v>2.5491495532852858E-2</v>
      </c>
      <c r="K1237" s="5">
        <v>0.18782056069760791</v>
      </c>
      <c r="L1237">
        <v>189.72874804922091</v>
      </c>
      <c r="M1237" s="10">
        <v>-0.67863090860412789</v>
      </c>
      <c r="N1237" s="24" t="s">
        <v>343</v>
      </c>
      <c r="O1237" s="24">
        <v>10.282145483752331</v>
      </c>
      <c r="P1237">
        <v>65.319306843574836</v>
      </c>
      <c r="Q1237" t="s">
        <v>47</v>
      </c>
      <c r="R1237" t="s">
        <v>350</v>
      </c>
      <c r="S1237" t="s">
        <v>343</v>
      </c>
      <c r="T1237" t="s">
        <v>343</v>
      </c>
    </row>
    <row r="1238" spans="2:20" x14ac:dyDescent="0.25">
      <c r="B1238">
        <v>1233</v>
      </c>
      <c r="C1238" t="s">
        <v>1577</v>
      </c>
      <c r="D1238" s="10">
        <v>0.1731809672985348</v>
      </c>
      <c r="E1238" s="10">
        <v>0.67418804542733846</v>
      </c>
      <c r="F1238" s="10">
        <v>0.5155819515481993</v>
      </c>
      <c r="G1238" s="10">
        <v>0.26278728132357482</v>
      </c>
      <c r="H1238" s="6">
        <v>0.1809193517866535</v>
      </c>
      <c r="I1238" s="10">
        <v>8.5365042689387085</v>
      </c>
      <c r="J1238" s="7">
        <v>2.5692477545065411E-2</v>
      </c>
      <c r="K1238" s="5">
        <v>0.1613077693386728</v>
      </c>
      <c r="L1238">
        <v>163.04145439885181</v>
      </c>
      <c r="M1238" s="10">
        <v>-0.72383476621883669</v>
      </c>
      <c r="N1238" s="24" t="s">
        <v>343</v>
      </c>
      <c r="O1238" s="24">
        <v>7.569914026869796</v>
      </c>
      <c r="P1238">
        <v>64.876901638193161</v>
      </c>
      <c r="Q1238" t="s">
        <v>47</v>
      </c>
      <c r="R1238" t="s">
        <v>350</v>
      </c>
      <c r="S1238" t="s">
        <v>343</v>
      </c>
      <c r="T1238" t="s">
        <v>343</v>
      </c>
    </row>
    <row r="1239" spans="2:20" x14ac:dyDescent="0.25">
      <c r="B1239">
        <v>1234</v>
      </c>
      <c r="C1239" t="s">
        <v>1578</v>
      </c>
      <c r="D1239" s="10">
        <v>0.26887988833195409</v>
      </c>
      <c r="E1239" s="10">
        <v>0.81442393660684509</v>
      </c>
      <c r="F1239" s="10">
        <v>0.54884480257247459</v>
      </c>
      <c r="G1239" s="10">
        <v>0.26674606443536342</v>
      </c>
      <c r="H1239" s="6">
        <v>0.23389039261958369</v>
      </c>
      <c r="I1239" s="10">
        <v>13.957440736807611</v>
      </c>
      <c r="J1239" s="7">
        <v>3.1437258226335203E-2</v>
      </c>
      <c r="K1239" s="5">
        <v>0.15936005768569911</v>
      </c>
      <c r="L1239">
        <v>148.12035546418721</v>
      </c>
      <c r="M1239" s="10">
        <v>-0.74910863776737546</v>
      </c>
      <c r="N1239" s="24" t="s">
        <v>343</v>
      </c>
      <c r="O1239" s="24">
        <v>6.0534817339574687</v>
      </c>
      <c r="P1239">
        <v>49.290063840797593</v>
      </c>
      <c r="Q1239" t="s">
        <v>346</v>
      </c>
      <c r="R1239" t="s">
        <v>347</v>
      </c>
      <c r="S1239" t="s">
        <v>343</v>
      </c>
      <c r="T1239" t="s">
        <v>343</v>
      </c>
    </row>
    <row r="1240" spans="2:20" x14ac:dyDescent="0.25">
      <c r="B1240">
        <v>1235</v>
      </c>
      <c r="C1240" t="s">
        <v>1579</v>
      </c>
      <c r="D1240" s="10">
        <v>0.26472179428498172</v>
      </c>
      <c r="E1240" s="10">
        <v>0.77208923053496825</v>
      </c>
      <c r="F1240" s="10">
        <v>0.55575190803036489</v>
      </c>
      <c r="G1240" s="10">
        <v>0.39438697676136752</v>
      </c>
      <c r="H1240" s="6">
        <v>0.1208353290935492</v>
      </c>
      <c r="I1240" s="10">
        <v>10.189480153803791</v>
      </c>
      <c r="J1240" s="7">
        <v>3.6814344093805178E-2</v>
      </c>
      <c r="K1240" s="5">
        <v>0.17313153770933279</v>
      </c>
      <c r="L1240">
        <v>189.22221067954101</v>
      </c>
      <c r="M1240" s="10">
        <v>-0.67948889905589571</v>
      </c>
      <c r="N1240" s="24" t="s">
        <v>343</v>
      </c>
      <c r="O1240" s="24">
        <v>10.23066605664626</v>
      </c>
      <c r="P1240">
        <v>52.057534641257881</v>
      </c>
      <c r="Q1240" t="s">
        <v>47</v>
      </c>
      <c r="R1240" t="s">
        <v>350</v>
      </c>
      <c r="S1240" t="s">
        <v>343</v>
      </c>
      <c r="T1240" t="s">
        <v>343</v>
      </c>
    </row>
    <row r="1241" spans="2:20" x14ac:dyDescent="0.25">
      <c r="B1241">
        <v>1236</v>
      </c>
      <c r="C1241" t="s">
        <v>1580</v>
      </c>
      <c r="D1241" s="10">
        <v>0.20372152431971349</v>
      </c>
      <c r="E1241" s="10">
        <v>1.0089258285778719</v>
      </c>
      <c r="F1241" s="10">
        <v>0.676743585213615</v>
      </c>
      <c r="G1241" s="10">
        <v>0.38678555210474092</v>
      </c>
      <c r="H1241" s="6">
        <v>0.2218491720368008</v>
      </c>
      <c r="I1241" s="10">
        <v>10.738353056101669</v>
      </c>
      <c r="J1241" s="7">
        <v>2.2295229664102651E-2</v>
      </c>
      <c r="K1241" s="5">
        <v>0.12544156513786769</v>
      </c>
      <c r="L1241">
        <v>334.48273332523888</v>
      </c>
      <c r="M1241" s="10">
        <v>-0.43344162019952143</v>
      </c>
      <c r="N1241" s="24" t="s">
        <v>343</v>
      </c>
      <c r="O1241" s="24">
        <v>24.993502788028721</v>
      </c>
      <c r="P1241">
        <v>54.183529116987231</v>
      </c>
      <c r="Q1241" t="s">
        <v>47</v>
      </c>
      <c r="R1241" t="s">
        <v>350</v>
      </c>
      <c r="S1241" t="s">
        <v>343</v>
      </c>
      <c r="T1241" t="s">
        <v>343</v>
      </c>
    </row>
    <row r="1242" spans="2:20" x14ac:dyDescent="0.25">
      <c r="B1242">
        <v>1237</v>
      </c>
      <c r="C1242" t="s">
        <v>1581</v>
      </c>
      <c r="D1242" s="10">
        <v>0.31213816996006571</v>
      </c>
      <c r="E1242" s="10">
        <v>1.3309085037634401</v>
      </c>
      <c r="F1242" s="10">
        <v>0.46689915376328778</v>
      </c>
      <c r="G1242" s="10">
        <v>0.29511139816860332</v>
      </c>
      <c r="H1242" s="6">
        <v>0.19338397657350229</v>
      </c>
      <c r="I1242" s="10">
        <v>6.4498401249435702</v>
      </c>
      <c r="J1242" s="7">
        <v>3.2055790869781192E-2</v>
      </c>
      <c r="K1242" s="5">
        <v>0.1565945649310625</v>
      </c>
      <c r="L1242">
        <v>242.14231974314899</v>
      </c>
      <c r="M1242" s="10">
        <v>-0.58985099472560365</v>
      </c>
      <c r="N1242" s="24" t="s">
        <v>343</v>
      </c>
      <c r="O1242" s="24">
        <v>15.60894031646378</v>
      </c>
      <c r="P1242">
        <v>17.38167091233402</v>
      </c>
      <c r="Q1242" t="s">
        <v>348</v>
      </c>
      <c r="R1242" t="s">
        <v>353</v>
      </c>
      <c r="S1242" t="s">
        <v>343</v>
      </c>
      <c r="T1242" t="s">
        <v>343</v>
      </c>
    </row>
    <row r="1243" spans="2:20" x14ac:dyDescent="0.25">
      <c r="B1243">
        <v>1238</v>
      </c>
      <c r="C1243" t="s">
        <v>1582</v>
      </c>
      <c r="D1243" s="10">
        <v>0.18416926268494399</v>
      </c>
      <c r="E1243" s="10">
        <v>0.41865077228866671</v>
      </c>
      <c r="F1243" s="10">
        <v>0.51272999416997989</v>
      </c>
      <c r="G1243" s="10">
        <v>0.41889185402319418</v>
      </c>
      <c r="H1243" s="6">
        <v>0.17651438718695281</v>
      </c>
      <c r="I1243" s="10">
        <v>8.1869148096465647</v>
      </c>
      <c r="J1243" s="7">
        <v>1.7138860286492721E-2</v>
      </c>
      <c r="K1243" s="5">
        <v>0.1493450053893754</v>
      </c>
      <c r="L1243">
        <v>106.3578339043498</v>
      </c>
      <c r="M1243" s="10">
        <v>-0.81984743589934661</v>
      </c>
      <c r="N1243" s="24" t="s">
        <v>343</v>
      </c>
      <c r="O1243" s="24">
        <v>1.809153846039202</v>
      </c>
      <c r="P1243">
        <v>61.256201558068398</v>
      </c>
      <c r="Q1243" t="s">
        <v>47</v>
      </c>
      <c r="R1243" t="s">
        <v>350</v>
      </c>
      <c r="S1243" t="s">
        <v>343</v>
      </c>
      <c r="T1243" t="s">
        <v>343</v>
      </c>
    </row>
    <row r="1244" spans="2:20" x14ac:dyDescent="0.25">
      <c r="B1244">
        <v>1239</v>
      </c>
      <c r="C1244" t="s">
        <v>1583</v>
      </c>
      <c r="D1244" s="10">
        <v>0.2291735681668163</v>
      </c>
      <c r="E1244" s="10">
        <v>0.40918616424011439</v>
      </c>
      <c r="F1244" s="10">
        <v>0.5797668523115056</v>
      </c>
      <c r="G1244" s="10">
        <v>0.26833132620504191</v>
      </c>
      <c r="H1244" s="6">
        <v>0.17108049173603851</v>
      </c>
      <c r="I1244" s="10">
        <v>5.0247192844904811</v>
      </c>
      <c r="J1244" s="7">
        <v>2.9391648657550739E-2</v>
      </c>
      <c r="K1244" s="5">
        <v>0.14165488813222249</v>
      </c>
      <c r="L1244">
        <v>99.916272446512238</v>
      </c>
      <c r="M1244" s="10">
        <v>-0.83075837466935787</v>
      </c>
      <c r="N1244" s="24" t="s">
        <v>343</v>
      </c>
      <c r="O1244" s="24">
        <v>1.154497519838529</v>
      </c>
      <c r="P1244">
        <v>32.935483778685203</v>
      </c>
      <c r="Q1244" t="s">
        <v>348</v>
      </c>
      <c r="R1244" t="s">
        <v>353</v>
      </c>
      <c r="S1244" t="s">
        <v>343</v>
      </c>
      <c r="T1244" t="s">
        <v>343</v>
      </c>
    </row>
    <row r="1245" spans="2:20" x14ac:dyDescent="0.25">
      <c r="B1245">
        <v>1240</v>
      </c>
      <c r="C1245" t="s">
        <v>1584</v>
      </c>
      <c r="D1245" s="10">
        <v>0.31097854722681578</v>
      </c>
      <c r="E1245" s="10">
        <v>1.2380867221999921</v>
      </c>
      <c r="F1245" s="10">
        <v>0.62155460092395387</v>
      </c>
      <c r="G1245" s="10">
        <v>0.44366320585088709</v>
      </c>
      <c r="H1245" s="6">
        <v>0.1459313242972754</v>
      </c>
      <c r="I1245" s="10">
        <v>10.53708401259733</v>
      </c>
      <c r="J1245" s="7">
        <v>2.9130471494528801E-2</v>
      </c>
      <c r="K1245" s="5">
        <v>0.1075512809000988</v>
      </c>
      <c r="L1245">
        <v>577.81681730255707</v>
      </c>
      <c r="M1245" s="10">
        <v>-2.1273963597738029E-2</v>
      </c>
      <c r="N1245" s="24" t="s">
        <v>345</v>
      </c>
      <c r="O1245" s="24">
        <v>90.915893832859553</v>
      </c>
      <c r="P1245">
        <v>50.664354014678359</v>
      </c>
      <c r="Q1245" t="s">
        <v>47</v>
      </c>
      <c r="R1245" t="s">
        <v>350</v>
      </c>
      <c r="S1245" t="s">
        <v>345</v>
      </c>
      <c r="T1245" t="s">
        <v>343</v>
      </c>
    </row>
    <row r="1246" spans="2:20" x14ac:dyDescent="0.25">
      <c r="B1246">
        <v>1241</v>
      </c>
      <c r="C1246" t="s">
        <v>1585</v>
      </c>
      <c r="D1246" s="10">
        <v>0.22715637070817959</v>
      </c>
      <c r="E1246" s="10">
        <v>0.85703637511770503</v>
      </c>
      <c r="F1246" s="10">
        <v>0.60396569512940335</v>
      </c>
      <c r="G1246" s="10">
        <v>0.28422702467313271</v>
      </c>
      <c r="H1246" s="6">
        <v>0.17013781241229051</v>
      </c>
      <c r="I1246" s="10">
        <v>6.7894397832854194</v>
      </c>
      <c r="J1246" s="7">
        <v>4.1105055297690041E-2</v>
      </c>
      <c r="K1246" s="5">
        <v>0.12779974151121989</v>
      </c>
      <c r="L1246">
        <v>208.17853621533851</v>
      </c>
      <c r="M1246" s="10">
        <v>-0.64738002163863062</v>
      </c>
      <c r="N1246" s="24" t="s">
        <v>343</v>
      </c>
      <c r="O1246" s="24">
        <v>12.157198701682161</v>
      </c>
      <c r="P1246">
        <v>57.755933511808571</v>
      </c>
      <c r="Q1246" t="s">
        <v>47</v>
      </c>
      <c r="R1246" t="s">
        <v>350</v>
      </c>
      <c r="S1246" t="s">
        <v>343</v>
      </c>
      <c r="T1246" t="s">
        <v>343</v>
      </c>
    </row>
    <row r="1247" spans="2:20" x14ac:dyDescent="0.25">
      <c r="B1247">
        <v>1242</v>
      </c>
      <c r="C1247" t="s">
        <v>1586</v>
      </c>
      <c r="D1247" s="10">
        <v>0.26216415162625373</v>
      </c>
      <c r="E1247" s="10">
        <v>1.1430455259252861</v>
      </c>
      <c r="F1247" s="10">
        <v>0.68482711181172251</v>
      </c>
      <c r="G1247" s="10">
        <v>0.25789752199906107</v>
      </c>
      <c r="H1247" s="6">
        <v>0.1787127708165559</v>
      </c>
      <c r="I1247" s="10">
        <v>11.231172023380561</v>
      </c>
      <c r="J1247" s="7">
        <v>4.1354582834740451E-2</v>
      </c>
      <c r="K1247" s="5">
        <v>0.12659826282906611</v>
      </c>
      <c r="L1247">
        <v>339.240630210944</v>
      </c>
      <c r="M1247" s="10">
        <v>-0.42538253049995928</v>
      </c>
      <c r="N1247" s="24" t="s">
        <v>343</v>
      </c>
      <c r="O1247" s="24">
        <v>25.47704817000244</v>
      </c>
      <c r="P1247">
        <v>13.485535437480021</v>
      </c>
      <c r="Q1247" t="s">
        <v>348</v>
      </c>
      <c r="R1247" t="s">
        <v>351</v>
      </c>
      <c r="S1247" t="s">
        <v>343</v>
      </c>
      <c r="T1247" t="s">
        <v>343</v>
      </c>
    </row>
    <row r="1248" spans="2:20" x14ac:dyDescent="0.25">
      <c r="B1248">
        <v>1243</v>
      </c>
      <c r="C1248" t="s">
        <v>1587</v>
      </c>
      <c r="D1248" s="10">
        <v>0.22361510367404711</v>
      </c>
      <c r="E1248" s="10">
        <v>0.53696409396800948</v>
      </c>
      <c r="F1248" s="10">
        <v>0.64685832045306302</v>
      </c>
      <c r="G1248" s="10">
        <v>0.31469485902424799</v>
      </c>
      <c r="H1248" s="6">
        <v>0.18561733791372531</v>
      </c>
      <c r="I1248" s="10">
        <v>5.3447744114843196</v>
      </c>
      <c r="J1248" s="7">
        <v>2.7052390540485149E-2</v>
      </c>
      <c r="K1248" s="5">
        <v>0.1688038409305801</v>
      </c>
      <c r="L1248">
        <v>85.736542200829405</v>
      </c>
      <c r="M1248" s="10">
        <v>-0.8547764903853351</v>
      </c>
      <c r="N1248" s="24" t="s">
        <v>343</v>
      </c>
      <c r="O1248" s="24">
        <v>0</v>
      </c>
      <c r="P1248">
        <v>69.85627246281058</v>
      </c>
      <c r="Q1248" t="s">
        <v>47</v>
      </c>
      <c r="R1248" t="s">
        <v>350</v>
      </c>
      <c r="S1248" t="s">
        <v>343</v>
      </c>
      <c r="T1248" t="s">
        <v>343</v>
      </c>
    </row>
    <row r="1249" spans="2:20" x14ac:dyDescent="0.25">
      <c r="B1249">
        <v>1244</v>
      </c>
      <c r="C1249" t="s">
        <v>1588</v>
      </c>
      <c r="D1249" s="10">
        <v>0.2038744323757872</v>
      </c>
      <c r="E1249" s="10">
        <v>1.2117488304843069</v>
      </c>
      <c r="F1249" s="10">
        <v>0.58483997891335182</v>
      </c>
      <c r="G1249" s="10">
        <v>0.28132508347759988</v>
      </c>
      <c r="H1249" s="6">
        <v>0.22084509580162909</v>
      </c>
      <c r="I1249" s="10">
        <v>7.4385333102165436</v>
      </c>
      <c r="J1249" s="7">
        <v>1.0860981302243441E-2</v>
      </c>
      <c r="K1249" s="5">
        <v>0.18746233284499131</v>
      </c>
      <c r="L1249">
        <v>128.49882615542131</v>
      </c>
      <c r="M1249" s="10">
        <v>-0.78234426025785686</v>
      </c>
      <c r="N1249" s="24" t="s">
        <v>343</v>
      </c>
      <c r="O1249" s="24">
        <v>4.0593443845285933</v>
      </c>
      <c r="P1249">
        <v>60.507524956495431</v>
      </c>
      <c r="Q1249" t="s">
        <v>47</v>
      </c>
      <c r="R1249" t="s">
        <v>350</v>
      </c>
      <c r="S1249" t="s">
        <v>343</v>
      </c>
      <c r="T1249" t="s">
        <v>343</v>
      </c>
    </row>
    <row r="1250" spans="2:20" x14ac:dyDescent="0.25">
      <c r="B1250">
        <v>1245</v>
      </c>
      <c r="C1250" t="s">
        <v>1589</v>
      </c>
      <c r="D1250" s="10">
        <v>0.3174364236735725</v>
      </c>
      <c r="E1250" s="10">
        <v>1.316231286611965</v>
      </c>
      <c r="F1250" s="10">
        <v>0.49581749983511192</v>
      </c>
      <c r="G1250" s="10">
        <v>0.35592706950792719</v>
      </c>
      <c r="H1250" s="6">
        <v>0.18803565291345081</v>
      </c>
      <c r="I1250" s="10">
        <v>8.1830277395754969</v>
      </c>
      <c r="J1250" s="7">
        <v>3.9561768271635919E-2</v>
      </c>
      <c r="K1250" s="5">
        <v>0.1219247861733006</v>
      </c>
      <c r="L1250">
        <v>330.20924417709938</v>
      </c>
      <c r="M1250" s="10">
        <v>-0.44068020338076619</v>
      </c>
      <c r="N1250" s="24" t="s">
        <v>343</v>
      </c>
      <c r="O1250" s="24">
        <v>24.559187797154021</v>
      </c>
      <c r="P1250">
        <v>51.867511813298023</v>
      </c>
      <c r="Q1250" t="s">
        <v>47</v>
      </c>
      <c r="R1250" t="s">
        <v>350</v>
      </c>
      <c r="S1250" t="s">
        <v>343</v>
      </c>
      <c r="T1250" t="s">
        <v>343</v>
      </c>
    </row>
    <row r="1251" spans="2:20" x14ac:dyDescent="0.25">
      <c r="B1251">
        <v>1246</v>
      </c>
      <c r="C1251" t="s">
        <v>1590</v>
      </c>
      <c r="D1251" s="10">
        <v>0.22549344101040689</v>
      </c>
      <c r="E1251" s="10">
        <v>0.99903131710113691</v>
      </c>
      <c r="F1251" s="10">
        <v>0.55722730016458233</v>
      </c>
      <c r="G1251" s="10">
        <v>0.39110623822177981</v>
      </c>
      <c r="H1251" s="6">
        <v>0.23944264563350259</v>
      </c>
      <c r="I1251" s="10">
        <v>4.8317788914722106</v>
      </c>
      <c r="J1251" s="7">
        <v>1.0021786469781019E-2</v>
      </c>
      <c r="K1251" s="5">
        <v>0.107089274194676</v>
      </c>
      <c r="L1251">
        <v>287.11049374403621</v>
      </c>
      <c r="M1251" s="10">
        <v>-0.51368235202393198</v>
      </c>
      <c r="N1251" s="24" t="s">
        <v>343</v>
      </c>
      <c r="O1251" s="24">
        <v>20.179058878564081</v>
      </c>
      <c r="P1251">
        <v>58.812321985363447</v>
      </c>
      <c r="Q1251" t="s">
        <v>47</v>
      </c>
      <c r="R1251" t="s">
        <v>350</v>
      </c>
      <c r="S1251" t="s">
        <v>343</v>
      </c>
      <c r="T1251" t="s">
        <v>343</v>
      </c>
    </row>
    <row r="1252" spans="2:20" x14ac:dyDescent="0.25">
      <c r="B1252">
        <v>1247</v>
      </c>
      <c r="C1252" t="s">
        <v>1591</v>
      </c>
      <c r="D1252" s="10">
        <v>0.30305587258866151</v>
      </c>
      <c r="E1252" s="10">
        <v>0.41646692362118243</v>
      </c>
      <c r="F1252" s="10">
        <v>0.62027938349056411</v>
      </c>
      <c r="G1252" s="10">
        <v>0.34800274726522412</v>
      </c>
      <c r="H1252" s="6">
        <v>0.21596069960675621</v>
      </c>
      <c r="I1252" s="10">
        <v>3.7655020388537408</v>
      </c>
      <c r="J1252" s="7">
        <v>2.6738877242764029E-2</v>
      </c>
      <c r="K1252" s="5">
        <v>0.19499591066503319</v>
      </c>
      <c r="L1252">
        <v>35.118961326982799</v>
      </c>
      <c r="M1252" s="10">
        <v>-0.94051429312393242</v>
      </c>
      <c r="N1252" s="24" t="s">
        <v>343</v>
      </c>
      <c r="O1252" s="24">
        <v>0</v>
      </c>
      <c r="P1252">
        <v>53.450292530784438</v>
      </c>
      <c r="Q1252" t="s">
        <v>47</v>
      </c>
      <c r="R1252" t="s">
        <v>350</v>
      </c>
      <c r="S1252" t="s">
        <v>343</v>
      </c>
      <c r="T1252" t="s">
        <v>343</v>
      </c>
    </row>
    <row r="1253" spans="2:20" x14ac:dyDescent="0.25">
      <c r="B1253">
        <v>1248</v>
      </c>
      <c r="C1253" t="s">
        <v>1592</v>
      </c>
      <c r="D1253" s="10">
        <v>0.19679273694257379</v>
      </c>
      <c r="E1253" s="10">
        <v>1.2848242955719731</v>
      </c>
      <c r="F1253" s="10">
        <v>0.65787016545738208</v>
      </c>
      <c r="G1253" s="10">
        <v>0.38533361299841512</v>
      </c>
      <c r="H1253" s="6">
        <v>0.14843956192411339</v>
      </c>
      <c r="I1253" s="10">
        <v>6.4877446705031936</v>
      </c>
      <c r="J1253" s="7">
        <v>1.0692655517170991E-2</v>
      </c>
      <c r="K1253" s="5">
        <v>0.16566450636273519</v>
      </c>
      <c r="L1253">
        <v>138.8922344906548</v>
      </c>
      <c r="M1253" s="10">
        <v>-0.76473954706840519</v>
      </c>
      <c r="N1253" s="24" t="s">
        <v>343</v>
      </c>
      <c r="O1253" s="24">
        <v>5.1156271758956962</v>
      </c>
      <c r="P1253">
        <v>53.958427518909723</v>
      </c>
      <c r="Q1253" t="s">
        <v>47</v>
      </c>
      <c r="R1253" t="s">
        <v>350</v>
      </c>
      <c r="S1253" t="s">
        <v>343</v>
      </c>
      <c r="T1253" t="s">
        <v>343</v>
      </c>
    </row>
    <row r="1254" spans="2:20" x14ac:dyDescent="0.25">
      <c r="B1254">
        <v>1249</v>
      </c>
      <c r="C1254" t="s">
        <v>1593</v>
      </c>
      <c r="D1254" s="10">
        <v>0.1940967526440133</v>
      </c>
      <c r="E1254" s="10">
        <v>1.1717365001070781</v>
      </c>
      <c r="F1254" s="10">
        <v>0.68953141834982068</v>
      </c>
      <c r="G1254" s="10">
        <v>0.32028251316799661</v>
      </c>
      <c r="H1254" s="6">
        <v>0.16157597591557701</v>
      </c>
      <c r="I1254" s="10">
        <v>8.9938135787879911</v>
      </c>
      <c r="J1254" s="7">
        <v>2.23406953024608E-2</v>
      </c>
      <c r="K1254" s="5">
        <v>0.18421473046407449</v>
      </c>
      <c r="L1254">
        <v>110.5371272784769</v>
      </c>
      <c r="M1254" s="10">
        <v>-0.8127684047660596</v>
      </c>
      <c r="N1254" s="24" t="s">
        <v>343</v>
      </c>
      <c r="O1254" s="24">
        <v>2.2338957140364291</v>
      </c>
      <c r="P1254">
        <v>54.322226945431339</v>
      </c>
      <c r="Q1254" t="s">
        <v>47</v>
      </c>
      <c r="R1254" t="s">
        <v>350</v>
      </c>
      <c r="S1254" t="s">
        <v>343</v>
      </c>
      <c r="T1254" t="s">
        <v>343</v>
      </c>
    </row>
    <row r="1255" spans="2:20" x14ac:dyDescent="0.25">
      <c r="B1255">
        <v>1250</v>
      </c>
      <c r="C1255" t="s">
        <v>1594</v>
      </c>
      <c r="D1255" s="10">
        <v>0.1649814532615218</v>
      </c>
      <c r="E1255" s="10">
        <v>1.125965554165939</v>
      </c>
      <c r="F1255" s="10">
        <v>0.59741771919585851</v>
      </c>
      <c r="G1255" s="10">
        <v>0.2461429713925008</v>
      </c>
      <c r="H1255" s="6">
        <v>0.13188737796620781</v>
      </c>
      <c r="I1255" s="10">
        <v>10.179468434245139</v>
      </c>
      <c r="J1255" s="7">
        <v>3.2286764012330091E-2</v>
      </c>
      <c r="K1255" s="5">
        <v>0.1136685445070607</v>
      </c>
      <c r="L1255">
        <v>176.15594325379661</v>
      </c>
      <c r="M1255" s="10">
        <v>-0.70162099307813441</v>
      </c>
      <c r="N1255" s="24" t="s">
        <v>343</v>
      </c>
      <c r="O1255" s="24">
        <v>8.9027404153119392</v>
      </c>
      <c r="P1255">
        <v>46.160125144323793</v>
      </c>
      <c r="Q1255" t="s">
        <v>346</v>
      </c>
      <c r="R1255" t="s">
        <v>347</v>
      </c>
      <c r="S1255" t="s">
        <v>343</v>
      </c>
      <c r="T1255" t="s">
        <v>343</v>
      </c>
    </row>
    <row r="1256" spans="2:20" x14ac:dyDescent="0.25">
      <c r="B1256">
        <v>1251</v>
      </c>
      <c r="C1256" t="s">
        <v>1595</v>
      </c>
      <c r="D1256" s="10">
        <v>0.26426669206014158</v>
      </c>
      <c r="E1256" s="10">
        <v>0.34040100779650712</v>
      </c>
      <c r="F1256" s="10">
        <v>0.57699903549915244</v>
      </c>
      <c r="G1256" s="10">
        <v>0.45429410732953279</v>
      </c>
      <c r="H1256" s="6">
        <v>0.26185826323849842</v>
      </c>
      <c r="I1256" s="10">
        <v>7.6779847755149326</v>
      </c>
      <c r="J1256" s="7">
        <v>2.299203160689282E-2</v>
      </c>
      <c r="K1256" s="5">
        <v>0.17607296390614999</v>
      </c>
      <c r="L1256">
        <v>101.00827673866711</v>
      </c>
      <c r="M1256" s="10">
        <v>-0.8289087001694283</v>
      </c>
      <c r="N1256" s="24" t="s">
        <v>343</v>
      </c>
      <c r="O1256" s="24">
        <v>1.2654779898343089</v>
      </c>
      <c r="P1256">
        <v>56.328036916594307</v>
      </c>
      <c r="Q1256" t="s">
        <v>47</v>
      </c>
      <c r="R1256" t="s">
        <v>350</v>
      </c>
      <c r="S1256" t="s">
        <v>343</v>
      </c>
      <c r="T1256" t="s">
        <v>343</v>
      </c>
    </row>
    <row r="1257" spans="2:20" x14ac:dyDescent="0.25">
      <c r="B1257">
        <v>1252</v>
      </c>
      <c r="C1257" t="s">
        <v>1596</v>
      </c>
      <c r="D1257" s="10">
        <v>0.21896421499580179</v>
      </c>
      <c r="E1257" s="10">
        <v>1.178858777782668</v>
      </c>
      <c r="F1257" s="10">
        <v>0.44459990001149863</v>
      </c>
      <c r="G1257" s="10">
        <v>0.42027097099879901</v>
      </c>
      <c r="H1257" s="6">
        <v>0.25298257218439002</v>
      </c>
      <c r="I1257" s="10">
        <v>8.5030537441555012</v>
      </c>
      <c r="J1257" s="7">
        <v>4.244119755018997E-2</v>
      </c>
      <c r="K1257" s="5">
        <v>0.1772657558688695</v>
      </c>
      <c r="L1257">
        <v>119.9184719868085</v>
      </c>
      <c r="M1257" s="10">
        <v>-0.7968779598230199</v>
      </c>
      <c r="N1257" s="24" t="s">
        <v>343</v>
      </c>
      <c r="O1257" s="24">
        <v>3.1873224106188118</v>
      </c>
      <c r="P1257">
        <v>47.29076479240522</v>
      </c>
      <c r="Q1257" t="s">
        <v>346</v>
      </c>
      <c r="R1257" t="s">
        <v>347</v>
      </c>
      <c r="S1257" t="s">
        <v>343</v>
      </c>
      <c r="T1257" t="s">
        <v>343</v>
      </c>
    </row>
    <row r="1258" spans="2:20" x14ac:dyDescent="0.25">
      <c r="B1258">
        <v>1253</v>
      </c>
      <c r="C1258" t="s">
        <v>1597</v>
      </c>
      <c r="D1258" s="10">
        <v>0.29829731997434189</v>
      </c>
      <c r="E1258" s="10">
        <v>0.45174611151519273</v>
      </c>
      <c r="F1258" s="10">
        <v>0.45874575797904682</v>
      </c>
      <c r="G1258" s="10">
        <v>0.25615214129861819</v>
      </c>
      <c r="H1258" s="6">
        <v>0.13271943381764059</v>
      </c>
      <c r="I1258" s="10">
        <v>8.9751227185062756</v>
      </c>
      <c r="J1258" s="7">
        <v>3.2426727170568298E-2</v>
      </c>
      <c r="K1258" s="5">
        <v>0.1143914479691079</v>
      </c>
      <c r="L1258">
        <v>128.41014093046749</v>
      </c>
      <c r="M1258" s="10">
        <v>-0.78249447834792862</v>
      </c>
      <c r="N1258" s="24" t="s">
        <v>343</v>
      </c>
      <c r="O1258" s="24">
        <v>4.0503312991242808</v>
      </c>
      <c r="P1258">
        <v>47.742816397800382</v>
      </c>
      <c r="Q1258" t="s">
        <v>346</v>
      </c>
      <c r="R1258" t="s">
        <v>347</v>
      </c>
      <c r="S1258" t="s">
        <v>343</v>
      </c>
      <c r="T1258" t="s">
        <v>343</v>
      </c>
    </row>
    <row r="1259" spans="2:20" x14ac:dyDescent="0.25">
      <c r="B1259">
        <v>1254</v>
      </c>
      <c r="C1259" t="s">
        <v>1598</v>
      </c>
      <c r="D1259" s="10">
        <v>0.23571358507064921</v>
      </c>
      <c r="E1259" s="10">
        <v>0.54462479381657714</v>
      </c>
      <c r="F1259" s="10">
        <v>0.48058729938572409</v>
      </c>
      <c r="G1259" s="10">
        <v>0.33881880715439361</v>
      </c>
      <c r="H1259" s="6">
        <v>0.206111402377119</v>
      </c>
      <c r="I1259" s="10">
        <v>8.6310190315343469</v>
      </c>
      <c r="J1259" s="7">
        <v>3.2625535539415912E-2</v>
      </c>
      <c r="K1259" s="5">
        <v>0.1153333971089391</v>
      </c>
      <c r="L1259">
        <v>216.98743665545959</v>
      </c>
      <c r="M1259" s="10">
        <v>-0.63245920252320587</v>
      </c>
      <c r="N1259" s="24" t="s">
        <v>343</v>
      </c>
      <c r="O1259" s="24">
        <v>13.052447848607651</v>
      </c>
      <c r="P1259">
        <v>65.542990697854904</v>
      </c>
      <c r="Q1259" t="s">
        <v>47</v>
      </c>
      <c r="R1259" t="s">
        <v>350</v>
      </c>
      <c r="S1259" t="s">
        <v>343</v>
      </c>
      <c r="T1259" t="s">
        <v>343</v>
      </c>
    </row>
    <row r="1260" spans="2:20" x14ac:dyDescent="0.25">
      <c r="B1260">
        <v>1255</v>
      </c>
      <c r="C1260" t="s">
        <v>1599</v>
      </c>
      <c r="D1260" s="10">
        <v>0.31491094846635548</v>
      </c>
      <c r="E1260" s="10">
        <v>0.93484831835618332</v>
      </c>
      <c r="F1260" s="10">
        <v>0.45423758210930332</v>
      </c>
      <c r="G1260" s="10">
        <v>0.37970419541581252</v>
      </c>
      <c r="H1260" s="6">
        <v>0.26406027282912281</v>
      </c>
      <c r="I1260" s="10">
        <v>3.9936141107598799</v>
      </c>
      <c r="J1260" s="7">
        <v>2.310529660892794E-2</v>
      </c>
      <c r="K1260" s="5">
        <v>0.1280678655315711</v>
      </c>
      <c r="L1260">
        <v>116.5108655484777</v>
      </c>
      <c r="M1260" s="10">
        <v>-0.80264988103254042</v>
      </c>
      <c r="N1260" s="24" t="s">
        <v>343</v>
      </c>
      <c r="O1260" s="24">
        <v>2.8410071380475732</v>
      </c>
      <c r="P1260">
        <v>51.525342282841017</v>
      </c>
      <c r="Q1260" t="s">
        <v>47</v>
      </c>
      <c r="R1260" t="s">
        <v>350</v>
      </c>
      <c r="S1260" t="s">
        <v>343</v>
      </c>
      <c r="T1260" t="s">
        <v>343</v>
      </c>
    </row>
    <row r="1261" spans="2:20" x14ac:dyDescent="0.25">
      <c r="B1261">
        <v>1256</v>
      </c>
      <c r="C1261" t="s">
        <v>1600</v>
      </c>
      <c r="D1261" s="10">
        <v>0.18968408251249941</v>
      </c>
      <c r="E1261" s="10">
        <v>0.59147885020857127</v>
      </c>
      <c r="F1261" s="10">
        <v>0.54422444208928089</v>
      </c>
      <c r="G1261" s="10">
        <v>0.28193073952598041</v>
      </c>
      <c r="H1261" s="6">
        <v>0.23207141849192339</v>
      </c>
      <c r="I1261" s="10">
        <v>7.4550113598609</v>
      </c>
      <c r="J1261" s="7">
        <v>1.1349023350369089E-2</v>
      </c>
      <c r="K1261" s="5">
        <v>0.1205948075253953</v>
      </c>
      <c r="L1261">
        <v>94.888207441593991</v>
      </c>
      <c r="M1261" s="10">
        <v>-0.8392750844390906</v>
      </c>
      <c r="N1261" s="24" t="s">
        <v>343</v>
      </c>
      <c r="O1261" s="24">
        <v>0.64349493365455857</v>
      </c>
      <c r="P1261">
        <v>60.980514127975191</v>
      </c>
      <c r="Q1261" t="s">
        <v>47</v>
      </c>
      <c r="R1261" t="s">
        <v>350</v>
      </c>
      <c r="S1261" t="s">
        <v>343</v>
      </c>
      <c r="T1261" t="s">
        <v>343</v>
      </c>
    </row>
    <row r="1262" spans="2:20" x14ac:dyDescent="0.25">
      <c r="B1262">
        <v>1257</v>
      </c>
      <c r="C1262" t="s">
        <v>1601</v>
      </c>
      <c r="D1262" s="10">
        <v>0.29897970687289782</v>
      </c>
      <c r="E1262" s="10">
        <v>1.0274830269431121</v>
      </c>
      <c r="F1262" s="10">
        <v>0.52758842173610676</v>
      </c>
      <c r="G1262" s="10">
        <v>0.36715749449980972</v>
      </c>
      <c r="H1262" s="6">
        <v>0.19377182909560089</v>
      </c>
      <c r="I1262" s="10">
        <v>5.2476456565987322</v>
      </c>
      <c r="J1262" s="7">
        <v>3.5836290322218453E-2</v>
      </c>
      <c r="K1262" s="5">
        <v>0.19266394126537639</v>
      </c>
      <c r="L1262">
        <v>159.64960254446029</v>
      </c>
      <c r="M1262" s="10">
        <v>-0.72958000177118654</v>
      </c>
      <c r="N1262" s="24" t="s">
        <v>343</v>
      </c>
      <c r="O1262" s="24">
        <v>7.2251998937288144</v>
      </c>
      <c r="P1262">
        <v>19.639005506713939</v>
      </c>
      <c r="Q1262" t="s">
        <v>348</v>
      </c>
      <c r="R1262" t="s">
        <v>375</v>
      </c>
      <c r="S1262" t="s">
        <v>343</v>
      </c>
      <c r="T1262" t="s">
        <v>343</v>
      </c>
    </row>
    <row r="1263" spans="2:20" x14ac:dyDescent="0.25">
      <c r="B1263">
        <v>1258</v>
      </c>
      <c r="C1263" t="s">
        <v>1602</v>
      </c>
      <c r="D1263" s="10">
        <v>0.28425549644667869</v>
      </c>
      <c r="E1263" s="10">
        <v>0.96887749246898958</v>
      </c>
      <c r="F1263" s="10">
        <v>0.60571208104578211</v>
      </c>
      <c r="G1263" s="10">
        <v>0.35740269598589108</v>
      </c>
      <c r="H1263" s="6">
        <v>0.15616544833599519</v>
      </c>
      <c r="I1263" s="10">
        <v>8.8710957171872966</v>
      </c>
      <c r="J1263" s="7">
        <v>3.5068565569056291E-2</v>
      </c>
      <c r="K1263" s="5">
        <v>0.13447966419546131</v>
      </c>
      <c r="L1263">
        <v>302.65982958211703</v>
      </c>
      <c r="M1263" s="10">
        <v>-0.48734435115968278</v>
      </c>
      <c r="N1263" s="24" t="s">
        <v>343</v>
      </c>
      <c r="O1263" s="24">
        <v>21.75933893041903</v>
      </c>
      <c r="P1263">
        <v>60.641713820675001</v>
      </c>
      <c r="Q1263" t="s">
        <v>47</v>
      </c>
      <c r="R1263" t="s">
        <v>350</v>
      </c>
      <c r="S1263" t="s">
        <v>343</v>
      </c>
      <c r="T1263" t="s">
        <v>343</v>
      </c>
    </row>
    <row r="1264" spans="2:20" x14ac:dyDescent="0.25">
      <c r="B1264">
        <v>1259</v>
      </c>
      <c r="C1264" t="s">
        <v>1603</v>
      </c>
      <c r="D1264" s="10">
        <v>0.28334749514304841</v>
      </c>
      <c r="E1264" s="10">
        <v>0.41896455781458891</v>
      </c>
      <c r="F1264" s="10">
        <v>0.57927292806268471</v>
      </c>
      <c r="G1264" s="10">
        <v>0.28581834147763507</v>
      </c>
      <c r="H1264" s="6">
        <v>0.16185556126219439</v>
      </c>
      <c r="I1264" s="10">
        <v>11.33883877509383</v>
      </c>
      <c r="J1264" s="7">
        <v>2.85543759451336E-2</v>
      </c>
      <c r="K1264" s="5">
        <v>0.17232410911788459</v>
      </c>
      <c r="L1264">
        <v>84.180536148841384</v>
      </c>
      <c r="M1264" s="10">
        <v>-0.85741210705531978</v>
      </c>
      <c r="N1264" s="24" t="s">
        <v>343</v>
      </c>
      <c r="O1264" s="24">
        <v>0</v>
      </c>
      <c r="P1264">
        <v>52.9556387055625</v>
      </c>
      <c r="Q1264" t="s">
        <v>47</v>
      </c>
      <c r="R1264" t="s">
        <v>350</v>
      </c>
      <c r="S1264" t="s">
        <v>343</v>
      </c>
      <c r="T1264" t="s">
        <v>343</v>
      </c>
    </row>
    <row r="1265" spans="2:20" x14ac:dyDescent="0.25">
      <c r="B1265">
        <v>1260</v>
      </c>
      <c r="C1265" t="s">
        <v>1604</v>
      </c>
      <c r="D1265" s="10">
        <v>0.29516531649870198</v>
      </c>
      <c r="E1265" s="10">
        <v>1.0216160375506571</v>
      </c>
      <c r="F1265" s="10">
        <v>0.59495239744084349</v>
      </c>
      <c r="G1265" s="10">
        <v>0.27106626804103973</v>
      </c>
      <c r="H1265" s="6">
        <v>0.23043569320070409</v>
      </c>
      <c r="I1265" s="10">
        <v>9.374349292360975</v>
      </c>
      <c r="J1265" s="7">
        <v>2.4569381374019181E-2</v>
      </c>
      <c r="K1265" s="5">
        <v>0.17647982633085391</v>
      </c>
      <c r="L1265">
        <v>183.04948050967411</v>
      </c>
      <c r="M1265" s="10">
        <v>-0.68994448212656145</v>
      </c>
      <c r="N1265" s="24" t="s">
        <v>343</v>
      </c>
      <c r="O1265" s="24">
        <v>9.6033310724063128</v>
      </c>
      <c r="P1265">
        <v>18.781730822233861</v>
      </c>
      <c r="Q1265" t="s">
        <v>348</v>
      </c>
      <c r="R1265" t="s">
        <v>625</v>
      </c>
      <c r="S1265" t="s">
        <v>343</v>
      </c>
      <c r="T1265" t="s">
        <v>343</v>
      </c>
    </row>
    <row r="1266" spans="2:20" x14ac:dyDescent="0.25">
      <c r="B1266">
        <v>1261</v>
      </c>
      <c r="C1266" t="s">
        <v>1605</v>
      </c>
      <c r="D1266" s="10">
        <v>0.28176383855087977</v>
      </c>
      <c r="E1266" s="10">
        <v>1.3163504008074229</v>
      </c>
      <c r="F1266" s="10">
        <v>0.56271407276379004</v>
      </c>
      <c r="G1266" s="10">
        <v>0.40697170371610031</v>
      </c>
      <c r="H1266" s="6">
        <v>0.23708629098657699</v>
      </c>
      <c r="I1266" s="10">
        <v>5.4400403661353778</v>
      </c>
      <c r="J1266" s="7">
        <v>2.8841096750301751E-2</v>
      </c>
      <c r="K1266" s="5">
        <v>0.1366643842796941</v>
      </c>
      <c r="L1266">
        <v>241.274414053996</v>
      </c>
      <c r="M1266" s="10">
        <v>-0.59132108328945188</v>
      </c>
      <c r="N1266" s="24" t="s">
        <v>343</v>
      </c>
      <c r="O1266" s="24">
        <v>15.52073500263289</v>
      </c>
      <c r="P1266">
        <v>58.514083418259482</v>
      </c>
      <c r="Q1266" t="s">
        <v>47</v>
      </c>
      <c r="R1266" t="s">
        <v>350</v>
      </c>
      <c r="S1266" t="s">
        <v>343</v>
      </c>
      <c r="T1266" t="s">
        <v>343</v>
      </c>
    </row>
    <row r="1267" spans="2:20" x14ac:dyDescent="0.25">
      <c r="B1267">
        <v>1262</v>
      </c>
      <c r="C1267" t="s">
        <v>1606</v>
      </c>
      <c r="D1267" s="10">
        <v>0.26019525146102651</v>
      </c>
      <c r="E1267" s="10">
        <v>0.47722089570441639</v>
      </c>
      <c r="F1267" s="10">
        <v>0.51221165862410689</v>
      </c>
      <c r="G1267" s="10">
        <v>0.31096901815291939</v>
      </c>
      <c r="H1267" s="6">
        <v>0.19930399865271489</v>
      </c>
      <c r="I1267" s="10">
        <v>5.2853257415727004</v>
      </c>
      <c r="J1267" s="7">
        <v>3.6138539145263493E-2</v>
      </c>
      <c r="K1267" s="5">
        <v>0.1648456276568219</v>
      </c>
      <c r="L1267">
        <v>35.574103210394171</v>
      </c>
      <c r="M1267" s="10">
        <v>-0.93974335811786702</v>
      </c>
      <c r="N1267" s="24" t="s">
        <v>343</v>
      </c>
      <c r="O1267" s="24">
        <v>0</v>
      </c>
      <c r="P1267">
        <v>56.151323153265032</v>
      </c>
      <c r="Q1267" t="s">
        <v>47</v>
      </c>
      <c r="R1267" t="s">
        <v>350</v>
      </c>
      <c r="S1267" t="s">
        <v>343</v>
      </c>
      <c r="T1267" t="s">
        <v>343</v>
      </c>
    </row>
    <row r="1268" spans="2:20" x14ac:dyDescent="0.25">
      <c r="B1268">
        <v>1263</v>
      </c>
      <c r="C1268" t="s">
        <v>1607</v>
      </c>
      <c r="D1268" s="10">
        <v>0.18099918042918201</v>
      </c>
      <c r="E1268" s="10">
        <v>0.95676822303717612</v>
      </c>
      <c r="F1268" s="10">
        <v>0.68773458188608405</v>
      </c>
      <c r="G1268" s="10">
        <v>0.29368891744529352</v>
      </c>
      <c r="H1268" s="6">
        <v>0.1381423052275057</v>
      </c>
      <c r="I1268" s="10">
        <v>3.406979434572825</v>
      </c>
      <c r="J1268" s="7">
        <v>3.4947490077575277E-2</v>
      </c>
      <c r="K1268" s="5">
        <v>0.11024101338509409</v>
      </c>
      <c r="L1268">
        <v>190.24154151540031</v>
      </c>
      <c r="M1268" s="10">
        <v>-0.6777623213605275</v>
      </c>
      <c r="N1268" s="24" t="s">
        <v>343</v>
      </c>
      <c r="O1268" s="24">
        <v>10.33426071836835</v>
      </c>
      <c r="P1268">
        <v>21.592057201318351</v>
      </c>
      <c r="Q1268" t="s">
        <v>348</v>
      </c>
      <c r="R1268" t="s">
        <v>375</v>
      </c>
      <c r="S1268" t="s">
        <v>343</v>
      </c>
      <c r="T1268" t="s">
        <v>343</v>
      </c>
    </row>
    <row r="1269" spans="2:20" x14ac:dyDescent="0.25">
      <c r="B1269">
        <v>1264</v>
      </c>
      <c r="C1269" t="s">
        <v>1608</v>
      </c>
      <c r="D1269" s="10">
        <v>0.16520418871860029</v>
      </c>
      <c r="E1269" s="10">
        <v>0.67605190913036339</v>
      </c>
      <c r="F1269" s="10">
        <v>0.46246638153763608</v>
      </c>
      <c r="G1269" s="10">
        <v>0.40233323761731749</v>
      </c>
      <c r="H1269" s="6">
        <v>0.26008025604398921</v>
      </c>
      <c r="I1269" s="10">
        <v>7.6901897036839966</v>
      </c>
      <c r="J1269" s="7">
        <v>3.3033838181486648E-2</v>
      </c>
      <c r="K1269" s="5">
        <v>0.13771139489078391</v>
      </c>
      <c r="L1269">
        <v>210.66304709620019</v>
      </c>
      <c r="M1269" s="10">
        <v>-0.64317167149372512</v>
      </c>
      <c r="N1269" s="24" t="s">
        <v>343</v>
      </c>
      <c r="O1269" s="24">
        <v>12.40969971037649</v>
      </c>
      <c r="P1269">
        <v>56.872091550964917</v>
      </c>
      <c r="Q1269" t="s">
        <v>47</v>
      </c>
      <c r="R1269" t="s">
        <v>350</v>
      </c>
      <c r="S1269" t="s">
        <v>343</v>
      </c>
      <c r="T1269" t="s">
        <v>343</v>
      </c>
    </row>
    <row r="1270" spans="2:20" x14ac:dyDescent="0.25">
      <c r="B1270">
        <v>1265</v>
      </c>
      <c r="C1270" t="s">
        <v>1609</v>
      </c>
      <c r="D1270" s="10">
        <v>0.30733565565050991</v>
      </c>
      <c r="E1270" s="10">
        <v>0.80557283895096421</v>
      </c>
      <c r="F1270" s="10">
        <v>0.68411165986097977</v>
      </c>
      <c r="G1270" s="10">
        <v>0.40193511224505613</v>
      </c>
      <c r="H1270" s="6">
        <v>0.24671441018501031</v>
      </c>
      <c r="I1270" s="10">
        <v>7.7614768977867428</v>
      </c>
      <c r="J1270" s="7">
        <v>4.1632204359116527E-2</v>
      </c>
      <c r="K1270" s="5">
        <v>0.1918945127090155</v>
      </c>
      <c r="L1270">
        <v>119.0735081887716</v>
      </c>
      <c r="M1270" s="10">
        <v>-0.79830918862113054</v>
      </c>
      <c r="N1270" s="24" t="s">
        <v>343</v>
      </c>
      <c r="O1270" s="24">
        <v>3.101448682732169</v>
      </c>
      <c r="P1270">
        <v>48.976568650551172</v>
      </c>
      <c r="Q1270" t="s">
        <v>346</v>
      </c>
      <c r="R1270" t="s">
        <v>347</v>
      </c>
      <c r="S1270" t="s">
        <v>343</v>
      </c>
      <c r="T1270" t="s">
        <v>343</v>
      </c>
    </row>
    <row r="1271" spans="2:20" x14ac:dyDescent="0.25">
      <c r="B1271">
        <v>1266</v>
      </c>
      <c r="C1271" t="s">
        <v>1610</v>
      </c>
      <c r="D1271" s="10">
        <v>0.25866405032331807</v>
      </c>
      <c r="E1271" s="10">
        <v>0.61570019698686684</v>
      </c>
      <c r="F1271" s="10">
        <v>0.52092189218483098</v>
      </c>
      <c r="G1271" s="10">
        <v>0.30080836439397041</v>
      </c>
      <c r="H1271" s="6">
        <v>0.14108081685411339</v>
      </c>
      <c r="I1271" s="10">
        <v>5.6007997986962579</v>
      </c>
      <c r="J1271" s="7">
        <v>3.1346093205510621E-2</v>
      </c>
      <c r="K1271" s="5">
        <v>0.1160104121217924</v>
      </c>
      <c r="L1271">
        <v>160.9172559010693</v>
      </c>
      <c r="M1271" s="10">
        <v>-0.72743280683311284</v>
      </c>
      <c r="N1271" s="24" t="s">
        <v>343</v>
      </c>
      <c r="O1271" s="24">
        <v>7.3540315900132276</v>
      </c>
      <c r="P1271">
        <v>63.33565844169474</v>
      </c>
      <c r="Q1271" t="s">
        <v>47</v>
      </c>
      <c r="R1271" t="s">
        <v>350</v>
      </c>
      <c r="S1271" t="s">
        <v>343</v>
      </c>
      <c r="T1271" t="s">
        <v>343</v>
      </c>
    </row>
    <row r="1272" spans="2:20" x14ac:dyDescent="0.25">
      <c r="B1272">
        <v>1267</v>
      </c>
      <c r="C1272" t="s">
        <v>1611</v>
      </c>
      <c r="D1272" s="10">
        <v>0.2874459665561882</v>
      </c>
      <c r="E1272" s="10">
        <v>0.68954369998246468</v>
      </c>
      <c r="F1272" s="10">
        <v>0.57329197579549729</v>
      </c>
      <c r="G1272" s="10">
        <v>0.43196506147540781</v>
      </c>
      <c r="H1272" s="6">
        <v>0.1285091375443278</v>
      </c>
      <c r="I1272" s="10">
        <v>11.40684314450486</v>
      </c>
      <c r="J1272" s="7">
        <v>1.05078376640763E-2</v>
      </c>
      <c r="K1272" s="5">
        <v>0.13664257394655999</v>
      </c>
      <c r="L1272">
        <v>259.58420692518348</v>
      </c>
      <c r="M1272" s="10">
        <v>-0.56030732517866932</v>
      </c>
      <c r="N1272" s="24" t="s">
        <v>343</v>
      </c>
      <c r="O1272" s="24">
        <v>17.381560489279838</v>
      </c>
      <c r="P1272">
        <v>57.564850825368779</v>
      </c>
      <c r="Q1272" t="s">
        <v>47</v>
      </c>
      <c r="R1272" t="s">
        <v>350</v>
      </c>
      <c r="S1272" t="s">
        <v>343</v>
      </c>
      <c r="T1272" t="s">
        <v>343</v>
      </c>
    </row>
    <row r="1273" spans="2:20" x14ac:dyDescent="0.25">
      <c r="B1273">
        <v>1268</v>
      </c>
      <c r="C1273" t="s">
        <v>1612</v>
      </c>
      <c r="D1273" s="10">
        <v>0.237043576242008</v>
      </c>
      <c r="E1273" s="10">
        <v>0.33180300559321302</v>
      </c>
      <c r="F1273" s="10">
        <v>0.46829900393516199</v>
      </c>
      <c r="G1273" s="10">
        <v>0.39141503631591529</v>
      </c>
      <c r="H1273" s="6">
        <v>0.20038015241245999</v>
      </c>
      <c r="I1273" s="10">
        <v>7.2513536626378956</v>
      </c>
      <c r="J1273" s="7">
        <v>3.1632234247233923E-2</v>
      </c>
      <c r="K1273" s="5">
        <v>0.1750995434397431</v>
      </c>
      <c r="L1273">
        <v>84.211739794804757</v>
      </c>
      <c r="M1273" s="10">
        <v>-0.85735925324452622</v>
      </c>
      <c r="N1273" s="24" t="s">
        <v>343</v>
      </c>
      <c r="O1273" s="24">
        <v>0</v>
      </c>
      <c r="P1273">
        <v>61.657815781254349</v>
      </c>
      <c r="Q1273" t="s">
        <v>47</v>
      </c>
      <c r="R1273" t="s">
        <v>350</v>
      </c>
      <c r="S1273" t="s">
        <v>343</v>
      </c>
      <c r="T1273" t="s">
        <v>343</v>
      </c>
    </row>
    <row r="1274" spans="2:20" x14ac:dyDescent="0.25">
      <c r="B1274">
        <v>1269</v>
      </c>
      <c r="C1274" t="s">
        <v>1613</v>
      </c>
      <c r="D1274" s="10">
        <v>0.1787693102339831</v>
      </c>
      <c r="E1274" s="10">
        <v>1.3797069117089431</v>
      </c>
      <c r="F1274" s="10">
        <v>0.4584420777764624</v>
      </c>
      <c r="G1274" s="10">
        <v>0.31606812792073841</v>
      </c>
      <c r="H1274" s="6">
        <v>0.1626213926594289</v>
      </c>
      <c r="I1274" s="10">
        <v>10.363415378829391</v>
      </c>
      <c r="J1274" s="7">
        <v>3.143957359845978E-2</v>
      </c>
      <c r="K1274" s="5">
        <v>0.16321520921649371</v>
      </c>
      <c r="L1274">
        <v>197.38428510748551</v>
      </c>
      <c r="M1274" s="10">
        <v>-0.66566369612917053</v>
      </c>
      <c r="N1274" s="24" t="s">
        <v>343</v>
      </c>
      <c r="O1274" s="24">
        <v>11.06017823224977</v>
      </c>
      <c r="P1274">
        <v>17.026280969831451</v>
      </c>
      <c r="Q1274" t="s">
        <v>348</v>
      </c>
      <c r="R1274" t="s">
        <v>371</v>
      </c>
      <c r="S1274" t="s">
        <v>343</v>
      </c>
      <c r="T1274" t="s">
        <v>343</v>
      </c>
    </row>
    <row r="1275" spans="2:20" x14ac:dyDescent="0.25">
      <c r="B1275">
        <v>1270</v>
      </c>
      <c r="C1275" t="s">
        <v>1614</v>
      </c>
      <c r="D1275" s="10">
        <v>0.18002972675240811</v>
      </c>
      <c r="E1275" s="10">
        <v>0.98727991428002304</v>
      </c>
      <c r="F1275" s="10">
        <v>0.55168181666683669</v>
      </c>
      <c r="G1275" s="10">
        <v>0.33404772304062502</v>
      </c>
      <c r="H1275" s="6">
        <v>0.1624874564121852</v>
      </c>
      <c r="I1275" s="10">
        <v>10.04077365446156</v>
      </c>
      <c r="J1275" s="7">
        <v>1.2437265722690339E-2</v>
      </c>
      <c r="K1275" s="5">
        <v>0.15999426714956791</v>
      </c>
      <c r="L1275">
        <v>254.48296706941699</v>
      </c>
      <c r="M1275" s="10">
        <v>-0.56894798103233468</v>
      </c>
      <c r="N1275" s="24" t="s">
        <v>343</v>
      </c>
      <c r="O1275" s="24">
        <v>16.86312113805992</v>
      </c>
      <c r="P1275">
        <v>65.259181598941382</v>
      </c>
      <c r="Q1275" t="s">
        <v>47</v>
      </c>
      <c r="R1275" t="s">
        <v>350</v>
      </c>
      <c r="S1275" t="s">
        <v>343</v>
      </c>
      <c r="T1275" t="s">
        <v>343</v>
      </c>
    </row>
    <row r="1276" spans="2:20" x14ac:dyDescent="0.25">
      <c r="B1276">
        <v>1271</v>
      </c>
      <c r="C1276" t="s">
        <v>1615</v>
      </c>
      <c r="D1276" s="10">
        <v>0.26969044595663538</v>
      </c>
      <c r="E1276" s="10">
        <v>0.85077614954327374</v>
      </c>
      <c r="F1276" s="10">
        <v>0.63284131785871622</v>
      </c>
      <c r="G1276" s="10">
        <v>0.39987613090473589</v>
      </c>
      <c r="H1276" s="6">
        <v>0.1330832389125618</v>
      </c>
      <c r="I1276" s="10">
        <v>9.6521450203491224</v>
      </c>
      <c r="J1276" s="7">
        <v>2.497054140105864E-2</v>
      </c>
      <c r="K1276" s="5">
        <v>0.18105945863753009</v>
      </c>
      <c r="L1276">
        <v>238.0755156146941</v>
      </c>
      <c r="M1276" s="10">
        <v>-0.59673948769825247</v>
      </c>
      <c r="N1276" s="24" t="s">
        <v>343</v>
      </c>
      <c r="O1276" s="24">
        <v>15.19563073810485</v>
      </c>
      <c r="P1276">
        <v>53.16788871281598</v>
      </c>
      <c r="Q1276" t="s">
        <v>47</v>
      </c>
      <c r="R1276" t="s">
        <v>350</v>
      </c>
      <c r="S1276" t="s">
        <v>343</v>
      </c>
      <c r="T1276" t="s">
        <v>343</v>
      </c>
    </row>
    <row r="1277" spans="2:20" x14ac:dyDescent="0.25">
      <c r="B1277">
        <v>1272</v>
      </c>
      <c r="C1277" t="s">
        <v>1616</v>
      </c>
      <c r="D1277" s="10">
        <v>0.22884894318391399</v>
      </c>
      <c r="E1277" s="10">
        <v>0.72208688445035929</v>
      </c>
      <c r="F1277" s="10">
        <v>0.51003484216262274</v>
      </c>
      <c r="G1277" s="10">
        <v>0.28654844323700818</v>
      </c>
      <c r="H1277" s="6">
        <v>0.26300787529070813</v>
      </c>
      <c r="I1277" s="10">
        <v>12.988727765323709</v>
      </c>
      <c r="J1277" s="7">
        <v>3.2788369168541463E-2</v>
      </c>
      <c r="K1277" s="5">
        <v>0.1027639150872513</v>
      </c>
      <c r="L1277">
        <v>134.40253550501259</v>
      </c>
      <c r="M1277" s="10">
        <v>-0.77234435392288625</v>
      </c>
      <c r="N1277" s="24" t="s">
        <v>343</v>
      </c>
      <c r="O1277" s="24">
        <v>4.6593387646268241</v>
      </c>
      <c r="P1277">
        <v>51.406471107689761</v>
      </c>
      <c r="Q1277" t="s">
        <v>47</v>
      </c>
      <c r="R1277" t="s">
        <v>350</v>
      </c>
      <c r="S1277" t="s">
        <v>343</v>
      </c>
      <c r="T1277" t="s">
        <v>343</v>
      </c>
    </row>
    <row r="1278" spans="2:20" x14ac:dyDescent="0.25">
      <c r="B1278">
        <v>1273</v>
      </c>
      <c r="C1278" t="s">
        <v>1617</v>
      </c>
      <c r="D1278" s="10">
        <v>0.19208395627205391</v>
      </c>
      <c r="E1278" s="10">
        <v>0.8933120147064304</v>
      </c>
      <c r="F1278" s="10">
        <v>0.58621045112318315</v>
      </c>
      <c r="G1278" s="10">
        <v>0.34312737434454932</v>
      </c>
      <c r="H1278" s="6">
        <v>0.24452496894897671</v>
      </c>
      <c r="I1278" s="10">
        <v>3.1747912736759099</v>
      </c>
      <c r="J1278" s="7">
        <v>3.4657543111181813E-2</v>
      </c>
      <c r="K1278" s="5">
        <v>0.17326061497728931</v>
      </c>
      <c r="L1278">
        <v>126.5862609966387</v>
      </c>
      <c r="M1278" s="10">
        <v>-0.78558382902976442</v>
      </c>
      <c r="N1278" s="24" t="s">
        <v>343</v>
      </c>
      <c r="O1278" s="24">
        <v>3.8649702582141359</v>
      </c>
      <c r="P1278">
        <v>70.686947756337389</v>
      </c>
      <c r="Q1278" t="s">
        <v>47</v>
      </c>
      <c r="R1278" t="s">
        <v>350</v>
      </c>
      <c r="S1278" t="s">
        <v>343</v>
      </c>
      <c r="T1278" t="s">
        <v>343</v>
      </c>
    </row>
    <row r="1279" spans="2:20" x14ac:dyDescent="0.25">
      <c r="B1279">
        <v>1274</v>
      </c>
      <c r="C1279" t="s">
        <v>1618</v>
      </c>
      <c r="D1279" s="10">
        <v>0.23865512747862991</v>
      </c>
      <c r="E1279" s="10">
        <v>0.7181165985873843</v>
      </c>
      <c r="F1279" s="10">
        <v>0.51244908853593274</v>
      </c>
      <c r="G1279" s="10">
        <v>0.38378283529678192</v>
      </c>
      <c r="H1279" s="6">
        <v>0.1370751887813875</v>
      </c>
      <c r="I1279" s="10">
        <v>3.7484104192778802</v>
      </c>
      <c r="J1279" s="7">
        <v>4.1256736883328718E-2</v>
      </c>
      <c r="K1279" s="5">
        <v>0.18384215872550269</v>
      </c>
      <c r="L1279">
        <v>117.51026981252311</v>
      </c>
      <c r="M1279" s="10">
        <v>-0.80095705565116981</v>
      </c>
      <c r="N1279" s="24" t="s">
        <v>343</v>
      </c>
      <c r="O1279" s="24">
        <v>2.942576660929809</v>
      </c>
      <c r="P1279">
        <v>55.382044603541253</v>
      </c>
      <c r="Q1279" t="s">
        <v>47</v>
      </c>
      <c r="R1279" t="s">
        <v>350</v>
      </c>
      <c r="S1279" t="s">
        <v>343</v>
      </c>
      <c r="T1279" t="s">
        <v>343</v>
      </c>
    </row>
    <row r="1280" spans="2:20" x14ac:dyDescent="0.25">
      <c r="B1280">
        <v>1275</v>
      </c>
      <c r="C1280" t="s">
        <v>1619</v>
      </c>
      <c r="D1280" s="10">
        <v>0.17027342993202149</v>
      </c>
      <c r="E1280" s="10">
        <v>0.69589872024304056</v>
      </c>
      <c r="F1280" s="10">
        <v>0.54103939583219063</v>
      </c>
      <c r="G1280" s="10">
        <v>0.35868968056191691</v>
      </c>
      <c r="H1280" s="6">
        <v>0.25148981514762458</v>
      </c>
      <c r="I1280" s="10">
        <v>10.94354715384986</v>
      </c>
      <c r="J1280" s="7">
        <v>3.9448334324845818E-2</v>
      </c>
      <c r="K1280" s="5">
        <v>0.1015365753621387</v>
      </c>
      <c r="L1280">
        <v>254.91419801049881</v>
      </c>
      <c r="M1280" s="10">
        <v>-0.56821754720434514</v>
      </c>
      <c r="N1280" s="24" t="s">
        <v>343</v>
      </c>
      <c r="O1280" s="24">
        <v>16.90694716773929</v>
      </c>
      <c r="P1280">
        <v>59.810297900110747</v>
      </c>
      <c r="Q1280" t="s">
        <v>47</v>
      </c>
      <c r="R1280" t="s">
        <v>350</v>
      </c>
      <c r="S1280" t="s">
        <v>343</v>
      </c>
      <c r="T1280" t="s">
        <v>343</v>
      </c>
    </row>
    <row r="1281" spans="2:20" x14ac:dyDescent="0.25">
      <c r="B1281">
        <v>1276</v>
      </c>
      <c r="C1281" t="s">
        <v>1620</v>
      </c>
      <c r="D1281" s="10">
        <v>0.25311542430630379</v>
      </c>
      <c r="E1281" s="10">
        <v>0.81034119589421438</v>
      </c>
      <c r="F1281" s="10">
        <v>0.67567604280319438</v>
      </c>
      <c r="G1281" s="10">
        <v>0.37383223609898852</v>
      </c>
      <c r="H1281" s="6">
        <v>0.2224434083944706</v>
      </c>
      <c r="I1281" s="10">
        <v>6.8887851087705814</v>
      </c>
      <c r="J1281" s="7">
        <v>1.407931332588264E-2</v>
      </c>
      <c r="K1281" s="5">
        <v>0.153101480355194</v>
      </c>
      <c r="L1281">
        <v>151.11401006024391</v>
      </c>
      <c r="M1281" s="10">
        <v>-0.7440378824528554</v>
      </c>
      <c r="N1281" s="24" t="s">
        <v>343</v>
      </c>
      <c r="O1281" s="24">
        <v>6.3577270528286789</v>
      </c>
      <c r="P1281">
        <v>55.11084893754056</v>
      </c>
      <c r="Q1281" t="s">
        <v>47</v>
      </c>
      <c r="R1281" t="s">
        <v>350</v>
      </c>
      <c r="S1281" t="s">
        <v>343</v>
      </c>
      <c r="T1281" t="s">
        <v>343</v>
      </c>
    </row>
    <row r="1282" spans="2:20" x14ac:dyDescent="0.25">
      <c r="B1282">
        <v>1277</v>
      </c>
      <c r="C1282" t="s">
        <v>1621</v>
      </c>
      <c r="D1282" s="10">
        <v>0.20303894470961559</v>
      </c>
      <c r="E1282" s="10">
        <v>0.60358133703830985</v>
      </c>
      <c r="F1282" s="10">
        <v>0.66251830262867906</v>
      </c>
      <c r="G1282" s="10">
        <v>0.3601667498848915</v>
      </c>
      <c r="H1282" s="6">
        <v>0.16881616977429131</v>
      </c>
      <c r="I1282" s="10">
        <v>13.851746348547961</v>
      </c>
      <c r="J1282" s="7">
        <v>3.1307454932309513E-2</v>
      </c>
      <c r="K1282" s="5">
        <v>0.13311590609500989</v>
      </c>
      <c r="L1282">
        <v>277.72428699511562</v>
      </c>
      <c r="M1282" s="10">
        <v>-0.52958103245886456</v>
      </c>
      <c r="N1282" s="24" t="s">
        <v>343</v>
      </c>
      <c r="O1282" s="24">
        <v>19.225138052468129</v>
      </c>
      <c r="P1282">
        <v>61.87903056486175</v>
      </c>
      <c r="Q1282" t="s">
        <v>47</v>
      </c>
      <c r="R1282" t="s">
        <v>350</v>
      </c>
      <c r="S1282" t="s">
        <v>343</v>
      </c>
      <c r="T1282" t="s">
        <v>343</v>
      </c>
    </row>
    <row r="1283" spans="2:20" x14ac:dyDescent="0.25">
      <c r="B1283">
        <v>1278</v>
      </c>
      <c r="C1283" t="s">
        <v>1622</v>
      </c>
      <c r="D1283" s="10">
        <v>0.2876094561019501</v>
      </c>
      <c r="E1283" s="10">
        <v>0.49805488996346392</v>
      </c>
      <c r="F1283" s="10">
        <v>0.57416456128858373</v>
      </c>
      <c r="G1283" s="10">
        <v>0.28383003763380438</v>
      </c>
      <c r="H1283" s="6">
        <v>0.2506875831622698</v>
      </c>
      <c r="I1283" s="10">
        <v>5.3805399478581837</v>
      </c>
      <c r="J1283" s="7">
        <v>3.0876849391882621E-2</v>
      </c>
      <c r="K1283" s="5">
        <v>0.1048224573372866</v>
      </c>
      <c r="L1283">
        <v>48.420927578351538</v>
      </c>
      <c r="M1283" s="10">
        <v>-0.91798296430879722</v>
      </c>
      <c r="N1283" s="24" t="s">
        <v>343</v>
      </c>
      <c r="O1283" s="24">
        <v>0</v>
      </c>
      <c r="P1283">
        <v>45.828232882036311</v>
      </c>
      <c r="Q1283" t="s">
        <v>346</v>
      </c>
      <c r="R1283" t="s">
        <v>347</v>
      </c>
      <c r="S1283" t="s">
        <v>343</v>
      </c>
      <c r="T1283" t="s">
        <v>343</v>
      </c>
    </row>
    <row r="1284" spans="2:20" x14ac:dyDescent="0.25">
      <c r="B1284">
        <v>1279</v>
      </c>
      <c r="C1284" t="s">
        <v>1623</v>
      </c>
      <c r="D1284" s="10">
        <v>0.20965791342777179</v>
      </c>
      <c r="E1284" s="10">
        <v>0.91226648799832266</v>
      </c>
      <c r="F1284" s="10">
        <v>0.50190746314274048</v>
      </c>
      <c r="G1284" s="10">
        <v>0.33024517589397667</v>
      </c>
      <c r="H1284" s="6">
        <v>0.20970332816729381</v>
      </c>
      <c r="I1284" s="10">
        <v>5.0176094190092906</v>
      </c>
      <c r="J1284" s="7">
        <v>2.0631177118715979E-2</v>
      </c>
      <c r="K1284" s="5">
        <v>0.13968607133522359</v>
      </c>
      <c r="L1284">
        <v>152.65640250762371</v>
      </c>
      <c r="M1284" s="10">
        <v>-0.74142532497547353</v>
      </c>
      <c r="N1284" s="24" t="s">
        <v>343</v>
      </c>
      <c r="O1284" s="24">
        <v>6.5144805014715956</v>
      </c>
      <c r="P1284">
        <v>69.279227657077925</v>
      </c>
      <c r="Q1284" t="s">
        <v>47</v>
      </c>
      <c r="R1284" t="s">
        <v>350</v>
      </c>
      <c r="S1284" t="s">
        <v>343</v>
      </c>
      <c r="T1284" t="s">
        <v>343</v>
      </c>
    </row>
    <row r="1285" spans="2:20" x14ac:dyDescent="0.25">
      <c r="B1285">
        <v>1280</v>
      </c>
      <c r="C1285" t="s">
        <v>1624</v>
      </c>
      <c r="D1285" s="10">
        <v>0.23283522385308819</v>
      </c>
      <c r="E1285" s="10">
        <v>1.2270419797653309</v>
      </c>
      <c r="F1285" s="10">
        <v>0.49022781731058601</v>
      </c>
      <c r="G1285" s="10">
        <v>0.35703680900506007</v>
      </c>
      <c r="H1285" s="6">
        <v>0.24730047665015789</v>
      </c>
      <c r="I1285" s="10">
        <v>9.4704400705352967</v>
      </c>
      <c r="J1285" s="7">
        <v>1.644369971412624E-2</v>
      </c>
      <c r="K1285" s="5">
        <v>0.1611828634113292</v>
      </c>
      <c r="L1285">
        <v>248.9811656153374</v>
      </c>
      <c r="M1285" s="10">
        <v>-0.57826712192435881</v>
      </c>
      <c r="N1285" s="24" t="s">
        <v>343</v>
      </c>
      <c r="O1285" s="24">
        <v>16.303972684538468</v>
      </c>
      <c r="P1285">
        <v>22.860168042464789</v>
      </c>
      <c r="Q1285" t="s">
        <v>348</v>
      </c>
      <c r="R1285" t="s">
        <v>353</v>
      </c>
      <c r="S1285" t="s">
        <v>343</v>
      </c>
      <c r="T1285" t="s">
        <v>343</v>
      </c>
    </row>
    <row r="1286" spans="2:20" x14ac:dyDescent="0.25">
      <c r="B1286">
        <v>1281</v>
      </c>
      <c r="C1286" t="s">
        <v>1625</v>
      </c>
      <c r="D1286" s="10">
        <v>0.16185928638529609</v>
      </c>
      <c r="E1286" s="10">
        <v>0.46811099549848151</v>
      </c>
      <c r="F1286" s="10">
        <v>0.68806271178928569</v>
      </c>
      <c r="G1286" s="10">
        <v>0.41161380331610808</v>
      </c>
      <c r="H1286" s="6">
        <v>0.19039018867308791</v>
      </c>
      <c r="I1286" s="10">
        <v>6.0736780677753819</v>
      </c>
      <c r="J1286" s="7">
        <v>1.6982803064786549E-2</v>
      </c>
      <c r="K1286" s="5">
        <v>0.1873062950009923</v>
      </c>
      <c r="L1286">
        <v>82.941995599908196</v>
      </c>
      <c r="M1286" s="10">
        <v>-0.85950998971654069</v>
      </c>
      <c r="N1286" s="24" t="s">
        <v>343</v>
      </c>
      <c r="O1286" s="24">
        <v>0</v>
      </c>
      <c r="P1286">
        <v>55.644254173413962</v>
      </c>
      <c r="Q1286" t="s">
        <v>47</v>
      </c>
      <c r="R1286" t="s">
        <v>350</v>
      </c>
      <c r="S1286" t="s">
        <v>343</v>
      </c>
      <c r="T1286" t="s">
        <v>343</v>
      </c>
    </row>
    <row r="1287" spans="2:20" x14ac:dyDescent="0.25">
      <c r="B1287">
        <v>1282</v>
      </c>
      <c r="C1287" t="s">
        <v>1626</v>
      </c>
      <c r="D1287" s="10">
        <v>0.17159150204712939</v>
      </c>
      <c r="E1287" s="10">
        <v>0.33600777466464049</v>
      </c>
      <c r="F1287" s="10">
        <v>0.49270631509277868</v>
      </c>
      <c r="G1287" s="10">
        <v>0.38385893217729938</v>
      </c>
      <c r="H1287" s="6">
        <v>0.19509765602427409</v>
      </c>
      <c r="I1287" s="10">
        <v>6.7454228357592338</v>
      </c>
      <c r="J1287" s="7">
        <v>1.621417191640432E-2</v>
      </c>
      <c r="K1287" s="5">
        <v>0.15895039621712681</v>
      </c>
      <c r="L1287">
        <v>61.33805639267846</v>
      </c>
      <c r="M1287" s="10">
        <v>-0.89610348640581361</v>
      </c>
      <c r="N1287" s="24" t="s">
        <v>343</v>
      </c>
      <c r="O1287" s="24">
        <v>0</v>
      </c>
      <c r="P1287">
        <v>63.22589739787886</v>
      </c>
      <c r="Q1287" t="s">
        <v>47</v>
      </c>
      <c r="R1287" t="s">
        <v>350</v>
      </c>
      <c r="S1287" t="s">
        <v>343</v>
      </c>
      <c r="T1287" t="s">
        <v>343</v>
      </c>
    </row>
    <row r="1288" spans="2:20" x14ac:dyDescent="0.25">
      <c r="B1288">
        <v>1283</v>
      </c>
      <c r="C1288" t="s">
        <v>1627</v>
      </c>
      <c r="D1288" s="10">
        <v>0.2227989690250696</v>
      </c>
      <c r="E1288" s="10">
        <v>0.57149291966943971</v>
      </c>
      <c r="F1288" s="10">
        <v>0.65012376083726009</v>
      </c>
      <c r="G1288" s="10">
        <v>0.33385000794090558</v>
      </c>
      <c r="H1288" s="6">
        <v>0.16365150441164339</v>
      </c>
      <c r="I1288" s="10">
        <v>13.13126756381128</v>
      </c>
      <c r="J1288" s="7">
        <v>3.8219228534524523E-2</v>
      </c>
      <c r="K1288" s="5">
        <v>0.1813905927478188</v>
      </c>
      <c r="L1288">
        <v>181.33387261826729</v>
      </c>
      <c r="M1288" s="10">
        <v>-0.69285043789194678</v>
      </c>
      <c r="N1288" s="24" t="s">
        <v>343</v>
      </c>
      <c r="O1288" s="24">
        <v>9.4289737264831928</v>
      </c>
      <c r="P1288">
        <v>59.014134637250123</v>
      </c>
      <c r="Q1288" t="s">
        <v>47</v>
      </c>
      <c r="R1288" t="s">
        <v>350</v>
      </c>
      <c r="S1288" t="s">
        <v>343</v>
      </c>
      <c r="T1288" t="s">
        <v>343</v>
      </c>
    </row>
    <row r="1289" spans="2:20" x14ac:dyDescent="0.25">
      <c r="B1289">
        <v>1284</v>
      </c>
      <c r="C1289" t="s">
        <v>1628</v>
      </c>
      <c r="D1289" s="10">
        <v>0.23679021355473981</v>
      </c>
      <c r="E1289" s="10">
        <v>1.3776927077991921</v>
      </c>
      <c r="F1289" s="10">
        <v>0.53593225447923964</v>
      </c>
      <c r="G1289" s="10">
        <v>0.45436796307501198</v>
      </c>
      <c r="H1289" s="6">
        <v>0.1781539037917062</v>
      </c>
      <c r="I1289" s="10">
        <v>3.2886693551249921</v>
      </c>
      <c r="J1289" s="7">
        <v>1.519375677303309E-2</v>
      </c>
      <c r="K1289" s="5">
        <v>0.1115492931340837</v>
      </c>
      <c r="L1289">
        <v>252.7998505036436</v>
      </c>
      <c r="M1289" s="10">
        <v>-0.57179890187072868</v>
      </c>
      <c r="N1289" s="24" t="s">
        <v>343</v>
      </c>
      <c r="O1289" s="24">
        <v>16.692065887756279</v>
      </c>
      <c r="P1289">
        <v>15.0318514352719</v>
      </c>
      <c r="Q1289" t="s">
        <v>348</v>
      </c>
      <c r="R1289" t="s">
        <v>353</v>
      </c>
      <c r="S1289" t="s">
        <v>343</v>
      </c>
      <c r="T1289" t="s">
        <v>343</v>
      </c>
    </row>
    <row r="1290" spans="2:20" x14ac:dyDescent="0.25">
      <c r="B1290">
        <v>1285</v>
      </c>
      <c r="C1290" t="s">
        <v>1629</v>
      </c>
      <c r="D1290" s="10">
        <v>0.25600328769908859</v>
      </c>
      <c r="E1290" s="10">
        <v>1.211633881117673</v>
      </c>
      <c r="F1290" s="10">
        <v>0.69627156036514193</v>
      </c>
      <c r="G1290" s="10">
        <v>0.26371501476953951</v>
      </c>
      <c r="H1290" s="6">
        <v>0.2051628103692332</v>
      </c>
      <c r="I1290" s="10">
        <v>8.8438536190893711</v>
      </c>
      <c r="J1290" s="7">
        <v>1.9253719206963189E-2</v>
      </c>
      <c r="K1290" s="5">
        <v>0.11999951091469779</v>
      </c>
      <c r="L1290">
        <v>196.1077410319285</v>
      </c>
      <c r="M1290" s="10">
        <v>-0.66782595047336768</v>
      </c>
      <c r="N1290" s="24" t="s">
        <v>343</v>
      </c>
      <c r="O1290" s="24">
        <v>10.930442971597939</v>
      </c>
      <c r="P1290">
        <v>53.369095228846348</v>
      </c>
      <c r="Q1290" t="s">
        <v>47</v>
      </c>
      <c r="R1290" t="s">
        <v>350</v>
      </c>
      <c r="S1290" t="s">
        <v>343</v>
      </c>
      <c r="T1290" t="s">
        <v>343</v>
      </c>
    </row>
    <row r="1291" spans="2:20" x14ac:dyDescent="0.25">
      <c r="B1291">
        <v>1286</v>
      </c>
      <c r="C1291" t="s">
        <v>1630</v>
      </c>
      <c r="D1291" s="10">
        <v>0.20666601259348849</v>
      </c>
      <c r="E1291" s="10">
        <v>0.95545265888145603</v>
      </c>
      <c r="F1291" s="10">
        <v>0.53572049249432485</v>
      </c>
      <c r="G1291" s="10">
        <v>0.28549707108209299</v>
      </c>
      <c r="H1291" s="6">
        <v>0.26205888355629259</v>
      </c>
      <c r="I1291" s="10">
        <v>6.6838937082148853</v>
      </c>
      <c r="J1291" s="7">
        <v>1.762259415825999E-2</v>
      </c>
      <c r="K1291" s="5">
        <v>0.19217782210038389</v>
      </c>
      <c r="L1291">
        <v>139.27564804985411</v>
      </c>
      <c r="M1291" s="10">
        <v>-0.76409010796960941</v>
      </c>
      <c r="N1291" s="24" t="s">
        <v>343</v>
      </c>
      <c r="O1291" s="24">
        <v>5.1545935218234291</v>
      </c>
      <c r="P1291">
        <v>60.70257067780247</v>
      </c>
      <c r="Q1291" t="s">
        <v>47</v>
      </c>
      <c r="R1291" t="s">
        <v>350</v>
      </c>
      <c r="S1291" t="s">
        <v>343</v>
      </c>
      <c r="T1291" t="s">
        <v>343</v>
      </c>
    </row>
    <row r="1292" spans="2:20" x14ac:dyDescent="0.25">
      <c r="B1292">
        <v>1287</v>
      </c>
      <c r="C1292" t="s">
        <v>1631</v>
      </c>
      <c r="D1292" s="10">
        <v>0.27119710178024681</v>
      </c>
      <c r="E1292" s="10">
        <v>1.3221738067674489</v>
      </c>
      <c r="F1292" s="10">
        <v>0.53139432247678875</v>
      </c>
      <c r="G1292" s="10">
        <v>0.31508877420696613</v>
      </c>
      <c r="H1292" s="6">
        <v>0.21001766399522021</v>
      </c>
      <c r="I1292" s="10">
        <v>6.8059117354861796</v>
      </c>
      <c r="J1292" s="7">
        <v>3.4949989134316108E-2</v>
      </c>
      <c r="K1292" s="5">
        <v>0.18430306557436221</v>
      </c>
      <c r="L1292">
        <v>162.18192031099969</v>
      </c>
      <c r="M1292" s="10">
        <v>-0.72529067467592079</v>
      </c>
      <c r="N1292" s="24" t="s">
        <v>343</v>
      </c>
      <c r="O1292" s="24">
        <v>7.4825595194447558</v>
      </c>
      <c r="P1292">
        <v>24.25818960358129</v>
      </c>
      <c r="Q1292" t="s">
        <v>348</v>
      </c>
      <c r="R1292" t="s">
        <v>375</v>
      </c>
      <c r="S1292" t="s">
        <v>343</v>
      </c>
      <c r="T1292" t="s">
        <v>343</v>
      </c>
    </row>
    <row r="1293" spans="2:20" x14ac:dyDescent="0.25">
      <c r="B1293">
        <v>1288</v>
      </c>
      <c r="C1293" t="s">
        <v>1632</v>
      </c>
      <c r="D1293" s="10">
        <v>0.29761958355027268</v>
      </c>
      <c r="E1293" s="10">
        <v>0.78980702852096907</v>
      </c>
      <c r="F1293" s="10">
        <v>0.60574054350818196</v>
      </c>
      <c r="G1293" s="10">
        <v>0.29028585693734021</v>
      </c>
      <c r="H1293" s="6">
        <v>0.14210672876705899</v>
      </c>
      <c r="I1293" s="10">
        <v>5.7258969087714773</v>
      </c>
      <c r="J1293" s="7">
        <v>1.554385630372461E-2</v>
      </c>
      <c r="K1293" s="5">
        <v>0.1223465605369024</v>
      </c>
      <c r="L1293">
        <v>90.4949105106177</v>
      </c>
      <c r="M1293" s="10">
        <v>-0.84671660217141564</v>
      </c>
      <c r="N1293" s="24" t="s">
        <v>343</v>
      </c>
      <c r="O1293" s="24">
        <v>0.19700386971506131</v>
      </c>
      <c r="P1293">
        <v>55.062525714684199</v>
      </c>
      <c r="Q1293" t="s">
        <v>47</v>
      </c>
      <c r="R1293" t="s">
        <v>350</v>
      </c>
      <c r="S1293" t="s">
        <v>343</v>
      </c>
      <c r="T1293" t="s">
        <v>343</v>
      </c>
    </row>
    <row r="1294" spans="2:20" x14ac:dyDescent="0.25">
      <c r="B1294">
        <v>1289</v>
      </c>
      <c r="C1294" t="s">
        <v>1633</v>
      </c>
      <c r="D1294" s="10">
        <v>0.284776158222936</v>
      </c>
      <c r="E1294" s="10">
        <v>1.3816086628326909</v>
      </c>
      <c r="F1294" s="10">
        <v>0.6899943697229729</v>
      </c>
      <c r="G1294" s="10">
        <v>0.37759723929732247</v>
      </c>
      <c r="H1294" s="6">
        <v>0.121049427821473</v>
      </c>
      <c r="I1294" s="10">
        <v>4.4833509545598211</v>
      </c>
      <c r="J1294" s="7">
        <v>1.0842273341296759E-2</v>
      </c>
      <c r="K1294" s="5">
        <v>0.15899251877077011</v>
      </c>
      <c r="L1294">
        <v>273.15116457016842</v>
      </c>
      <c r="M1294" s="10">
        <v>-0.537327144809567</v>
      </c>
      <c r="N1294" s="24" t="s">
        <v>343</v>
      </c>
      <c r="O1294" s="24">
        <v>18.760371311425981</v>
      </c>
      <c r="P1294">
        <v>48.290763787733127</v>
      </c>
      <c r="Q1294" t="s">
        <v>346</v>
      </c>
      <c r="R1294" t="s">
        <v>347</v>
      </c>
      <c r="S1294" t="s">
        <v>343</v>
      </c>
      <c r="T1294" t="s">
        <v>343</v>
      </c>
    </row>
    <row r="1295" spans="2:20" x14ac:dyDescent="0.25">
      <c r="B1295">
        <v>1290</v>
      </c>
      <c r="C1295" t="s">
        <v>1634</v>
      </c>
      <c r="D1295" s="10">
        <v>0.16633901205573709</v>
      </c>
      <c r="E1295" s="10">
        <v>0.62593224963121241</v>
      </c>
      <c r="F1295" s="10">
        <v>0.69381449750707258</v>
      </c>
      <c r="G1295" s="10">
        <v>0.24870116045397611</v>
      </c>
      <c r="H1295" s="6">
        <v>0.24764817832630201</v>
      </c>
      <c r="I1295" s="10">
        <v>3.37929827897565</v>
      </c>
      <c r="J1295" s="7">
        <v>2.309788976713812E-2</v>
      </c>
      <c r="K1295" s="5">
        <v>0.1344501120602106</v>
      </c>
      <c r="L1295">
        <v>42.628579976376869</v>
      </c>
      <c r="M1295" s="10">
        <v>-0.92779424227818941</v>
      </c>
      <c r="N1295" s="24" t="s">
        <v>343</v>
      </c>
      <c r="O1295" s="24">
        <v>0</v>
      </c>
      <c r="P1295">
        <v>58.049878198273468</v>
      </c>
      <c r="Q1295" t="s">
        <v>47</v>
      </c>
      <c r="R1295" t="s">
        <v>350</v>
      </c>
      <c r="S1295" t="s">
        <v>343</v>
      </c>
      <c r="T1295" t="s">
        <v>343</v>
      </c>
    </row>
    <row r="1296" spans="2:20" x14ac:dyDescent="0.25">
      <c r="B1296">
        <v>1291</v>
      </c>
      <c r="C1296" t="s">
        <v>1635</v>
      </c>
      <c r="D1296" s="10">
        <v>0.23688111156125261</v>
      </c>
      <c r="E1296" s="10">
        <v>0.56433632446753301</v>
      </c>
      <c r="F1296" s="10">
        <v>0.62387359808141607</v>
      </c>
      <c r="G1296" s="10">
        <v>0.27903609254015149</v>
      </c>
      <c r="H1296" s="6">
        <v>0.17464881350492301</v>
      </c>
      <c r="I1296" s="10">
        <v>13.86465056863949</v>
      </c>
      <c r="J1296" s="7">
        <v>2.0678299140284531E-2</v>
      </c>
      <c r="K1296" s="5">
        <v>0.14451685832923941</v>
      </c>
      <c r="L1296">
        <v>120.7408082755619</v>
      </c>
      <c r="M1296" s="10">
        <v>-0.79548505827986538</v>
      </c>
      <c r="N1296" s="24" t="s">
        <v>343</v>
      </c>
      <c r="O1296" s="24">
        <v>3.2708965032080779</v>
      </c>
      <c r="P1296">
        <v>54.68282386168535</v>
      </c>
      <c r="Q1296" t="s">
        <v>47</v>
      </c>
      <c r="R1296" t="s">
        <v>350</v>
      </c>
      <c r="S1296" t="s">
        <v>343</v>
      </c>
      <c r="T1296" t="s">
        <v>343</v>
      </c>
    </row>
    <row r="1297" spans="2:20" x14ac:dyDescent="0.25">
      <c r="B1297">
        <v>1292</v>
      </c>
      <c r="C1297" t="s">
        <v>1636</v>
      </c>
      <c r="D1297" s="10">
        <v>0.176788828546908</v>
      </c>
      <c r="E1297" s="10">
        <v>1.0018530212617121</v>
      </c>
      <c r="F1297" s="10">
        <v>0.63619765506545189</v>
      </c>
      <c r="G1297" s="10">
        <v>0.30453639228489288</v>
      </c>
      <c r="H1297" s="6">
        <v>0.16724489094597489</v>
      </c>
      <c r="I1297" s="10">
        <v>10.26402627624763</v>
      </c>
      <c r="J1297" s="7">
        <v>2.3919664673451281E-2</v>
      </c>
      <c r="K1297" s="5">
        <v>0.18178342416376761</v>
      </c>
      <c r="L1297">
        <v>148.10342003710679</v>
      </c>
      <c r="M1297" s="10">
        <v>-0.74913732357734986</v>
      </c>
      <c r="N1297" s="24" t="s">
        <v>343</v>
      </c>
      <c r="O1297" s="24">
        <v>6.0517605853590126</v>
      </c>
      <c r="P1297">
        <v>59.22563582632619</v>
      </c>
      <c r="Q1297" t="s">
        <v>47</v>
      </c>
      <c r="R1297" t="s">
        <v>350</v>
      </c>
      <c r="S1297" t="s">
        <v>343</v>
      </c>
      <c r="T1297" t="s">
        <v>343</v>
      </c>
    </row>
    <row r="1298" spans="2:20" x14ac:dyDescent="0.25">
      <c r="B1298">
        <v>1293</v>
      </c>
      <c r="C1298" t="s">
        <v>1637</v>
      </c>
      <c r="D1298" s="10">
        <v>0.19872720253800441</v>
      </c>
      <c r="E1298" s="10">
        <v>0.71596936474539641</v>
      </c>
      <c r="F1298" s="10">
        <v>0.58648456575298713</v>
      </c>
      <c r="G1298" s="10">
        <v>0.39033607051744967</v>
      </c>
      <c r="H1298" s="6">
        <v>0.24010966844135731</v>
      </c>
      <c r="I1298" s="10">
        <v>11.54925837326399</v>
      </c>
      <c r="J1298" s="7">
        <v>3.6383550868968148E-2</v>
      </c>
      <c r="K1298" s="5">
        <v>0.16989269796263809</v>
      </c>
      <c r="L1298">
        <v>168.35266041828709</v>
      </c>
      <c r="M1298" s="10">
        <v>-0.7148384624418288</v>
      </c>
      <c r="N1298" s="24" t="s">
        <v>343</v>
      </c>
      <c r="O1298" s="24">
        <v>8.1096922534902767</v>
      </c>
      <c r="P1298">
        <v>54.720713440621168</v>
      </c>
      <c r="Q1298" t="s">
        <v>47</v>
      </c>
      <c r="R1298" t="s">
        <v>350</v>
      </c>
      <c r="S1298" t="s">
        <v>343</v>
      </c>
      <c r="T1298" t="s">
        <v>343</v>
      </c>
    </row>
    <row r="1299" spans="2:20" x14ac:dyDescent="0.25">
      <c r="B1299">
        <v>1294</v>
      </c>
      <c r="C1299" t="s">
        <v>1638</v>
      </c>
      <c r="D1299" s="10">
        <v>0.31786601492274352</v>
      </c>
      <c r="E1299" s="10">
        <v>0.98900209617388346</v>
      </c>
      <c r="F1299" s="10">
        <v>0.63650169217440622</v>
      </c>
      <c r="G1299" s="10">
        <v>0.43269027416784822</v>
      </c>
      <c r="H1299" s="6">
        <v>0.26180464486347532</v>
      </c>
      <c r="I1299" s="10">
        <v>3.7150252922993361</v>
      </c>
      <c r="J1299" s="7">
        <v>1.0432841811330661E-2</v>
      </c>
      <c r="K1299" s="5">
        <v>0.1226520433634091</v>
      </c>
      <c r="L1299">
        <v>204.47860517962371</v>
      </c>
      <c r="M1299" s="10">
        <v>-0.65364709232454776</v>
      </c>
      <c r="N1299" s="24" t="s">
        <v>343</v>
      </c>
      <c r="O1299" s="24">
        <v>11.78117446052714</v>
      </c>
      <c r="P1299">
        <v>51.555319661839391</v>
      </c>
      <c r="Q1299" t="s">
        <v>47</v>
      </c>
      <c r="R1299" t="s">
        <v>350</v>
      </c>
      <c r="S1299" t="s">
        <v>343</v>
      </c>
      <c r="T1299" t="s">
        <v>343</v>
      </c>
    </row>
    <row r="1300" spans="2:20" x14ac:dyDescent="0.25">
      <c r="B1300">
        <v>1295</v>
      </c>
      <c r="C1300" t="s">
        <v>1639</v>
      </c>
      <c r="D1300" s="10">
        <v>0.1827992868642421</v>
      </c>
      <c r="E1300" s="10">
        <v>0.63549507013295425</v>
      </c>
      <c r="F1300" s="10">
        <v>0.66354271029232903</v>
      </c>
      <c r="G1300" s="10">
        <v>0.41566818952167189</v>
      </c>
      <c r="H1300" s="6">
        <v>0.23220676325279349</v>
      </c>
      <c r="I1300" s="10">
        <v>3.1632115485525478</v>
      </c>
      <c r="J1300" s="7">
        <v>1.131976606081456E-2</v>
      </c>
      <c r="K1300" s="5">
        <v>0.1300193420962038</v>
      </c>
      <c r="L1300">
        <v>121.9914893044361</v>
      </c>
      <c r="M1300" s="10">
        <v>-0.79336661165536615</v>
      </c>
      <c r="N1300" s="24" t="s">
        <v>343</v>
      </c>
      <c r="O1300" s="24">
        <v>3.398003300678027</v>
      </c>
      <c r="P1300">
        <v>57.559152927015717</v>
      </c>
      <c r="Q1300" t="s">
        <v>47</v>
      </c>
      <c r="R1300" t="s">
        <v>350</v>
      </c>
      <c r="S1300" t="s">
        <v>343</v>
      </c>
      <c r="T1300" t="s">
        <v>343</v>
      </c>
    </row>
    <row r="1301" spans="2:20" x14ac:dyDescent="0.25">
      <c r="B1301">
        <v>1296</v>
      </c>
      <c r="C1301" t="s">
        <v>1640</v>
      </c>
      <c r="D1301" s="10">
        <v>0.239822104552217</v>
      </c>
      <c r="E1301" s="10">
        <v>0.97971008252179015</v>
      </c>
      <c r="F1301" s="10">
        <v>0.56638477883070604</v>
      </c>
      <c r="G1301" s="10">
        <v>0.28005780531505609</v>
      </c>
      <c r="H1301" s="6">
        <v>0.14607709693671481</v>
      </c>
      <c r="I1301" s="10">
        <v>9.603175560513888</v>
      </c>
      <c r="J1301" s="7">
        <v>1.8947562115303272E-2</v>
      </c>
      <c r="K1301" s="5">
        <v>0.1275224936828048</v>
      </c>
      <c r="L1301">
        <v>188.9393915138931</v>
      </c>
      <c r="M1301" s="10">
        <v>-0.6799679479044658</v>
      </c>
      <c r="N1301" s="24" t="s">
        <v>343</v>
      </c>
      <c r="O1301" s="24">
        <v>10.20192312573205</v>
      </c>
      <c r="P1301">
        <v>55.627837060525287</v>
      </c>
      <c r="Q1301" t="s">
        <v>47</v>
      </c>
      <c r="R1301" t="s">
        <v>350</v>
      </c>
      <c r="S1301" t="s">
        <v>343</v>
      </c>
      <c r="T1301" t="s">
        <v>343</v>
      </c>
    </row>
    <row r="1302" spans="2:20" x14ac:dyDescent="0.25">
      <c r="B1302">
        <v>1297</v>
      </c>
      <c r="C1302" t="s">
        <v>1641</v>
      </c>
      <c r="D1302" s="10">
        <v>0.25890491749089911</v>
      </c>
      <c r="E1302" s="10">
        <v>0.60332088664354</v>
      </c>
      <c r="F1302" s="10">
        <v>0.60116418833582674</v>
      </c>
      <c r="G1302" s="10">
        <v>0.36438926685703521</v>
      </c>
      <c r="H1302" s="6">
        <v>0.1787067440386563</v>
      </c>
      <c r="I1302" s="10">
        <v>10.9621452815687</v>
      </c>
      <c r="J1302" s="7">
        <v>4.1122297019793912E-2</v>
      </c>
      <c r="K1302" s="5">
        <v>0.17416296394237071</v>
      </c>
      <c r="L1302">
        <v>191.16965468513109</v>
      </c>
      <c r="M1302" s="10">
        <v>-0.67619025129135935</v>
      </c>
      <c r="N1302" s="24" t="s">
        <v>343</v>
      </c>
      <c r="O1302" s="24">
        <v>10.428584922518439</v>
      </c>
      <c r="P1302">
        <v>64.873681777074438</v>
      </c>
      <c r="Q1302" t="s">
        <v>47</v>
      </c>
      <c r="R1302" t="s">
        <v>350</v>
      </c>
      <c r="S1302" t="s">
        <v>343</v>
      </c>
      <c r="T1302" t="s">
        <v>343</v>
      </c>
    </row>
    <row r="1303" spans="2:20" x14ac:dyDescent="0.25">
      <c r="B1303">
        <v>1298</v>
      </c>
      <c r="C1303" t="s">
        <v>1642</v>
      </c>
      <c r="D1303" s="10">
        <v>0.27239439528705672</v>
      </c>
      <c r="E1303" s="10">
        <v>0.3560692757007789</v>
      </c>
      <c r="F1303" s="10">
        <v>0.57970234076059235</v>
      </c>
      <c r="G1303" s="10">
        <v>0.24660498197583119</v>
      </c>
      <c r="H1303" s="6">
        <v>0.23390978286521111</v>
      </c>
      <c r="I1303" s="10">
        <v>7.3435289284790164</v>
      </c>
      <c r="J1303" s="7">
        <v>1.591760752092173E-2</v>
      </c>
      <c r="K1303" s="5">
        <v>0.146558400007999</v>
      </c>
      <c r="L1303">
        <v>55.735929987825983</v>
      </c>
      <c r="M1303" s="10">
        <v>-0.90559256115660047</v>
      </c>
      <c r="N1303" s="24" t="s">
        <v>343</v>
      </c>
      <c r="O1303" s="24">
        <v>0</v>
      </c>
      <c r="P1303">
        <v>62.8179871878733</v>
      </c>
      <c r="Q1303" t="s">
        <v>47</v>
      </c>
      <c r="R1303" t="s">
        <v>350</v>
      </c>
      <c r="S1303" t="s">
        <v>343</v>
      </c>
      <c r="T1303" t="s">
        <v>343</v>
      </c>
    </row>
    <row r="1304" spans="2:20" x14ac:dyDescent="0.25">
      <c r="B1304">
        <v>1299</v>
      </c>
      <c r="C1304" t="s">
        <v>1643</v>
      </c>
      <c r="D1304" s="10">
        <v>0.2495437893579063</v>
      </c>
      <c r="E1304" s="10">
        <v>1.303349492115502</v>
      </c>
      <c r="F1304" s="10">
        <v>0.58624235951745607</v>
      </c>
      <c r="G1304" s="10">
        <v>0.30831809057762949</v>
      </c>
      <c r="H1304" s="6">
        <v>0.25603887220058602</v>
      </c>
      <c r="I1304" s="10">
        <v>7.2653061955232037</v>
      </c>
      <c r="J1304" s="7">
        <v>4.4896328487356231E-2</v>
      </c>
      <c r="K1304" s="5">
        <v>0.19031880916731669</v>
      </c>
      <c r="L1304">
        <v>141.8236233229199</v>
      </c>
      <c r="M1304" s="10">
        <v>-0.75977425965024004</v>
      </c>
      <c r="N1304" s="24" t="s">
        <v>343</v>
      </c>
      <c r="O1304" s="24">
        <v>5.4135444209856018</v>
      </c>
      <c r="P1304">
        <v>53.3450570026965</v>
      </c>
      <c r="Q1304" t="s">
        <v>47</v>
      </c>
      <c r="R1304" t="s">
        <v>350</v>
      </c>
      <c r="S1304" t="s">
        <v>343</v>
      </c>
      <c r="T1304" t="s">
        <v>343</v>
      </c>
    </row>
    <row r="1305" spans="2:20" x14ac:dyDescent="0.25">
      <c r="B1305">
        <v>1300</v>
      </c>
      <c r="C1305" t="s">
        <v>1644</v>
      </c>
      <c r="D1305" s="10">
        <v>0.1615633355870694</v>
      </c>
      <c r="E1305" s="10">
        <v>1.2715257220608081</v>
      </c>
      <c r="F1305" s="10">
        <v>0.67141245656722459</v>
      </c>
      <c r="G1305" s="10">
        <v>0.41731643486223191</v>
      </c>
      <c r="H1305" s="6">
        <v>0.26979000959244898</v>
      </c>
      <c r="I1305" s="10">
        <v>7.2292747346031332</v>
      </c>
      <c r="J1305" s="7">
        <v>3.8199239812497843E-2</v>
      </c>
      <c r="K1305" s="5">
        <v>0.17758528183675981</v>
      </c>
      <c r="L1305">
        <v>279.85072762013039</v>
      </c>
      <c r="M1305" s="10">
        <v>-0.52597919405222004</v>
      </c>
      <c r="N1305" s="24" t="s">
        <v>343</v>
      </c>
      <c r="O1305" s="24">
        <v>19.441248356866801</v>
      </c>
      <c r="P1305">
        <v>47.960167891773459</v>
      </c>
      <c r="Q1305" t="s">
        <v>346</v>
      </c>
      <c r="R1305" t="s">
        <v>347</v>
      </c>
      <c r="S1305" t="s">
        <v>343</v>
      </c>
      <c r="T1305" t="s">
        <v>343</v>
      </c>
    </row>
    <row r="1306" spans="2:20" x14ac:dyDescent="0.25">
      <c r="B1306">
        <v>1301</v>
      </c>
      <c r="C1306" t="s">
        <v>1645</v>
      </c>
      <c r="D1306" s="10">
        <v>0.21223380931903871</v>
      </c>
      <c r="E1306" s="10">
        <v>1.367877964199939</v>
      </c>
      <c r="F1306" s="10">
        <v>0.5324603758534483</v>
      </c>
      <c r="G1306" s="10">
        <v>0.34046645702353467</v>
      </c>
      <c r="H1306" s="6">
        <v>0.1967341360707279</v>
      </c>
      <c r="I1306" s="10">
        <v>4.6803143275712298</v>
      </c>
      <c r="J1306" s="7">
        <v>2.596477935952245E-2</v>
      </c>
      <c r="K1306" s="5">
        <v>0.1200634709311852</v>
      </c>
      <c r="L1306">
        <v>350.01818254283609</v>
      </c>
      <c r="M1306" s="10">
        <v>-0.40712714097157282</v>
      </c>
      <c r="N1306" s="24" t="s">
        <v>343</v>
      </c>
      <c r="O1306" s="24">
        <v>26.572371541705628</v>
      </c>
      <c r="P1306">
        <v>58.46606473870839</v>
      </c>
      <c r="Q1306" t="s">
        <v>47</v>
      </c>
      <c r="R1306" t="s">
        <v>350</v>
      </c>
      <c r="S1306" t="s">
        <v>343</v>
      </c>
      <c r="T1306" t="s">
        <v>343</v>
      </c>
    </row>
    <row r="1307" spans="2:20" x14ac:dyDescent="0.25">
      <c r="B1307">
        <v>1302</v>
      </c>
      <c r="C1307" t="s">
        <v>1646</v>
      </c>
      <c r="D1307" s="10">
        <v>0.24283386294155379</v>
      </c>
      <c r="E1307" s="10">
        <v>1.088179893843545</v>
      </c>
      <c r="F1307" s="10">
        <v>0.49412784665616227</v>
      </c>
      <c r="G1307" s="10">
        <v>0.27298709090068363</v>
      </c>
      <c r="H1307" s="6">
        <v>0.24337872275129249</v>
      </c>
      <c r="I1307" s="10">
        <v>11.29304862320809</v>
      </c>
      <c r="J1307" s="7">
        <v>3.6175178583701229E-2</v>
      </c>
      <c r="K1307" s="5">
        <v>0.17466456555868221</v>
      </c>
      <c r="L1307">
        <v>149.20515385635389</v>
      </c>
      <c r="M1307" s="10">
        <v>-0.74727116886915745</v>
      </c>
      <c r="N1307" s="24" t="s">
        <v>343</v>
      </c>
      <c r="O1307" s="24">
        <v>6.1637298678505559</v>
      </c>
      <c r="P1307">
        <v>14.83917182780552</v>
      </c>
      <c r="Q1307" t="s">
        <v>348</v>
      </c>
      <c r="R1307" t="s">
        <v>371</v>
      </c>
      <c r="S1307" t="s">
        <v>343</v>
      </c>
      <c r="T1307" t="s">
        <v>343</v>
      </c>
    </row>
    <row r="1308" spans="2:20" x14ac:dyDescent="0.25">
      <c r="B1308">
        <v>1303</v>
      </c>
      <c r="C1308" t="s">
        <v>1647</v>
      </c>
      <c r="D1308" s="10">
        <v>0.1740586398631733</v>
      </c>
      <c r="E1308" s="10">
        <v>1.050993295508833</v>
      </c>
      <c r="F1308" s="10">
        <v>0.5586328286711435</v>
      </c>
      <c r="G1308" s="10">
        <v>0.3364817439274288</v>
      </c>
      <c r="H1308" s="6">
        <v>0.1269947464166076</v>
      </c>
      <c r="I1308" s="10">
        <v>5.3671200557442749</v>
      </c>
      <c r="J1308" s="7">
        <v>2.8158529372791941E-2</v>
      </c>
      <c r="K1308" s="5">
        <v>0.14807753798532311</v>
      </c>
      <c r="L1308">
        <v>148.71879376943701</v>
      </c>
      <c r="M1308" s="10">
        <v>-0.74809498234408289</v>
      </c>
      <c r="N1308" s="24" t="s">
        <v>343</v>
      </c>
      <c r="O1308" s="24">
        <v>6.1143010593550287</v>
      </c>
      <c r="P1308">
        <v>60.338382386518212</v>
      </c>
      <c r="Q1308" t="s">
        <v>47</v>
      </c>
      <c r="R1308" t="s">
        <v>350</v>
      </c>
      <c r="S1308" t="s">
        <v>343</v>
      </c>
      <c r="T1308" t="s">
        <v>343</v>
      </c>
    </row>
    <row r="1309" spans="2:20" x14ac:dyDescent="0.25">
      <c r="B1309">
        <v>1304</v>
      </c>
      <c r="C1309" t="s">
        <v>1648</v>
      </c>
      <c r="D1309" s="10">
        <v>0.21610030899346891</v>
      </c>
      <c r="E1309" s="10">
        <v>0.91490337708231384</v>
      </c>
      <c r="F1309" s="10">
        <v>0.49410214952512888</v>
      </c>
      <c r="G1309" s="10">
        <v>0.28356724360169022</v>
      </c>
      <c r="H1309" s="6">
        <v>0.1628737124632452</v>
      </c>
      <c r="I1309" s="10">
        <v>6.5685154557392016</v>
      </c>
      <c r="J1309" s="7">
        <v>2.9809729262395071E-2</v>
      </c>
      <c r="K1309" s="5">
        <v>0.124102461987167</v>
      </c>
      <c r="L1309">
        <v>136.8961251738649</v>
      </c>
      <c r="M1309" s="10">
        <v>-0.76812062581403207</v>
      </c>
      <c r="N1309" s="24" t="s">
        <v>343</v>
      </c>
      <c r="O1309" s="24">
        <v>4.9127624511580734</v>
      </c>
      <c r="P1309">
        <v>68.975994529869737</v>
      </c>
      <c r="Q1309" t="s">
        <v>47</v>
      </c>
      <c r="R1309" t="s">
        <v>350</v>
      </c>
      <c r="S1309" t="s">
        <v>343</v>
      </c>
      <c r="T1309" t="s">
        <v>343</v>
      </c>
    </row>
    <row r="1310" spans="2:20" x14ac:dyDescent="0.25">
      <c r="B1310">
        <v>1305</v>
      </c>
      <c r="C1310" t="s">
        <v>1649</v>
      </c>
      <c r="D1310" s="10">
        <v>0.16531249740661871</v>
      </c>
      <c r="E1310" s="10">
        <v>0.43853665798777491</v>
      </c>
      <c r="F1310" s="10">
        <v>0.56958411067212489</v>
      </c>
      <c r="G1310" s="10">
        <v>0.32650212073007179</v>
      </c>
      <c r="H1310" s="6">
        <v>0.17572701050212339</v>
      </c>
      <c r="I1310" s="10">
        <v>10.383857113221421</v>
      </c>
      <c r="J1310" s="7">
        <v>3.0327010967159781E-2</v>
      </c>
      <c r="K1310" s="5">
        <v>0.13451651556769961</v>
      </c>
      <c r="L1310">
        <v>111.3989332355478</v>
      </c>
      <c r="M1310" s="10">
        <v>-0.81130864813860559</v>
      </c>
      <c r="N1310" s="24" t="s">
        <v>343</v>
      </c>
      <c r="O1310" s="24">
        <v>2.32148111168366</v>
      </c>
      <c r="P1310">
        <v>58.291976407641258</v>
      </c>
      <c r="Q1310" t="s">
        <v>47</v>
      </c>
      <c r="R1310" t="s">
        <v>350</v>
      </c>
      <c r="S1310" t="s">
        <v>343</v>
      </c>
      <c r="T1310" t="s">
        <v>343</v>
      </c>
    </row>
    <row r="1311" spans="2:20" x14ac:dyDescent="0.25">
      <c r="B1311">
        <v>1306</v>
      </c>
      <c r="C1311" t="s">
        <v>1650</v>
      </c>
      <c r="D1311" s="10">
        <v>0.1725725595448033</v>
      </c>
      <c r="E1311" s="10">
        <v>0.50815884204419703</v>
      </c>
      <c r="F1311" s="10">
        <v>0.67491210739283525</v>
      </c>
      <c r="G1311" s="10">
        <v>0.34732336400452563</v>
      </c>
      <c r="H1311" s="6">
        <v>0.26632857679228422</v>
      </c>
      <c r="I1311" s="10">
        <v>3.0011518187795789</v>
      </c>
      <c r="J1311" s="7">
        <v>3.2705217950226739E-2</v>
      </c>
      <c r="K1311" s="5">
        <v>0.19235198109061691</v>
      </c>
      <c r="L1311">
        <v>94.634182151832846</v>
      </c>
      <c r="M1311" s="10">
        <v>-0.83970536122846218</v>
      </c>
      <c r="N1311" s="24" t="s">
        <v>343</v>
      </c>
      <c r="O1311" s="24">
        <v>0.61767832629226405</v>
      </c>
      <c r="P1311">
        <v>23.30943530125727</v>
      </c>
      <c r="Q1311" t="s">
        <v>348</v>
      </c>
      <c r="R1311" t="s">
        <v>351</v>
      </c>
      <c r="S1311" t="s">
        <v>343</v>
      </c>
      <c r="T1311" t="s">
        <v>343</v>
      </c>
    </row>
    <row r="1312" spans="2:20" x14ac:dyDescent="0.25">
      <c r="B1312">
        <v>1307</v>
      </c>
      <c r="C1312" t="s">
        <v>1651</v>
      </c>
      <c r="D1312" s="10">
        <v>0.2235077241922554</v>
      </c>
      <c r="E1312" s="10">
        <v>0.6184166575397898</v>
      </c>
      <c r="F1312" s="10">
        <v>0.60053271532544417</v>
      </c>
      <c r="G1312" s="10">
        <v>0.31690278475242628</v>
      </c>
      <c r="H1312" s="6">
        <v>0.12050904723222911</v>
      </c>
      <c r="I1312" s="10">
        <v>11.42882904555977</v>
      </c>
      <c r="J1312" s="7">
        <v>1.212674665107065E-2</v>
      </c>
      <c r="K1312" s="5">
        <v>0.1459763370454919</v>
      </c>
      <c r="L1312">
        <v>248.9450037084344</v>
      </c>
      <c r="M1312" s="10">
        <v>-0.57832837420839089</v>
      </c>
      <c r="N1312" s="24" t="s">
        <v>343</v>
      </c>
      <c r="O1312" s="24">
        <v>16.300297547496552</v>
      </c>
      <c r="P1312">
        <v>63.85037424492895</v>
      </c>
      <c r="Q1312" t="s">
        <v>47</v>
      </c>
      <c r="R1312" t="s">
        <v>350</v>
      </c>
      <c r="S1312" t="s">
        <v>343</v>
      </c>
      <c r="T1312" t="s">
        <v>343</v>
      </c>
    </row>
    <row r="1313" spans="2:20" x14ac:dyDescent="0.25">
      <c r="B1313">
        <v>1308</v>
      </c>
      <c r="C1313" t="s">
        <v>1652</v>
      </c>
      <c r="D1313" s="10">
        <v>0.18123452064688969</v>
      </c>
      <c r="E1313" s="10">
        <v>1.279171998830734</v>
      </c>
      <c r="F1313" s="10">
        <v>0.66241254185880016</v>
      </c>
      <c r="G1313" s="10">
        <v>0.44613316909544942</v>
      </c>
      <c r="H1313" s="6">
        <v>0.166203110664389</v>
      </c>
      <c r="I1313" s="10">
        <v>12.890042230934339</v>
      </c>
      <c r="J1313" s="7">
        <v>3.157743367277225E-2</v>
      </c>
      <c r="K1313" s="5">
        <v>0.16836255571301301</v>
      </c>
      <c r="L1313">
        <v>273.14317940059863</v>
      </c>
      <c r="M1313" s="10">
        <v>-0.53734067036494892</v>
      </c>
      <c r="N1313" s="24" t="s">
        <v>343</v>
      </c>
      <c r="O1313" s="24">
        <v>18.759559778103061</v>
      </c>
      <c r="P1313">
        <v>8.5987934380689666</v>
      </c>
      <c r="Q1313" t="s">
        <v>348</v>
      </c>
      <c r="R1313" t="s">
        <v>353</v>
      </c>
      <c r="S1313" t="s">
        <v>343</v>
      </c>
      <c r="T1313" t="s">
        <v>343</v>
      </c>
    </row>
    <row r="1314" spans="2:20" x14ac:dyDescent="0.25">
      <c r="B1314">
        <v>1309</v>
      </c>
      <c r="C1314" t="s">
        <v>1653</v>
      </c>
      <c r="D1314" s="10">
        <v>0.2508065357218493</v>
      </c>
      <c r="E1314" s="10">
        <v>0.49026647706338261</v>
      </c>
      <c r="F1314" s="10">
        <v>0.48320963910003312</v>
      </c>
      <c r="G1314" s="10">
        <v>0.36375666546240398</v>
      </c>
      <c r="H1314" s="6">
        <v>0.25956183894193557</v>
      </c>
      <c r="I1314" s="10">
        <v>3.5677911278959469</v>
      </c>
      <c r="J1314" s="7">
        <v>3.5093200365047872E-2</v>
      </c>
      <c r="K1314" s="5">
        <v>0.14532310304046339</v>
      </c>
      <c r="L1314">
        <v>79.662296480309138</v>
      </c>
      <c r="M1314" s="10">
        <v>-0.86506525710197635</v>
      </c>
      <c r="N1314" s="24" t="s">
        <v>343</v>
      </c>
      <c r="O1314" s="24">
        <v>0</v>
      </c>
      <c r="P1314">
        <v>56.843135593074287</v>
      </c>
      <c r="Q1314" t="s">
        <v>47</v>
      </c>
      <c r="R1314" t="s">
        <v>350</v>
      </c>
      <c r="S1314" t="s">
        <v>343</v>
      </c>
      <c r="T1314" t="s">
        <v>343</v>
      </c>
    </row>
    <row r="1315" spans="2:20" x14ac:dyDescent="0.25">
      <c r="B1315">
        <v>1310</v>
      </c>
      <c r="C1315" t="s">
        <v>1654</v>
      </c>
      <c r="D1315" s="10">
        <v>0.27031439506196248</v>
      </c>
      <c r="E1315" s="10">
        <v>1.3151604919366799</v>
      </c>
      <c r="F1315" s="10">
        <v>0.67422713405966594</v>
      </c>
      <c r="G1315" s="10">
        <v>0.42543638826831731</v>
      </c>
      <c r="H1315" s="6">
        <v>0.1660017352566017</v>
      </c>
      <c r="I1315" s="10">
        <v>9.5078618710631311</v>
      </c>
      <c r="J1315" s="7">
        <v>2.087530972628495E-2</v>
      </c>
      <c r="K1315" s="5">
        <v>0.13529794101538131</v>
      </c>
      <c r="L1315">
        <v>446.85387099683948</v>
      </c>
      <c r="M1315" s="10">
        <v>-0.2431035149627013</v>
      </c>
      <c r="N1315" s="24" t="s">
        <v>343</v>
      </c>
      <c r="O1315" s="24">
        <v>36.413789102237921</v>
      </c>
      <c r="P1315">
        <v>50.947535172793749</v>
      </c>
      <c r="Q1315" t="s">
        <v>47</v>
      </c>
      <c r="R1315" t="s">
        <v>350</v>
      </c>
      <c r="S1315" t="s">
        <v>343</v>
      </c>
      <c r="T1315" t="s">
        <v>343</v>
      </c>
    </row>
    <row r="1316" spans="2:20" x14ac:dyDescent="0.25">
      <c r="B1316">
        <v>1311</v>
      </c>
      <c r="C1316" t="s">
        <v>1655</v>
      </c>
      <c r="D1316" s="10">
        <v>0.28809387185745328</v>
      </c>
      <c r="E1316" s="10">
        <v>0.87506430635655885</v>
      </c>
      <c r="F1316" s="10">
        <v>0.59646466274585008</v>
      </c>
      <c r="G1316" s="10">
        <v>0.40736028035222771</v>
      </c>
      <c r="H1316" s="6">
        <v>0.15376001487218649</v>
      </c>
      <c r="I1316" s="10">
        <v>7.4930486679577442</v>
      </c>
      <c r="J1316" s="7">
        <v>4.4250259066567488E-2</v>
      </c>
      <c r="K1316" s="5">
        <v>0.17565990173463911</v>
      </c>
      <c r="L1316">
        <v>259.01865477629002</v>
      </c>
      <c r="M1316" s="10">
        <v>-0.56126527689708661</v>
      </c>
      <c r="N1316" s="24" t="s">
        <v>343</v>
      </c>
      <c r="O1316" s="24">
        <v>17.324083386174809</v>
      </c>
      <c r="P1316">
        <v>59.596712438654869</v>
      </c>
      <c r="Q1316" t="s">
        <v>47</v>
      </c>
      <c r="R1316" t="s">
        <v>350</v>
      </c>
      <c r="S1316" t="s">
        <v>343</v>
      </c>
      <c r="T1316" t="s">
        <v>343</v>
      </c>
    </row>
    <row r="1317" spans="2:20" x14ac:dyDescent="0.25">
      <c r="B1317">
        <v>1312</v>
      </c>
      <c r="C1317" t="s">
        <v>1656</v>
      </c>
      <c r="D1317" s="10">
        <v>0.1920240390791696</v>
      </c>
      <c r="E1317" s="10">
        <v>1.0871265990203789</v>
      </c>
      <c r="F1317" s="10">
        <v>0.44825754507252469</v>
      </c>
      <c r="G1317" s="10">
        <v>0.38545658803891081</v>
      </c>
      <c r="H1317" s="6">
        <v>0.22951327671539751</v>
      </c>
      <c r="I1317" s="10">
        <v>3.863097305328195</v>
      </c>
      <c r="J1317" s="7">
        <v>1.505557801040055E-2</v>
      </c>
      <c r="K1317" s="5">
        <v>0.18059081341863101</v>
      </c>
      <c r="L1317">
        <v>99.772567068940191</v>
      </c>
      <c r="M1317" s="10">
        <v>-0.83100178778989908</v>
      </c>
      <c r="N1317" s="24" t="s">
        <v>343</v>
      </c>
      <c r="O1317" s="24">
        <v>1.1398927326060571</v>
      </c>
      <c r="P1317">
        <v>54.41755465380146</v>
      </c>
      <c r="Q1317" t="s">
        <v>47</v>
      </c>
      <c r="R1317" t="s">
        <v>350</v>
      </c>
      <c r="S1317" t="s">
        <v>343</v>
      </c>
      <c r="T1317" t="s">
        <v>343</v>
      </c>
    </row>
    <row r="1318" spans="2:20" x14ac:dyDescent="0.25">
      <c r="B1318">
        <v>1313</v>
      </c>
      <c r="C1318" t="s">
        <v>1657</v>
      </c>
      <c r="D1318" s="10">
        <v>0.1867972131614512</v>
      </c>
      <c r="E1318" s="10">
        <v>0.42126893534862309</v>
      </c>
      <c r="F1318" s="10">
        <v>0.60461092837410957</v>
      </c>
      <c r="G1318" s="10">
        <v>0.34931552462656812</v>
      </c>
      <c r="H1318" s="6">
        <v>0.2318008339499798</v>
      </c>
      <c r="I1318" s="10">
        <v>10.504540860523241</v>
      </c>
      <c r="J1318" s="7">
        <v>4.1865488288493548E-2</v>
      </c>
      <c r="K1318" s="5">
        <v>0.1068294707382577</v>
      </c>
      <c r="L1318">
        <v>238.03654117944501</v>
      </c>
      <c r="M1318" s="10">
        <v>-0.59680550393971532</v>
      </c>
      <c r="N1318" s="24" t="s">
        <v>343</v>
      </c>
      <c r="O1318" s="24">
        <v>15.19166976361708</v>
      </c>
      <c r="P1318">
        <v>48.681443623329088</v>
      </c>
      <c r="Q1318" t="s">
        <v>346</v>
      </c>
      <c r="R1318" t="s">
        <v>347</v>
      </c>
      <c r="S1318" t="s">
        <v>343</v>
      </c>
      <c r="T1318" t="s">
        <v>343</v>
      </c>
    </row>
    <row r="1319" spans="2:20" x14ac:dyDescent="0.25">
      <c r="B1319">
        <v>1314</v>
      </c>
      <c r="C1319" t="s">
        <v>1658</v>
      </c>
      <c r="D1319" s="10">
        <v>0.176730854453504</v>
      </c>
      <c r="E1319" s="10">
        <v>0.59593690365350194</v>
      </c>
      <c r="F1319" s="10">
        <v>0.68736320862783862</v>
      </c>
      <c r="G1319" s="10">
        <v>0.24047823243194921</v>
      </c>
      <c r="H1319" s="6">
        <v>0.1908266823971263</v>
      </c>
      <c r="I1319" s="10">
        <v>9.7355048493406997</v>
      </c>
      <c r="J1319" s="7">
        <v>3.3675729278100072E-2</v>
      </c>
      <c r="K1319" s="5">
        <v>0.12650287096750831</v>
      </c>
      <c r="L1319">
        <v>144.74082524939419</v>
      </c>
      <c r="M1319" s="10">
        <v>-0.75483300250197627</v>
      </c>
      <c r="N1319" s="24" t="s">
        <v>343</v>
      </c>
      <c r="O1319" s="24">
        <v>5.7100198498814194</v>
      </c>
      <c r="P1319">
        <v>27.51297867693081</v>
      </c>
      <c r="Q1319" t="s">
        <v>348</v>
      </c>
      <c r="R1319" t="s">
        <v>351</v>
      </c>
      <c r="S1319" t="s">
        <v>343</v>
      </c>
      <c r="T1319" t="s">
        <v>343</v>
      </c>
    </row>
    <row r="1320" spans="2:20" x14ac:dyDescent="0.25">
      <c r="B1320">
        <v>1315</v>
      </c>
      <c r="C1320" t="s">
        <v>1659</v>
      </c>
      <c r="D1320" s="10">
        <v>0.26182883992698192</v>
      </c>
      <c r="E1320" s="10">
        <v>1.354370468999569</v>
      </c>
      <c r="F1320" s="10">
        <v>0.46058342012359421</v>
      </c>
      <c r="G1320" s="10">
        <v>0.37496287212145851</v>
      </c>
      <c r="H1320" s="6">
        <v>0.26203762047981349</v>
      </c>
      <c r="I1320" s="10">
        <v>10.0692635993806</v>
      </c>
      <c r="J1320" s="7">
        <v>3.3251006736605672E-2</v>
      </c>
      <c r="K1320" s="5">
        <v>0.14824774952493369</v>
      </c>
      <c r="L1320">
        <v>254.46028300443569</v>
      </c>
      <c r="M1320" s="10">
        <v>-0.56898640408328049</v>
      </c>
      <c r="N1320" s="24" t="s">
        <v>343</v>
      </c>
      <c r="O1320" s="24">
        <v>16.86081575500317</v>
      </c>
      <c r="P1320">
        <v>16.970968301163619</v>
      </c>
      <c r="Q1320" t="s">
        <v>348</v>
      </c>
      <c r="R1320" t="s">
        <v>355</v>
      </c>
      <c r="S1320" t="s">
        <v>343</v>
      </c>
      <c r="T1320" t="s">
        <v>343</v>
      </c>
    </row>
    <row r="1321" spans="2:20" x14ac:dyDescent="0.25">
      <c r="B1321">
        <v>1316</v>
      </c>
      <c r="C1321" t="s">
        <v>1660</v>
      </c>
      <c r="D1321" s="10">
        <v>0.27303611623790419</v>
      </c>
      <c r="E1321" s="10">
        <v>0.59276494162270454</v>
      </c>
      <c r="F1321" s="10">
        <v>0.59143859392208875</v>
      </c>
      <c r="G1321" s="10">
        <v>0.31831063966054951</v>
      </c>
      <c r="H1321" s="6">
        <v>0.15040606193127631</v>
      </c>
      <c r="I1321" s="10">
        <v>11.94844901540749</v>
      </c>
      <c r="J1321" s="7">
        <v>4.0660793097188293E-2</v>
      </c>
      <c r="K1321" s="5">
        <v>0.13006728600722109</v>
      </c>
      <c r="L1321">
        <v>122.0448384608268</v>
      </c>
      <c r="M1321" s="10">
        <v>-0.79327624701588828</v>
      </c>
      <c r="N1321" s="24" t="s">
        <v>343</v>
      </c>
      <c r="O1321" s="24">
        <v>3.4034251790467001</v>
      </c>
      <c r="P1321">
        <v>53.180779827329928</v>
      </c>
      <c r="Q1321" t="s">
        <v>47</v>
      </c>
      <c r="R1321" t="s">
        <v>350</v>
      </c>
      <c r="S1321" t="s">
        <v>343</v>
      </c>
      <c r="T1321" t="s">
        <v>343</v>
      </c>
    </row>
    <row r="1322" spans="2:20" x14ac:dyDescent="0.25">
      <c r="B1322">
        <v>1317</v>
      </c>
      <c r="C1322" t="s">
        <v>1661</v>
      </c>
      <c r="D1322" s="10">
        <v>0.1650537831721027</v>
      </c>
      <c r="E1322" s="10">
        <v>0.62617389243026067</v>
      </c>
      <c r="F1322" s="10">
        <v>0.67802443674612578</v>
      </c>
      <c r="G1322" s="10">
        <v>0.26590767669629012</v>
      </c>
      <c r="H1322" s="6">
        <v>0.25701237509693958</v>
      </c>
      <c r="I1322" s="10">
        <v>6.1561087317081107</v>
      </c>
      <c r="J1322" s="7">
        <v>3.9110522395522387E-2</v>
      </c>
      <c r="K1322" s="5">
        <v>0.17444038547127161</v>
      </c>
      <c r="L1322">
        <v>82.911405401739344</v>
      </c>
      <c r="M1322" s="10">
        <v>-0.85956180444832075</v>
      </c>
      <c r="N1322" s="24" t="s">
        <v>343</v>
      </c>
      <c r="O1322" s="24">
        <v>0</v>
      </c>
      <c r="P1322">
        <v>52.529345943818342</v>
      </c>
      <c r="Q1322" t="s">
        <v>47</v>
      </c>
      <c r="R1322" t="s">
        <v>350</v>
      </c>
      <c r="S1322" t="s">
        <v>343</v>
      </c>
      <c r="T1322" t="s">
        <v>343</v>
      </c>
    </row>
    <row r="1323" spans="2:20" x14ac:dyDescent="0.25">
      <c r="B1323">
        <v>1318</v>
      </c>
      <c r="C1323" t="s">
        <v>1662</v>
      </c>
      <c r="D1323" s="10">
        <v>0.30979395939899029</v>
      </c>
      <c r="E1323" s="10">
        <v>0.51735712332518735</v>
      </c>
      <c r="F1323" s="10">
        <v>0.4425207437669374</v>
      </c>
      <c r="G1323" s="10">
        <v>0.33781777799465712</v>
      </c>
      <c r="H1323" s="6">
        <v>0.2333262114787944</v>
      </c>
      <c r="I1323" s="10">
        <v>10.447748785778201</v>
      </c>
      <c r="J1323" s="7">
        <v>2.2090205130480701E-2</v>
      </c>
      <c r="K1323" s="5">
        <v>0.1108996692711425</v>
      </c>
      <c r="L1323">
        <v>116.70909130260659</v>
      </c>
      <c r="M1323" s="10">
        <v>-0.80231411941944464</v>
      </c>
      <c r="N1323" s="24" t="s">
        <v>343</v>
      </c>
      <c r="O1323" s="24">
        <v>2.8611528348333271</v>
      </c>
      <c r="P1323">
        <v>14.051985689891101</v>
      </c>
      <c r="Q1323" t="s">
        <v>348</v>
      </c>
      <c r="R1323" t="s">
        <v>371</v>
      </c>
      <c r="S1323" t="s">
        <v>343</v>
      </c>
      <c r="T1323" t="s">
        <v>343</v>
      </c>
    </row>
    <row r="1324" spans="2:20" x14ac:dyDescent="0.25">
      <c r="B1324">
        <v>1319</v>
      </c>
      <c r="C1324" t="s">
        <v>1663</v>
      </c>
      <c r="D1324" s="10">
        <v>0.16831540538423559</v>
      </c>
      <c r="E1324" s="10">
        <v>0.44198103183751247</v>
      </c>
      <c r="F1324" s="10">
        <v>0.60403736088111404</v>
      </c>
      <c r="G1324" s="10">
        <v>0.40182173090232709</v>
      </c>
      <c r="H1324" s="6">
        <v>0.17523125112810711</v>
      </c>
      <c r="I1324" s="10">
        <v>11.176494640416051</v>
      </c>
      <c r="J1324" s="7">
        <v>3.4687943081049888E-2</v>
      </c>
      <c r="K1324" s="5">
        <v>0.17579083719722449</v>
      </c>
      <c r="L1324">
        <v>65.767719801623429</v>
      </c>
      <c r="M1324" s="10">
        <v>-0.88860036987993596</v>
      </c>
      <c r="N1324" s="24" t="s">
        <v>343</v>
      </c>
      <c r="O1324" s="24">
        <v>0</v>
      </c>
      <c r="P1324">
        <v>55.796136380269722</v>
      </c>
      <c r="Q1324" t="s">
        <v>47</v>
      </c>
      <c r="R1324" t="s">
        <v>350</v>
      </c>
      <c r="S1324" t="s">
        <v>343</v>
      </c>
      <c r="T1324" t="s">
        <v>343</v>
      </c>
    </row>
    <row r="1325" spans="2:20" x14ac:dyDescent="0.25">
      <c r="B1325">
        <v>1320</v>
      </c>
      <c r="C1325" t="s">
        <v>1664</v>
      </c>
      <c r="D1325" s="10">
        <v>0.24660741364817129</v>
      </c>
      <c r="E1325" s="10">
        <v>0.55658340559939767</v>
      </c>
      <c r="F1325" s="10">
        <v>0.56347459587605031</v>
      </c>
      <c r="G1325" s="10">
        <v>0.45156911483371492</v>
      </c>
      <c r="H1325" s="6">
        <v>0.24103629295850609</v>
      </c>
      <c r="I1325" s="10">
        <v>4.8569646105993289</v>
      </c>
      <c r="J1325" s="7">
        <v>1.1771090394042481E-2</v>
      </c>
      <c r="K1325" s="5">
        <v>0.158699209633513</v>
      </c>
      <c r="L1325">
        <v>122.6104742962478</v>
      </c>
      <c r="M1325" s="10">
        <v>-0.79231815354634705</v>
      </c>
      <c r="N1325" s="24" t="s">
        <v>343</v>
      </c>
      <c r="O1325" s="24">
        <v>3.4609107872191771</v>
      </c>
      <c r="P1325">
        <v>58.487264598462239</v>
      </c>
      <c r="Q1325" t="s">
        <v>47</v>
      </c>
      <c r="R1325" t="s">
        <v>350</v>
      </c>
      <c r="S1325" t="s">
        <v>343</v>
      </c>
      <c r="T1325" t="s">
        <v>343</v>
      </c>
    </row>
    <row r="1326" spans="2:20" x14ac:dyDescent="0.25">
      <c r="B1326">
        <v>1321</v>
      </c>
      <c r="C1326" t="s">
        <v>1665</v>
      </c>
      <c r="D1326" s="10">
        <v>0.27344968311214662</v>
      </c>
      <c r="E1326" s="10">
        <v>1.0065595811458781</v>
      </c>
      <c r="F1326" s="10">
        <v>0.5302172228486387</v>
      </c>
      <c r="G1326" s="10">
        <v>0.32230307604685798</v>
      </c>
      <c r="H1326" s="6">
        <v>0.1399803264620631</v>
      </c>
      <c r="I1326" s="10">
        <v>13.52773562568686</v>
      </c>
      <c r="J1326" s="7">
        <v>2.6240645127903341E-2</v>
      </c>
      <c r="K1326" s="5">
        <v>0.12748993326106089</v>
      </c>
      <c r="L1326">
        <v>363.73224683153569</v>
      </c>
      <c r="M1326" s="10">
        <v>-0.38389778630013099</v>
      </c>
      <c r="N1326" s="24" t="s">
        <v>343</v>
      </c>
      <c r="O1326" s="24">
        <v>27.96613282199214</v>
      </c>
      <c r="P1326">
        <v>58.725379977653347</v>
      </c>
      <c r="Q1326" t="s">
        <v>47</v>
      </c>
      <c r="R1326" t="s">
        <v>350</v>
      </c>
      <c r="S1326" t="s">
        <v>343</v>
      </c>
      <c r="T1326" t="s">
        <v>343</v>
      </c>
    </row>
    <row r="1327" spans="2:20" x14ac:dyDescent="0.25">
      <c r="B1327">
        <v>1322</v>
      </c>
      <c r="C1327" t="s">
        <v>1666</v>
      </c>
      <c r="D1327" s="10">
        <v>0.29935505979937371</v>
      </c>
      <c r="E1327" s="10">
        <v>0.80090450685391978</v>
      </c>
      <c r="F1327" s="10">
        <v>0.60315948738579772</v>
      </c>
      <c r="G1327" s="10">
        <v>0.35939912571509491</v>
      </c>
      <c r="H1327" s="6">
        <v>0.13964737397898411</v>
      </c>
      <c r="I1327" s="10">
        <v>6.739791491569461</v>
      </c>
      <c r="J1327" s="7">
        <v>4.282220412535101E-2</v>
      </c>
      <c r="K1327" s="5">
        <v>0.13272319540191199</v>
      </c>
      <c r="L1327">
        <v>236.0434735982636</v>
      </c>
      <c r="M1327" s="10">
        <v>-0.60018143048875194</v>
      </c>
      <c r="N1327" s="24" t="s">
        <v>343</v>
      </c>
      <c r="O1327" s="24">
        <v>14.989114170674879</v>
      </c>
      <c r="P1327">
        <v>56.603845205160248</v>
      </c>
      <c r="Q1327" t="s">
        <v>47</v>
      </c>
      <c r="R1327" t="s">
        <v>350</v>
      </c>
      <c r="S1327" t="s">
        <v>343</v>
      </c>
      <c r="T1327" t="s">
        <v>343</v>
      </c>
    </row>
    <row r="1328" spans="2:20" x14ac:dyDescent="0.25">
      <c r="B1328">
        <v>1323</v>
      </c>
      <c r="C1328" t="s">
        <v>1667</v>
      </c>
      <c r="D1328" s="10">
        <v>0.27425390914118852</v>
      </c>
      <c r="E1328" s="10">
        <v>0.90913141997168845</v>
      </c>
      <c r="F1328" s="10">
        <v>0.45370254459272841</v>
      </c>
      <c r="G1328" s="10">
        <v>0.4272737643399887</v>
      </c>
      <c r="H1328" s="6">
        <v>0.25949058048711088</v>
      </c>
      <c r="I1328" s="10">
        <v>10.85079049129846</v>
      </c>
      <c r="J1328" s="7">
        <v>1.9593130673046289E-2</v>
      </c>
      <c r="K1328" s="5">
        <v>0.1173754197338541</v>
      </c>
      <c r="L1328">
        <v>340.02109781309912</v>
      </c>
      <c r="M1328" s="10">
        <v>-0.42406054758093731</v>
      </c>
      <c r="N1328" s="24" t="s">
        <v>343</v>
      </c>
      <c r="O1328" s="24">
        <v>25.556367145143771</v>
      </c>
      <c r="P1328">
        <v>19.072584892066789</v>
      </c>
      <c r="Q1328" t="s">
        <v>348</v>
      </c>
      <c r="R1328" t="s">
        <v>371</v>
      </c>
      <c r="S1328" t="s">
        <v>343</v>
      </c>
      <c r="T1328" t="s">
        <v>343</v>
      </c>
    </row>
    <row r="1329" spans="2:20" x14ac:dyDescent="0.25">
      <c r="B1329">
        <v>1324</v>
      </c>
      <c r="C1329" t="s">
        <v>1668</v>
      </c>
      <c r="D1329" s="10">
        <v>0.28827649329116672</v>
      </c>
      <c r="E1329" s="10">
        <v>0.43460131164262672</v>
      </c>
      <c r="F1329" s="10">
        <v>0.63579639203472404</v>
      </c>
      <c r="G1329" s="10">
        <v>0.31347987238900332</v>
      </c>
      <c r="H1329" s="6">
        <v>0.13421707617681181</v>
      </c>
      <c r="I1329" s="10">
        <v>11.29422138914471</v>
      </c>
      <c r="J1329" s="7">
        <v>1.174897761729308E-2</v>
      </c>
      <c r="K1329" s="5">
        <v>0.1239944730283231</v>
      </c>
      <c r="L1329">
        <v>203.07688433784449</v>
      </c>
      <c r="M1329" s="10">
        <v>-0.65602137538889604</v>
      </c>
      <c r="N1329" s="24" t="s">
        <v>343</v>
      </c>
      <c r="O1329" s="24">
        <v>11.63871747666624</v>
      </c>
      <c r="P1329">
        <v>54.731159644602542</v>
      </c>
      <c r="Q1329" t="s">
        <v>47</v>
      </c>
      <c r="R1329" t="s">
        <v>350</v>
      </c>
      <c r="S1329" t="s">
        <v>343</v>
      </c>
      <c r="T1329" t="s">
        <v>343</v>
      </c>
    </row>
    <row r="1330" spans="2:20" x14ac:dyDescent="0.25">
      <c r="B1330">
        <v>1325</v>
      </c>
      <c r="C1330" t="s">
        <v>1669</v>
      </c>
      <c r="D1330" s="10">
        <v>0.21431203080684899</v>
      </c>
      <c r="E1330" s="10">
        <v>1.1823280918791901</v>
      </c>
      <c r="F1330" s="10">
        <v>0.44116466399912402</v>
      </c>
      <c r="G1330" s="10">
        <v>0.27129659389357941</v>
      </c>
      <c r="H1330" s="6">
        <v>0.1206119410274107</v>
      </c>
      <c r="I1330" s="10">
        <v>8.5443401123701328</v>
      </c>
      <c r="J1330" s="7">
        <v>3.0403074717949539E-2</v>
      </c>
      <c r="K1330" s="5">
        <v>0.16814054255333721</v>
      </c>
      <c r="L1330">
        <v>205.34206978051671</v>
      </c>
      <c r="M1330" s="10">
        <v>-0.65218452622903189</v>
      </c>
      <c r="N1330" s="24" t="s">
        <v>343</v>
      </c>
      <c r="O1330" s="24">
        <v>11.868928426258091</v>
      </c>
      <c r="P1330">
        <v>19.977872918716169</v>
      </c>
      <c r="Q1330" t="s">
        <v>348</v>
      </c>
      <c r="R1330" t="s">
        <v>375</v>
      </c>
      <c r="S1330" t="s">
        <v>343</v>
      </c>
      <c r="T1330" t="s">
        <v>343</v>
      </c>
    </row>
    <row r="1331" spans="2:20" x14ac:dyDescent="0.25">
      <c r="B1331">
        <v>1326</v>
      </c>
      <c r="C1331" t="s">
        <v>1670</v>
      </c>
      <c r="D1331" s="10">
        <v>0.29037201819944197</v>
      </c>
      <c r="E1331" s="10">
        <v>1.162504170637833</v>
      </c>
      <c r="F1331" s="10">
        <v>0.51980329338601161</v>
      </c>
      <c r="G1331" s="10">
        <v>0.30201400287119162</v>
      </c>
      <c r="H1331" s="6">
        <v>0.17835457373773531</v>
      </c>
      <c r="I1331" s="10">
        <v>4.4158903674393493</v>
      </c>
      <c r="J1331" s="7">
        <v>2.242849170732612E-2</v>
      </c>
      <c r="K1331" s="5">
        <v>0.13570899335141329</v>
      </c>
      <c r="L1331">
        <v>127.11785282841019</v>
      </c>
      <c r="M1331" s="10">
        <v>-0.78468340046674268</v>
      </c>
      <c r="N1331" s="24" t="s">
        <v>343</v>
      </c>
      <c r="O1331" s="24">
        <v>3.9189959719954359</v>
      </c>
      <c r="P1331">
        <v>60.02862176468777</v>
      </c>
      <c r="Q1331" t="s">
        <v>47</v>
      </c>
      <c r="R1331" t="s">
        <v>350</v>
      </c>
      <c r="S1331" t="s">
        <v>343</v>
      </c>
      <c r="T1331" t="s">
        <v>343</v>
      </c>
    </row>
    <row r="1332" spans="2:20" x14ac:dyDescent="0.25">
      <c r="B1332">
        <v>1327</v>
      </c>
      <c r="C1332" t="s">
        <v>1671</v>
      </c>
      <c r="D1332" s="10">
        <v>0.17281837542154799</v>
      </c>
      <c r="E1332" s="10">
        <v>0.32374890225694292</v>
      </c>
      <c r="F1332" s="10">
        <v>0.57102924579801639</v>
      </c>
      <c r="G1332" s="10">
        <v>0.43780702255784543</v>
      </c>
      <c r="H1332" s="6">
        <v>0.13557764616481921</v>
      </c>
      <c r="I1332" s="10">
        <v>6.0322922565933439</v>
      </c>
      <c r="J1332" s="7">
        <v>2.3288921453472229E-2</v>
      </c>
      <c r="K1332" s="5">
        <v>0.16531099317526959</v>
      </c>
      <c r="L1332">
        <v>116.83505481529851</v>
      </c>
      <c r="M1332" s="10">
        <v>-0.80210075808101244</v>
      </c>
      <c r="N1332" s="24" t="s">
        <v>343</v>
      </c>
      <c r="O1332" s="24">
        <v>2.8739545151392529</v>
      </c>
      <c r="P1332">
        <v>54.627208413594097</v>
      </c>
      <c r="Q1332" t="s">
        <v>47</v>
      </c>
      <c r="R1332" t="s">
        <v>350</v>
      </c>
      <c r="S1332" t="s">
        <v>343</v>
      </c>
      <c r="T1332" t="s">
        <v>343</v>
      </c>
    </row>
    <row r="1333" spans="2:20" x14ac:dyDescent="0.25">
      <c r="B1333">
        <v>1328</v>
      </c>
      <c r="C1333" t="s">
        <v>1672</v>
      </c>
      <c r="D1333" s="10">
        <v>0.30317066496968442</v>
      </c>
      <c r="E1333" s="10">
        <v>0.7218666039613354</v>
      </c>
      <c r="F1333" s="10">
        <v>0.53802578514730337</v>
      </c>
      <c r="G1333" s="10">
        <v>0.27506648386160432</v>
      </c>
      <c r="H1333" s="6">
        <v>0.2494554739866377</v>
      </c>
      <c r="I1333" s="10">
        <v>5.5767164756159877</v>
      </c>
      <c r="J1333" s="7">
        <v>3.038600154698853E-2</v>
      </c>
      <c r="K1333" s="5">
        <v>0.1488402164046661</v>
      </c>
      <c r="L1333">
        <v>121.58035364365119</v>
      </c>
      <c r="M1333" s="10">
        <v>-0.79406300740511626</v>
      </c>
      <c r="N1333" s="24" t="s">
        <v>343</v>
      </c>
      <c r="O1333" s="24">
        <v>3.356219555693023</v>
      </c>
      <c r="P1333">
        <v>61.349531452605298</v>
      </c>
      <c r="Q1333" t="s">
        <v>47</v>
      </c>
      <c r="R1333" t="s">
        <v>350</v>
      </c>
      <c r="S1333" t="s">
        <v>343</v>
      </c>
      <c r="T1333" t="s">
        <v>343</v>
      </c>
    </row>
    <row r="1334" spans="2:20" x14ac:dyDescent="0.25">
      <c r="B1334">
        <v>1329</v>
      </c>
      <c r="C1334" t="s">
        <v>1673</v>
      </c>
      <c r="D1334" s="10">
        <v>0.24761478018459779</v>
      </c>
      <c r="E1334" s="10">
        <v>0.37564766216826262</v>
      </c>
      <c r="F1334" s="10">
        <v>0.51994374315345149</v>
      </c>
      <c r="G1334" s="10">
        <v>0.31242863342149207</v>
      </c>
      <c r="H1334" s="6">
        <v>0.25840402701643989</v>
      </c>
      <c r="I1334" s="10">
        <v>8.70506562909347</v>
      </c>
      <c r="J1334" s="7">
        <v>3.175561707718768E-2</v>
      </c>
      <c r="K1334" s="5">
        <v>0.1138032862161729</v>
      </c>
      <c r="L1334">
        <v>124.10287204367511</v>
      </c>
      <c r="M1334" s="10">
        <v>-0.78979027881453512</v>
      </c>
      <c r="N1334" s="24" t="s">
        <v>343</v>
      </c>
      <c r="O1334" s="24">
        <v>3.612583271127896</v>
      </c>
      <c r="P1334">
        <v>54.35402149058843</v>
      </c>
      <c r="Q1334" t="s">
        <v>47</v>
      </c>
      <c r="R1334" t="s">
        <v>350</v>
      </c>
      <c r="S1334" t="s">
        <v>343</v>
      </c>
      <c r="T1334" t="s">
        <v>343</v>
      </c>
    </row>
    <row r="1335" spans="2:20" x14ac:dyDescent="0.25">
      <c r="B1335">
        <v>1330</v>
      </c>
      <c r="C1335" t="s">
        <v>1674</v>
      </c>
      <c r="D1335" s="10">
        <v>0.290767643193999</v>
      </c>
      <c r="E1335" s="10">
        <v>1.171316357356454</v>
      </c>
      <c r="F1335" s="10">
        <v>0.65601713782170501</v>
      </c>
      <c r="G1335" s="10">
        <v>0.34222086831007492</v>
      </c>
      <c r="H1335" s="6">
        <v>0.1923639546534619</v>
      </c>
      <c r="I1335" s="10">
        <v>5.873957580967077</v>
      </c>
      <c r="J1335" s="7">
        <v>2.5306268795369811E-2</v>
      </c>
      <c r="K1335" s="5">
        <v>0.1474117115409708</v>
      </c>
      <c r="L1335">
        <v>250.22735519609429</v>
      </c>
      <c r="M1335" s="10">
        <v>-0.57615628306945355</v>
      </c>
      <c r="N1335" s="24" t="s">
        <v>343</v>
      </c>
      <c r="O1335" s="24">
        <v>16.43062301583279</v>
      </c>
      <c r="P1335">
        <v>63.788699431411878</v>
      </c>
      <c r="Q1335" t="s">
        <v>47</v>
      </c>
      <c r="R1335" t="s">
        <v>350</v>
      </c>
      <c r="S1335" t="s">
        <v>343</v>
      </c>
      <c r="T1335" t="s">
        <v>343</v>
      </c>
    </row>
    <row r="1336" spans="2:20" x14ac:dyDescent="0.25">
      <c r="B1336">
        <v>1331</v>
      </c>
      <c r="C1336" t="s">
        <v>1675</v>
      </c>
      <c r="D1336" s="10">
        <v>0.23237092552292801</v>
      </c>
      <c r="E1336" s="10">
        <v>1.110996651438275</v>
      </c>
      <c r="F1336" s="10">
        <v>0.6830564693106963</v>
      </c>
      <c r="G1336" s="10">
        <v>0.4263649091680024</v>
      </c>
      <c r="H1336" s="6">
        <v>0.18382072995150561</v>
      </c>
      <c r="I1336" s="10">
        <v>9.0144752465357776</v>
      </c>
      <c r="J1336" s="7">
        <v>2.7764223476631929E-2</v>
      </c>
      <c r="K1336" s="5">
        <v>0.17186463535505009</v>
      </c>
      <c r="L1336">
        <v>184.89547936425669</v>
      </c>
      <c r="M1336" s="10">
        <v>-0.68681766565454649</v>
      </c>
      <c r="N1336" s="24" t="s">
        <v>343</v>
      </c>
      <c r="O1336" s="24">
        <v>9.7909400607272126</v>
      </c>
      <c r="P1336">
        <v>57.925827456700617</v>
      </c>
      <c r="Q1336" t="s">
        <v>47</v>
      </c>
      <c r="R1336" t="s">
        <v>350</v>
      </c>
      <c r="S1336" t="s">
        <v>343</v>
      </c>
      <c r="T1336" t="s">
        <v>343</v>
      </c>
    </row>
    <row r="1337" spans="2:20" x14ac:dyDescent="0.25">
      <c r="B1337">
        <v>1332</v>
      </c>
      <c r="C1337" t="s">
        <v>1676</v>
      </c>
      <c r="D1337" s="10">
        <v>0.26297243123144398</v>
      </c>
      <c r="E1337" s="10">
        <v>1.292186903722472</v>
      </c>
      <c r="F1337" s="10">
        <v>0.66716529807553104</v>
      </c>
      <c r="G1337" s="10">
        <v>0.44629692240365448</v>
      </c>
      <c r="H1337" s="6">
        <v>0.20085589154161379</v>
      </c>
      <c r="I1337" s="10">
        <v>6.1702742982573628</v>
      </c>
      <c r="J1337" s="7">
        <v>4.4763951486103189E-2</v>
      </c>
      <c r="K1337" s="5">
        <v>0.1282791729488108</v>
      </c>
      <c r="L1337">
        <v>548.06655810765506</v>
      </c>
      <c r="M1337" s="10">
        <v>-7.1665977799913697E-2</v>
      </c>
      <c r="N1337" s="24" t="s">
        <v>343</v>
      </c>
      <c r="O1337" s="24">
        <v>70.766928436032799</v>
      </c>
      <c r="P1337">
        <v>51.660612787438943</v>
      </c>
      <c r="Q1337" t="s">
        <v>47</v>
      </c>
      <c r="R1337" t="s">
        <v>350</v>
      </c>
      <c r="S1337" t="s">
        <v>343</v>
      </c>
      <c r="T1337" t="s">
        <v>343</v>
      </c>
    </row>
    <row r="1338" spans="2:20" x14ac:dyDescent="0.25">
      <c r="B1338">
        <v>1333</v>
      </c>
      <c r="C1338" t="s">
        <v>1677</v>
      </c>
      <c r="D1338" s="10">
        <v>0.2442244257497781</v>
      </c>
      <c r="E1338" s="10">
        <v>0.56004435484842596</v>
      </c>
      <c r="F1338" s="10">
        <v>0.57583214139299987</v>
      </c>
      <c r="G1338" s="10">
        <v>0.33367826811931611</v>
      </c>
      <c r="H1338" s="6">
        <v>0.1539291937267479</v>
      </c>
      <c r="I1338" s="10">
        <v>3.0107704704459008</v>
      </c>
      <c r="J1338" s="7">
        <v>4.3500178531209417E-2</v>
      </c>
      <c r="K1338" s="5">
        <v>0.1615677581452582</v>
      </c>
      <c r="L1338">
        <v>98.422571749994432</v>
      </c>
      <c r="M1338" s="10">
        <v>-0.83328845638123838</v>
      </c>
      <c r="N1338" s="24" t="s">
        <v>343</v>
      </c>
      <c r="O1338" s="24">
        <v>1.002692617125696</v>
      </c>
      <c r="P1338">
        <v>66.598486618821269</v>
      </c>
      <c r="Q1338" t="s">
        <v>47</v>
      </c>
      <c r="R1338" t="s">
        <v>350</v>
      </c>
      <c r="S1338" t="s">
        <v>343</v>
      </c>
      <c r="T1338" t="s">
        <v>343</v>
      </c>
    </row>
    <row r="1339" spans="2:20" x14ac:dyDescent="0.25">
      <c r="B1339">
        <v>1334</v>
      </c>
      <c r="C1339" t="s">
        <v>1678</v>
      </c>
      <c r="D1339" s="10">
        <v>0.27705432348085313</v>
      </c>
      <c r="E1339" s="10">
        <v>0.8019254714405788</v>
      </c>
      <c r="F1339" s="10">
        <v>0.6698826855503055</v>
      </c>
      <c r="G1339" s="10">
        <v>0.44502989063777337</v>
      </c>
      <c r="H1339" s="6">
        <v>0.1646948792130504</v>
      </c>
      <c r="I1339" s="10">
        <v>6.9958240716087268</v>
      </c>
      <c r="J1339" s="7">
        <v>3.475609752085064E-2</v>
      </c>
      <c r="K1339" s="5">
        <v>0.11890810218146231</v>
      </c>
      <c r="L1339">
        <v>278.48493971513108</v>
      </c>
      <c r="M1339" s="10">
        <v>-0.5282926126700207</v>
      </c>
      <c r="N1339" s="24" t="s">
        <v>343</v>
      </c>
      <c r="O1339" s="24">
        <v>19.302443239798759</v>
      </c>
      <c r="P1339">
        <v>53.455857851900923</v>
      </c>
      <c r="Q1339" t="s">
        <v>47</v>
      </c>
      <c r="R1339" t="s">
        <v>350</v>
      </c>
      <c r="S1339" t="s">
        <v>343</v>
      </c>
      <c r="T1339" t="s">
        <v>343</v>
      </c>
    </row>
    <row r="1340" spans="2:20" x14ac:dyDescent="0.25">
      <c r="B1340">
        <v>1335</v>
      </c>
      <c r="C1340" t="s">
        <v>1679</v>
      </c>
      <c r="D1340" s="10">
        <v>0.17306079712489431</v>
      </c>
      <c r="E1340" s="10">
        <v>0.50293666488083755</v>
      </c>
      <c r="F1340" s="10">
        <v>0.67942400694720129</v>
      </c>
      <c r="G1340" s="10">
        <v>0.27552100086870601</v>
      </c>
      <c r="H1340" s="6">
        <v>0.13514657557260071</v>
      </c>
      <c r="I1340" s="10">
        <v>9.6753593850806787</v>
      </c>
      <c r="J1340" s="7">
        <v>1.565178344286439E-2</v>
      </c>
      <c r="K1340" s="5">
        <v>0.1128914010020914</v>
      </c>
      <c r="L1340">
        <v>196.39313934380951</v>
      </c>
      <c r="M1340" s="10">
        <v>-0.66734253297803203</v>
      </c>
      <c r="N1340" s="24" t="s">
        <v>343</v>
      </c>
      <c r="O1340" s="24">
        <v>10.95944802131808</v>
      </c>
      <c r="P1340">
        <v>22.19129818221958</v>
      </c>
      <c r="Q1340" t="s">
        <v>348</v>
      </c>
      <c r="R1340" t="s">
        <v>351</v>
      </c>
      <c r="S1340" t="s">
        <v>343</v>
      </c>
      <c r="T1340" t="s">
        <v>343</v>
      </c>
    </row>
    <row r="1341" spans="2:20" x14ac:dyDescent="0.25">
      <c r="B1341">
        <v>1336</v>
      </c>
      <c r="C1341" t="s">
        <v>1680</v>
      </c>
      <c r="D1341" s="10">
        <v>0.16965633343849021</v>
      </c>
      <c r="E1341" s="10">
        <v>0.70835842792153136</v>
      </c>
      <c r="F1341" s="10">
        <v>0.54640198323234013</v>
      </c>
      <c r="G1341" s="10">
        <v>0.27450750421720149</v>
      </c>
      <c r="H1341" s="6">
        <v>0.1869675136667045</v>
      </c>
      <c r="I1341" s="10">
        <v>11.51066454191044</v>
      </c>
      <c r="J1341" s="7">
        <v>2.25986029395637E-2</v>
      </c>
      <c r="K1341" s="5">
        <v>0.13422148240927589</v>
      </c>
      <c r="L1341">
        <v>152.05482678456289</v>
      </c>
      <c r="M1341" s="10">
        <v>-0.74244429466516815</v>
      </c>
      <c r="N1341" s="24" t="s">
        <v>343</v>
      </c>
      <c r="O1341" s="24">
        <v>6.4533423200899094</v>
      </c>
      <c r="P1341">
        <v>56.908933007775069</v>
      </c>
      <c r="Q1341" t="s">
        <v>47</v>
      </c>
      <c r="R1341" t="s">
        <v>350</v>
      </c>
      <c r="S1341" t="s">
        <v>343</v>
      </c>
      <c r="T1341" t="s">
        <v>343</v>
      </c>
    </row>
    <row r="1342" spans="2:20" x14ac:dyDescent="0.25">
      <c r="B1342">
        <v>1337</v>
      </c>
      <c r="C1342" t="s">
        <v>1681</v>
      </c>
      <c r="D1342" s="10">
        <v>0.1995365174416234</v>
      </c>
      <c r="E1342" s="10">
        <v>0.87446757672357234</v>
      </c>
      <c r="F1342" s="10">
        <v>0.51369592347141579</v>
      </c>
      <c r="G1342" s="10">
        <v>0.44883518031965552</v>
      </c>
      <c r="H1342" s="6">
        <v>0.2117537433800489</v>
      </c>
      <c r="I1342" s="10">
        <v>3.3120090707797241</v>
      </c>
      <c r="J1342" s="7">
        <v>4.0908087843038898E-2</v>
      </c>
      <c r="K1342" s="5">
        <v>0.13697434140146869</v>
      </c>
      <c r="L1342">
        <v>124.5166669913507</v>
      </c>
      <c r="M1342" s="10">
        <v>-0.78908937867301199</v>
      </c>
      <c r="N1342" s="24" t="s">
        <v>343</v>
      </c>
      <c r="O1342" s="24">
        <v>3.6546372796192799</v>
      </c>
      <c r="P1342">
        <v>56.589063678935538</v>
      </c>
      <c r="Q1342" t="s">
        <v>47</v>
      </c>
      <c r="R1342" t="s">
        <v>350</v>
      </c>
      <c r="S1342" t="s">
        <v>343</v>
      </c>
      <c r="T1342" t="s">
        <v>343</v>
      </c>
    </row>
    <row r="1343" spans="2:20" x14ac:dyDescent="0.25">
      <c r="B1343">
        <v>1338</v>
      </c>
      <c r="C1343" t="s">
        <v>1682</v>
      </c>
      <c r="D1343" s="10">
        <v>0.18552714881811011</v>
      </c>
      <c r="E1343" s="10">
        <v>0.35866386882244777</v>
      </c>
      <c r="F1343" s="10">
        <v>0.4655489535114633</v>
      </c>
      <c r="G1343" s="10">
        <v>0.35212962937623288</v>
      </c>
      <c r="H1343" s="6">
        <v>0.2595335601587403</v>
      </c>
      <c r="I1343" s="10">
        <v>5.8414430074425194</v>
      </c>
      <c r="J1343" s="7">
        <v>2.4824807066271468E-2</v>
      </c>
      <c r="K1343" s="5">
        <v>0.1722959148848747</v>
      </c>
      <c r="L1343">
        <v>46.424066811109867</v>
      </c>
      <c r="M1343" s="10">
        <v>-0.92136531588709381</v>
      </c>
      <c r="N1343" s="24" t="s">
        <v>343</v>
      </c>
      <c r="O1343" s="24">
        <v>0</v>
      </c>
      <c r="P1343">
        <v>58.570751169416383</v>
      </c>
      <c r="Q1343" t="s">
        <v>47</v>
      </c>
      <c r="R1343" t="s">
        <v>350</v>
      </c>
      <c r="S1343" t="s">
        <v>343</v>
      </c>
      <c r="T1343" t="s">
        <v>343</v>
      </c>
    </row>
    <row r="1344" spans="2:20" x14ac:dyDescent="0.25">
      <c r="B1344">
        <v>1339</v>
      </c>
      <c r="C1344" t="s">
        <v>1683</v>
      </c>
      <c r="D1344" s="10">
        <v>0.29948537065475228</v>
      </c>
      <c r="E1344" s="10">
        <v>1.086357451745124</v>
      </c>
      <c r="F1344" s="10">
        <v>0.5645638994727995</v>
      </c>
      <c r="G1344" s="10">
        <v>0.28089972377786993</v>
      </c>
      <c r="H1344" s="6">
        <v>0.23086097559401381</v>
      </c>
      <c r="I1344" s="10">
        <v>13.840083320524339</v>
      </c>
      <c r="J1344" s="7">
        <v>4.3437867728169918E-2</v>
      </c>
      <c r="K1344" s="5">
        <v>0.1437074813704434</v>
      </c>
      <c r="L1344">
        <v>307.70022805640718</v>
      </c>
      <c r="M1344" s="10">
        <v>-0.47880675053452321</v>
      </c>
      <c r="N1344" s="24" t="s">
        <v>343</v>
      </c>
      <c r="O1344" s="24">
        <v>22.27159496792861</v>
      </c>
      <c r="P1344">
        <v>51.888477894991077</v>
      </c>
      <c r="Q1344" t="s">
        <v>47</v>
      </c>
      <c r="R1344" t="s">
        <v>350</v>
      </c>
      <c r="S1344" t="s">
        <v>343</v>
      </c>
      <c r="T1344" t="s">
        <v>343</v>
      </c>
    </row>
    <row r="1345" spans="2:20" x14ac:dyDescent="0.25">
      <c r="B1345">
        <v>1340</v>
      </c>
      <c r="C1345" t="s">
        <v>1684</v>
      </c>
      <c r="D1345" s="10">
        <v>0.1950742379772871</v>
      </c>
      <c r="E1345" s="10">
        <v>0.8976226964081826</v>
      </c>
      <c r="F1345" s="10">
        <v>0.68603719931399465</v>
      </c>
      <c r="G1345" s="10">
        <v>0.34735788152662361</v>
      </c>
      <c r="H1345" s="6">
        <v>0.22845956003297799</v>
      </c>
      <c r="I1345" s="10">
        <v>5.8799692738360498</v>
      </c>
      <c r="J1345" s="7">
        <v>2.7090562414065999E-2</v>
      </c>
      <c r="K1345" s="5">
        <v>0.1077173150564279</v>
      </c>
      <c r="L1345">
        <v>124.46454646444739</v>
      </c>
      <c r="M1345" s="10">
        <v>-0.78917766221752605</v>
      </c>
      <c r="N1345" s="24" t="s">
        <v>343</v>
      </c>
      <c r="O1345" s="24">
        <v>3.649340266948442</v>
      </c>
      <c r="P1345">
        <v>57.152909364992873</v>
      </c>
      <c r="Q1345" t="s">
        <v>47</v>
      </c>
      <c r="R1345" t="s">
        <v>350</v>
      </c>
      <c r="S1345" t="s">
        <v>343</v>
      </c>
      <c r="T1345" t="s">
        <v>343</v>
      </c>
    </row>
    <row r="1346" spans="2:20" x14ac:dyDescent="0.25">
      <c r="B1346">
        <v>1341</v>
      </c>
      <c r="C1346" t="s">
        <v>1685</v>
      </c>
      <c r="D1346" s="10">
        <v>0.31613844093106103</v>
      </c>
      <c r="E1346" s="10">
        <v>1.21185491893174</v>
      </c>
      <c r="F1346" s="10">
        <v>0.58583595729829641</v>
      </c>
      <c r="G1346" s="10">
        <v>0.41230645418339129</v>
      </c>
      <c r="H1346" s="6">
        <v>0.1661998443141153</v>
      </c>
      <c r="I1346" s="10">
        <v>11.54917422192278</v>
      </c>
      <c r="J1346" s="7">
        <v>4.016191969717943E-2</v>
      </c>
      <c r="K1346" s="5">
        <v>0.16022995234376261</v>
      </c>
      <c r="L1346">
        <v>435.11503932730471</v>
      </c>
      <c r="M1346" s="10">
        <v>-0.26298715255835342</v>
      </c>
      <c r="N1346" s="24" t="s">
        <v>343</v>
      </c>
      <c r="O1346" s="24">
        <v>35.220770846498787</v>
      </c>
      <c r="P1346">
        <v>51.581106607445193</v>
      </c>
      <c r="Q1346" t="s">
        <v>47</v>
      </c>
      <c r="R1346" t="s">
        <v>350</v>
      </c>
      <c r="S1346" t="s">
        <v>343</v>
      </c>
      <c r="T1346" t="s">
        <v>343</v>
      </c>
    </row>
    <row r="1347" spans="2:20" x14ac:dyDescent="0.25">
      <c r="B1347">
        <v>1342</v>
      </c>
      <c r="C1347" t="s">
        <v>1686</v>
      </c>
      <c r="D1347" s="10">
        <v>0.21390332668337711</v>
      </c>
      <c r="E1347" s="10">
        <v>0.59895855131031683</v>
      </c>
      <c r="F1347" s="10">
        <v>0.61356614646440455</v>
      </c>
      <c r="G1347" s="10">
        <v>0.42192248045917519</v>
      </c>
      <c r="H1347" s="6">
        <v>0.25324399462650671</v>
      </c>
      <c r="I1347" s="10">
        <v>8.6031098024829884</v>
      </c>
      <c r="J1347" s="7">
        <v>1.1238261483479931E-2</v>
      </c>
      <c r="K1347" s="5">
        <v>0.1445790596872745</v>
      </c>
      <c r="L1347">
        <v>153.94326220425211</v>
      </c>
      <c r="M1347" s="10">
        <v>-0.73924559767683495</v>
      </c>
      <c r="N1347" s="24" t="s">
        <v>343</v>
      </c>
      <c r="O1347" s="24">
        <v>6.6452641393899086</v>
      </c>
      <c r="P1347">
        <v>58.958230200723897</v>
      </c>
      <c r="Q1347" t="s">
        <v>47</v>
      </c>
      <c r="R1347" t="s">
        <v>350</v>
      </c>
      <c r="S1347" t="s">
        <v>343</v>
      </c>
      <c r="T1347" t="s">
        <v>343</v>
      </c>
    </row>
    <row r="1348" spans="2:20" x14ac:dyDescent="0.25">
      <c r="B1348">
        <v>1343</v>
      </c>
      <c r="C1348" t="s">
        <v>1687</v>
      </c>
      <c r="D1348" s="10">
        <v>0.18913886651019191</v>
      </c>
      <c r="E1348" s="10">
        <v>1.29365321579618</v>
      </c>
      <c r="F1348" s="10">
        <v>0.46934979280788042</v>
      </c>
      <c r="G1348" s="10">
        <v>0.43007323646283341</v>
      </c>
      <c r="H1348" s="6">
        <v>0.26204335450199973</v>
      </c>
      <c r="I1348" s="10">
        <v>4.3439138246088902</v>
      </c>
      <c r="J1348" s="7">
        <v>2.519572931774712E-2</v>
      </c>
      <c r="K1348" s="5">
        <v>0.13150610405370511</v>
      </c>
      <c r="L1348">
        <v>232.47481512771159</v>
      </c>
      <c r="M1348" s="10">
        <v>-0.60622614718021495</v>
      </c>
      <c r="N1348" s="24" t="s">
        <v>343</v>
      </c>
      <c r="O1348" s="24">
        <v>14.6264311691871</v>
      </c>
      <c r="P1348">
        <v>55.772834762916588</v>
      </c>
      <c r="Q1348" t="s">
        <v>47</v>
      </c>
      <c r="R1348" t="s">
        <v>350</v>
      </c>
      <c r="S1348" t="s">
        <v>343</v>
      </c>
      <c r="T1348" t="s">
        <v>343</v>
      </c>
    </row>
    <row r="1349" spans="2:20" x14ac:dyDescent="0.25">
      <c r="B1349">
        <v>1344</v>
      </c>
      <c r="C1349" t="s">
        <v>1688</v>
      </c>
      <c r="D1349" s="10">
        <v>0.2863517611427967</v>
      </c>
      <c r="E1349" s="10">
        <v>1.398563678333488</v>
      </c>
      <c r="F1349" s="10">
        <v>0.47731511267698662</v>
      </c>
      <c r="G1349" s="10">
        <v>0.36530559867923212</v>
      </c>
      <c r="H1349" s="6">
        <v>0.25983944048130558</v>
      </c>
      <c r="I1349" s="10">
        <v>10.077401418945589</v>
      </c>
      <c r="J1349" s="7">
        <v>3.4509164776220472E-2</v>
      </c>
      <c r="K1349" s="5">
        <v>0.1762107868180437</v>
      </c>
      <c r="L1349">
        <v>283.53406369963841</v>
      </c>
      <c r="M1349" s="10">
        <v>-0.51974023247497902</v>
      </c>
      <c r="N1349" s="24" t="s">
        <v>343</v>
      </c>
      <c r="O1349" s="24">
        <v>19.81558605150126</v>
      </c>
      <c r="P1349">
        <v>20.76519699843303</v>
      </c>
      <c r="Q1349" t="s">
        <v>348</v>
      </c>
      <c r="R1349" t="s">
        <v>371</v>
      </c>
      <c r="S1349" t="s">
        <v>343</v>
      </c>
      <c r="T1349" t="s">
        <v>343</v>
      </c>
    </row>
    <row r="1350" spans="2:20" x14ac:dyDescent="0.25">
      <c r="B1350">
        <v>1345</v>
      </c>
      <c r="C1350" t="s">
        <v>1689</v>
      </c>
      <c r="D1350" s="10">
        <v>0.2653932440801402</v>
      </c>
      <c r="E1350" s="10">
        <v>1.311228282215442</v>
      </c>
      <c r="F1350" s="10">
        <v>0.56076304810951483</v>
      </c>
      <c r="G1350" s="10">
        <v>0.43072812316093367</v>
      </c>
      <c r="H1350" s="6">
        <v>0.12582045397865779</v>
      </c>
      <c r="I1350" s="10">
        <v>13.62974937479807</v>
      </c>
      <c r="J1350" s="7">
        <v>4.022475863201349E-2</v>
      </c>
      <c r="K1350" s="5">
        <v>0.1146665550716205</v>
      </c>
      <c r="L1350">
        <v>794.90893380606099</v>
      </c>
      <c r="M1350" s="10">
        <v>0.3464441442128845</v>
      </c>
      <c r="N1350" s="24" t="s">
        <v>343</v>
      </c>
      <c r="O1350" s="24">
        <v>30.213351347226929</v>
      </c>
      <c r="P1350">
        <v>15.089717517100331</v>
      </c>
      <c r="Q1350" t="s">
        <v>348</v>
      </c>
      <c r="R1350" t="s">
        <v>375</v>
      </c>
      <c r="S1350" t="s">
        <v>343</v>
      </c>
      <c r="T1350" t="s">
        <v>343</v>
      </c>
    </row>
    <row r="1351" spans="2:20" x14ac:dyDescent="0.25">
      <c r="B1351">
        <v>1346</v>
      </c>
      <c r="C1351" t="s">
        <v>1690</v>
      </c>
      <c r="D1351" s="10">
        <v>0.2397113146325022</v>
      </c>
      <c r="E1351" s="10">
        <v>1.1556817234164689</v>
      </c>
      <c r="F1351" s="10">
        <v>0.68732884773576863</v>
      </c>
      <c r="G1351" s="10">
        <v>0.35220664593671602</v>
      </c>
      <c r="H1351" s="6">
        <v>0.21065259544560319</v>
      </c>
      <c r="I1351" s="10">
        <v>12.755119360238981</v>
      </c>
      <c r="J1351" s="7">
        <v>3.1337151248742971E-2</v>
      </c>
      <c r="K1351" s="5">
        <v>0.18675517267790651</v>
      </c>
      <c r="L1351">
        <v>244.73504281522119</v>
      </c>
      <c r="M1351" s="10">
        <v>-0.58545935104229196</v>
      </c>
      <c r="N1351" s="24" t="s">
        <v>343</v>
      </c>
      <c r="O1351" s="24">
        <v>15.87243893746248</v>
      </c>
      <c r="P1351">
        <v>46.725226306681293</v>
      </c>
      <c r="Q1351" t="s">
        <v>346</v>
      </c>
      <c r="R1351" t="s">
        <v>347</v>
      </c>
      <c r="S1351" t="s">
        <v>343</v>
      </c>
      <c r="T1351" t="s">
        <v>343</v>
      </c>
    </row>
    <row r="1352" spans="2:20" x14ac:dyDescent="0.25">
      <c r="B1352">
        <v>1347</v>
      </c>
      <c r="C1352" t="s">
        <v>1691</v>
      </c>
      <c r="D1352" s="10">
        <v>0.24885816815002099</v>
      </c>
      <c r="E1352" s="10">
        <v>1.193605683161159</v>
      </c>
      <c r="F1352" s="10">
        <v>0.53380400681379747</v>
      </c>
      <c r="G1352" s="10">
        <v>0.37355317852603698</v>
      </c>
      <c r="H1352" s="6">
        <v>0.21648376585879431</v>
      </c>
      <c r="I1352" s="10">
        <v>10.59322066622577</v>
      </c>
      <c r="J1352" s="7">
        <v>1.606417090793916E-2</v>
      </c>
      <c r="K1352" s="5">
        <v>0.13173584158012561</v>
      </c>
      <c r="L1352">
        <v>425.46445048234068</v>
      </c>
      <c r="M1352" s="10">
        <v>-0.27933365249802838</v>
      </c>
      <c r="N1352" s="24" t="s">
        <v>343</v>
      </c>
      <c r="O1352" s="24">
        <v>34.239980850118293</v>
      </c>
      <c r="P1352">
        <v>26.662219114517921</v>
      </c>
      <c r="Q1352" t="s">
        <v>348</v>
      </c>
      <c r="R1352" t="s">
        <v>375</v>
      </c>
      <c r="S1352" t="s">
        <v>343</v>
      </c>
      <c r="T1352" t="s">
        <v>343</v>
      </c>
    </row>
    <row r="1353" spans="2:20" x14ac:dyDescent="0.25">
      <c r="B1353">
        <v>1348</v>
      </c>
      <c r="C1353" t="s">
        <v>1692</v>
      </c>
      <c r="D1353" s="10">
        <v>0.27507228452356219</v>
      </c>
      <c r="E1353" s="10">
        <v>0.93111866679904498</v>
      </c>
      <c r="F1353" s="10">
        <v>0.66814585074255872</v>
      </c>
      <c r="G1353" s="10">
        <v>0.40691835649976188</v>
      </c>
      <c r="H1353" s="6">
        <v>0.16425977403247549</v>
      </c>
      <c r="I1353" s="10">
        <v>8.6336309363807686</v>
      </c>
      <c r="J1353" s="7">
        <v>4.1002795783140547E-2</v>
      </c>
      <c r="K1353" s="5">
        <v>0.14378943726004961</v>
      </c>
      <c r="L1353">
        <v>340.87540479034487</v>
      </c>
      <c r="M1353" s="10">
        <v>-0.42261349298392181</v>
      </c>
      <c r="N1353" s="24" t="s">
        <v>343</v>
      </c>
      <c r="O1353" s="24">
        <v>25.643190420964689</v>
      </c>
      <c r="P1353">
        <v>59.579997753851913</v>
      </c>
      <c r="Q1353" t="s">
        <v>47</v>
      </c>
      <c r="R1353" t="s">
        <v>350</v>
      </c>
      <c r="S1353" t="s">
        <v>343</v>
      </c>
      <c r="T1353" t="s">
        <v>343</v>
      </c>
    </row>
    <row r="1354" spans="2:20" x14ac:dyDescent="0.25">
      <c r="B1354">
        <v>1349</v>
      </c>
      <c r="C1354" t="s">
        <v>1693</v>
      </c>
      <c r="D1354" s="10">
        <v>0.19655275861300781</v>
      </c>
      <c r="E1354" s="10">
        <v>0.50916924920387152</v>
      </c>
      <c r="F1354" s="10">
        <v>0.47127503429068501</v>
      </c>
      <c r="G1354" s="10">
        <v>0.33359576439631189</v>
      </c>
      <c r="H1354" s="6">
        <v>0.26886182747368947</v>
      </c>
      <c r="I1354" s="10">
        <v>6.5126630610450293</v>
      </c>
      <c r="J1354" s="7">
        <v>3.0118460693588499E-2</v>
      </c>
      <c r="K1354" s="5">
        <v>0.18827713457821821</v>
      </c>
      <c r="L1354">
        <v>35.640654044266839</v>
      </c>
      <c r="M1354" s="10">
        <v>-0.93963063202214769</v>
      </c>
      <c r="N1354" s="24" t="s">
        <v>343</v>
      </c>
      <c r="O1354" s="24">
        <v>0</v>
      </c>
      <c r="P1354">
        <v>56.7945818506591</v>
      </c>
      <c r="Q1354" t="s">
        <v>47</v>
      </c>
      <c r="R1354" t="s">
        <v>350</v>
      </c>
      <c r="S1354" t="s">
        <v>343</v>
      </c>
      <c r="T1354" t="s">
        <v>343</v>
      </c>
    </row>
    <row r="1355" spans="2:20" x14ac:dyDescent="0.25">
      <c r="B1355">
        <v>1350</v>
      </c>
      <c r="C1355" t="s">
        <v>1694</v>
      </c>
      <c r="D1355" s="10">
        <v>0.31941342656907867</v>
      </c>
      <c r="E1355" s="10">
        <v>1.044744753662489</v>
      </c>
      <c r="F1355" s="10">
        <v>0.60042447380276465</v>
      </c>
      <c r="G1355" s="10">
        <v>0.25618792717053052</v>
      </c>
      <c r="H1355" s="6">
        <v>0.1636781188227838</v>
      </c>
      <c r="I1355" s="10">
        <v>6.9266328922308329</v>
      </c>
      <c r="J1355" s="7">
        <v>1.37806363612749E-2</v>
      </c>
      <c r="K1355" s="5">
        <v>0.17231778401508219</v>
      </c>
      <c r="L1355">
        <v>106.99908301973819</v>
      </c>
      <c r="M1355" s="10">
        <v>-0.81876126605060384</v>
      </c>
      <c r="N1355" s="24" t="s">
        <v>343</v>
      </c>
      <c r="O1355" s="24">
        <v>1.8743240369637699</v>
      </c>
      <c r="P1355">
        <v>50.893116864696673</v>
      </c>
      <c r="Q1355" t="s">
        <v>47</v>
      </c>
      <c r="R1355" t="s">
        <v>350</v>
      </c>
      <c r="S1355" t="s">
        <v>343</v>
      </c>
      <c r="T1355" t="s">
        <v>343</v>
      </c>
    </row>
    <row r="1356" spans="2:20" x14ac:dyDescent="0.25">
      <c r="B1356">
        <v>1351</v>
      </c>
      <c r="C1356" t="s">
        <v>1695</v>
      </c>
      <c r="D1356" s="10">
        <v>0.31596690594348531</v>
      </c>
      <c r="E1356" s="10">
        <v>1.0840283022659249</v>
      </c>
      <c r="F1356" s="10">
        <v>0.59615937399673469</v>
      </c>
      <c r="G1356" s="10">
        <v>0.31703659850869348</v>
      </c>
      <c r="H1356" s="6">
        <v>0.1524917487271584</v>
      </c>
      <c r="I1356" s="10">
        <v>6.808274149757966</v>
      </c>
      <c r="J1356" s="7">
        <v>2.6234637208644211E-2</v>
      </c>
      <c r="K1356" s="5">
        <v>0.1070587312114579</v>
      </c>
      <c r="L1356">
        <v>415.63730902082068</v>
      </c>
      <c r="M1356" s="10">
        <v>-0.29597920334353378</v>
      </c>
      <c r="N1356" s="24" t="s">
        <v>343</v>
      </c>
      <c r="O1356" s="24">
        <v>33.24124779938797</v>
      </c>
      <c r="P1356">
        <v>19.860491921256781</v>
      </c>
      <c r="Q1356" t="s">
        <v>348</v>
      </c>
      <c r="R1356" t="s">
        <v>375</v>
      </c>
      <c r="S1356" t="s">
        <v>343</v>
      </c>
      <c r="T1356" t="s">
        <v>343</v>
      </c>
    </row>
    <row r="1357" spans="2:20" x14ac:dyDescent="0.25">
      <c r="B1357">
        <v>1352</v>
      </c>
      <c r="C1357" t="s">
        <v>1696</v>
      </c>
      <c r="D1357" s="10">
        <v>0.26405210981550992</v>
      </c>
      <c r="E1357" s="10">
        <v>1.383923654294696</v>
      </c>
      <c r="F1357" s="10">
        <v>0.66356743501826976</v>
      </c>
      <c r="G1357" s="10">
        <v>0.3772677276951113</v>
      </c>
      <c r="H1357" s="6">
        <v>0.19262184756647879</v>
      </c>
      <c r="I1357" s="10">
        <v>13.14290178845598</v>
      </c>
      <c r="J1357" s="7">
        <v>3.4463018773420347E-2</v>
      </c>
      <c r="K1357" s="5">
        <v>0.15493820158176019</v>
      </c>
      <c r="L1357">
        <v>450.14455333771559</v>
      </c>
      <c r="M1357" s="10">
        <v>-0.23752964381859071</v>
      </c>
      <c r="N1357" s="24" t="s">
        <v>343</v>
      </c>
      <c r="O1357" s="24">
        <v>36.748221370884558</v>
      </c>
      <c r="P1357">
        <v>47.194236443234743</v>
      </c>
      <c r="Q1357" t="s">
        <v>346</v>
      </c>
      <c r="R1357" t="s">
        <v>347</v>
      </c>
      <c r="S1357" t="s">
        <v>343</v>
      </c>
      <c r="T1357" t="s">
        <v>343</v>
      </c>
    </row>
    <row r="1358" spans="2:20" x14ac:dyDescent="0.25">
      <c r="B1358">
        <v>1353</v>
      </c>
      <c r="C1358" t="s">
        <v>1697</v>
      </c>
      <c r="D1358" s="10">
        <v>0.19192679214866321</v>
      </c>
      <c r="E1358" s="10">
        <v>0.89543144788195383</v>
      </c>
      <c r="F1358" s="10">
        <v>0.44086234314527439</v>
      </c>
      <c r="G1358" s="10">
        <v>0.28231312132068492</v>
      </c>
      <c r="H1358" s="6">
        <v>0.16847210696555151</v>
      </c>
      <c r="I1358" s="10">
        <v>5.3244370493128077</v>
      </c>
      <c r="J1358" s="7">
        <v>2.578555112107327E-2</v>
      </c>
      <c r="K1358" s="5">
        <v>0.1294844728089535</v>
      </c>
      <c r="L1358">
        <v>120.0052003328413</v>
      </c>
      <c r="M1358" s="10">
        <v>-0.79673105636189767</v>
      </c>
      <c r="N1358" s="24" t="s">
        <v>343</v>
      </c>
      <c r="O1358" s="24">
        <v>3.1961366182861402</v>
      </c>
      <c r="P1358">
        <v>56.549439814344638</v>
      </c>
      <c r="Q1358" t="s">
        <v>47</v>
      </c>
      <c r="R1358" t="s">
        <v>350</v>
      </c>
      <c r="S1358" t="s">
        <v>343</v>
      </c>
      <c r="T1358" t="s">
        <v>343</v>
      </c>
    </row>
    <row r="1359" spans="2:20" x14ac:dyDescent="0.25">
      <c r="B1359">
        <v>1354</v>
      </c>
      <c r="C1359" t="s">
        <v>1698</v>
      </c>
      <c r="D1359" s="10">
        <v>0.26883651878900661</v>
      </c>
      <c r="E1359" s="10">
        <v>0.59850591652756191</v>
      </c>
      <c r="F1359" s="10">
        <v>0.48938223347136878</v>
      </c>
      <c r="G1359" s="10">
        <v>0.27264477996992081</v>
      </c>
      <c r="H1359" s="6">
        <v>0.25860441898049169</v>
      </c>
      <c r="I1359" s="10">
        <v>7.1583282585236114</v>
      </c>
      <c r="J1359" s="7">
        <v>4.04776537542594E-2</v>
      </c>
      <c r="K1359" s="5">
        <v>0.1483063837348684</v>
      </c>
      <c r="L1359">
        <v>100.0169299580399</v>
      </c>
      <c r="M1359" s="10">
        <v>-0.83058787750772878</v>
      </c>
      <c r="N1359" s="24" t="s">
        <v>343</v>
      </c>
      <c r="O1359" s="24">
        <v>1.164727349536278</v>
      </c>
      <c r="P1359">
        <v>55.839441099253278</v>
      </c>
      <c r="Q1359" t="s">
        <v>47</v>
      </c>
      <c r="R1359" t="s">
        <v>350</v>
      </c>
      <c r="S1359" t="s">
        <v>343</v>
      </c>
      <c r="T1359" t="s">
        <v>343</v>
      </c>
    </row>
    <row r="1360" spans="2:20" x14ac:dyDescent="0.25">
      <c r="B1360">
        <v>1355</v>
      </c>
      <c r="C1360" t="s">
        <v>1699</v>
      </c>
      <c r="D1360" s="10">
        <v>0.1715517454366681</v>
      </c>
      <c r="E1360" s="10">
        <v>1.052039773913457</v>
      </c>
      <c r="F1360" s="10">
        <v>0.49711878261166531</v>
      </c>
      <c r="G1360" s="10">
        <v>0.30447771981011629</v>
      </c>
      <c r="H1360" s="6">
        <v>0.18601150969721589</v>
      </c>
      <c r="I1360" s="10">
        <v>7.7515955918615189</v>
      </c>
      <c r="J1360" s="7">
        <v>2.4829301009627009E-2</v>
      </c>
      <c r="K1360" s="5">
        <v>0.17058205895524531</v>
      </c>
      <c r="L1360">
        <v>174.65831878191281</v>
      </c>
      <c r="M1360" s="10">
        <v>-0.70415772101594076</v>
      </c>
      <c r="N1360" s="24" t="s">
        <v>343</v>
      </c>
      <c r="O1360" s="24">
        <v>8.7505367390435573</v>
      </c>
      <c r="P1360">
        <v>64.025075435483373</v>
      </c>
      <c r="Q1360" t="s">
        <v>47</v>
      </c>
      <c r="R1360" t="s">
        <v>350</v>
      </c>
      <c r="S1360" t="s">
        <v>343</v>
      </c>
      <c r="T1360" t="s">
        <v>343</v>
      </c>
    </row>
    <row r="1361" spans="2:20" x14ac:dyDescent="0.25">
      <c r="B1361">
        <v>1356</v>
      </c>
      <c r="C1361" t="s">
        <v>1700</v>
      </c>
      <c r="D1361" s="10">
        <v>0.164904400352929</v>
      </c>
      <c r="E1361" s="10">
        <v>1.3773134016330999</v>
      </c>
      <c r="F1361" s="10">
        <v>0.68699118290359173</v>
      </c>
      <c r="G1361" s="10">
        <v>0.2470645217011207</v>
      </c>
      <c r="H1361" s="6">
        <v>0.18152243320088751</v>
      </c>
      <c r="I1361" s="10">
        <v>7.4979109491279798</v>
      </c>
      <c r="J1361" s="7">
        <v>3.042084413366063E-2</v>
      </c>
      <c r="K1361" s="5">
        <v>0.14713642682227179</v>
      </c>
      <c r="L1361">
        <v>202.03765906995449</v>
      </c>
      <c r="M1361" s="10">
        <v>-0.65778165095878904</v>
      </c>
      <c r="N1361" s="24" t="s">
        <v>343</v>
      </c>
      <c r="O1361" s="24">
        <v>11.533100942472659</v>
      </c>
      <c r="P1361">
        <v>60.725306960401703</v>
      </c>
      <c r="Q1361" t="s">
        <v>47</v>
      </c>
      <c r="R1361" t="s">
        <v>350</v>
      </c>
      <c r="S1361" t="s">
        <v>343</v>
      </c>
      <c r="T1361" t="s">
        <v>343</v>
      </c>
    </row>
    <row r="1362" spans="2:20" x14ac:dyDescent="0.25">
      <c r="B1362">
        <v>1357</v>
      </c>
      <c r="C1362" t="s">
        <v>1701</v>
      </c>
      <c r="D1362" s="10">
        <v>0.20122926216179421</v>
      </c>
      <c r="E1362" s="10">
        <v>0.49493529909600342</v>
      </c>
      <c r="F1362" s="10">
        <v>0.47996035063017273</v>
      </c>
      <c r="G1362" s="10">
        <v>0.40355303757912242</v>
      </c>
      <c r="H1362" s="6">
        <v>0.21387931951627501</v>
      </c>
      <c r="I1362" s="10">
        <v>3.0461807262457161</v>
      </c>
      <c r="J1362" s="7">
        <v>1.7390965260066601E-2</v>
      </c>
      <c r="K1362" s="5">
        <v>0.10674707830977929</v>
      </c>
      <c r="L1362">
        <v>137.61629103833511</v>
      </c>
      <c r="M1362" s="10">
        <v>-0.76690078405626594</v>
      </c>
      <c r="N1362" s="24" t="s">
        <v>343</v>
      </c>
      <c r="O1362" s="24">
        <v>4.9859529566240468</v>
      </c>
      <c r="P1362">
        <v>62.051252109635193</v>
      </c>
      <c r="Q1362" t="s">
        <v>47</v>
      </c>
      <c r="R1362" t="s">
        <v>350</v>
      </c>
      <c r="S1362" t="s">
        <v>343</v>
      </c>
      <c r="T1362" t="s">
        <v>343</v>
      </c>
    </row>
    <row r="1363" spans="2:20" x14ac:dyDescent="0.25">
      <c r="B1363">
        <v>1358</v>
      </c>
      <c r="C1363" t="s">
        <v>1702</v>
      </c>
      <c r="D1363" s="10">
        <v>0.23401967307829061</v>
      </c>
      <c r="E1363" s="10">
        <v>0.65859771038916293</v>
      </c>
      <c r="F1363" s="10">
        <v>0.44961021105734572</v>
      </c>
      <c r="G1363" s="10">
        <v>0.29691743248143448</v>
      </c>
      <c r="H1363" s="6">
        <v>0.13216720068766849</v>
      </c>
      <c r="I1363" s="10">
        <v>5.9807093460714986</v>
      </c>
      <c r="J1363" s="7">
        <v>2.7944022251578899E-2</v>
      </c>
      <c r="K1363" s="5">
        <v>0.15034814926792001</v>
      </c>
      <c r="L1363">
        <v>122.5077495607343</v>
      </c>
      <c r="M1363" s="10">
        <v>-0.7924921522431988</v>
      </c>
      <c r="N1363" s="24" t="s">
        <v>343</v>
      </c>
      <c r="O1363" s="24">
        <v>3.4504708654080791</v>
      </c>
      <c r="P1363">
        <v>59.970670996791682</v>
      </c>
      <c r="Q1363" t="s">
        <v>47</v>
      </c>
      <c r="R1363" t="s">
        <v>350</v>
      </c>
      <c r="S1363" t="s">
        <v>343</v>
      </c>
      <c r="T1363" t="s">
        <v>343</v>
      </c>
    </row>
    <row r="1364" spans="2:20" x14ac:dyDescent="0.25">
      <c r="B1364">
        <v>1359</v>
      </c>
      <c r="C1364" t="s">
        <v>1703</v>
      </c>
      <c r="D1364" s="10">
        <v>0.29892360086534092</v>
      </c>
      <c r="E1364" s="10">
        <v>0.896069049149949</v>
      </c>
      <c r="F1364" s="10">
        <v>0.57895998863287002</v>
      </c>
      <c r="G1364" s="10">
        <v>0.2673324472600519</v>
      </c>
      <c r="H1364" s="6">
        <v>0.2335099420224783</v>
      </c>
      <c r="I1364" s="10">
        <v>8.484254078111805</v>
      </c>
      <c r="J1364" s="7">
        <v>1.780000584764551E-2</v>
      </c>
      <c r="K1364" s="5">
        <v>0.1022923183232137</v>
      </c>
      <c r="L1364">
        <v>147.0577556759693</v>
      </c>
      <c r="M1364" s="10">
        <v>-0.75090850590527325</v>
      </c>
      <c r="N1364" s="24" t="s">
        <v>343</v>
      </c>
      <c r="O1364" s="24">
        <v>5.9454896456836082</v>
      </c>
      <c r="P1364">
        <v>52.353115715887341</v>
      </c>
      <c r="Q1364" t="s">
        <v>47</v>
      </c>
      <c r="R1364" t="s">
        <v>350</v>
      </c>
      <c r="S1364" t="s">
        <v>343</v>
      </c>
      <c r="T1364" t="s">
        <v>343</v>
      </c>
    </row>
    <row r="1365" spans="2:20" x14ac:dyDescent="0.25">
      <c r="B1365">
        <v>1360</v>
      </c>
      <c r="C1365" t="s">
        <v>1704</v>
      </c>
      <c r="D1365" s="10">
        <v>0.27634705116260933</v>
      </c>
      <c r="E1365" s="10">
        <v>0.48723609837020532</v>
      </c>
      <c r="F1365" s="10">
        <v>0.57742520023275723</v>
      </c>
      <c r="G1365" s="10">
        <v>0.39380847151195569</v>
      </c>
      <c r="H1365" s="6">
        <v>0.23525982327073069</v>
      </c>
      <c r="I1365" s="10">
        <v>11.365426466580519</v>
      </c>
      <c r="J1365" s="7">
        <v>1.7881550178231061E-2</v>
      </c>
      <c r="K1365" s="5">
        <v>0.13309888894919439</v>
      </c>
      <c r="L1365">
        <v>204.56718435219011</v>
      </c>
      <c r="M1365" s="10">
        <v>-0.6534970538696645</v>
      </c>
      <c r="N1365" s="24" t="s">
        <v>343</v>
      </c>
      <c r="O1365" s="24">
        <v>11.79017676782013</v>
      </c>
      <c r="P1365">
        <v>56.704505986994612</v>
      </c>
      <c r="Q1365" t="s">
        <v>47</v>
      </c>
      <c r="R1365" t="s">
        <v>350</v>
      </c>
      <c r="S1365" t="s">
        <v>343</v>
      </c>
      <c r="T1365" t="s">
        <v>343</v>
      </c>
    </row>
    <row r="1366" spans="2:20" x14ac:dyDescent="0.25">
      <c r="B1366">
        <v>1361</v>
      </c>
      <c r="C1366" t="s">
        <v>1705</v>
      </c>
      <c r="D1366" s="10">
        <v>0.27883304339199699</v>
      </c>
      <c r="E1366" s="10">
        <v>0.32444270347193221</v>
      </c>
      <c r="F1366" s="10">
        <v>0.65945221099564466</v>
      </c>
      <c r="G1366" s="10">
        <v>0.42544416275952329</v>
      </c>
      <c r="H1366" s="6">
        <v>0.1911038752091502</v>
      </c>
      <c r="I1366" s="10">
        <v>9.2642138391864606</v>
      </c>
      <c r="J1366" s="7">
        <v>1.9796588978513469E-2</v>
      </c>
      <c r="K1366" s="5">
        <v>0.145412899677726</v>
      </c>
      <c r="L1366">
        <v>98.551510233184501</v>
      </c>
      <c r="M1366" s="10">
        <v>-0.83307005593526051</v>
      </c>
      <c r="N1366" s="24" t="s">
        <v>343</v>
      </c>
      <c r="O1366" s="24">
        <v>1.015796643884372</v>
      </c>
      <c r="P1366">
        <v>53.257913913188958</v>
      </c>
      <c r="Q1366" t="s">
        <v>47</v>
      </c>
      <c r="R1366" t="s">
        <v>350</v>
      </c>
      <c r="S1366" t="s">
        <v>343</v>
      </c>
      <c r="T1366" t="s">
        <v>343</v>
      </c>
    </row>
    <row r="1367" spans="2:20" x14ac:dyDescent="0.25">
      <c r="B1367">
        <v>1362</v>
      </c>
      <c r="C1367" t="s">
        <v>1706</v>
      </c>
      <c r="D1367" s="10">
        <v>0.22807893351169209</v>
      </c>
      <c r="E1367" s="10">
        <v>0.67068143468537555</v>
      </c>
      <c r="F1367" s="10">
        <v>0.68670350904622846</v>
      </c>
      <c r="G1367" s="10">
        <v>0.24437263108959131</v>
      </c>
      <c r="H1367" s="6">
        <v>0.26335469115006432</v>
      </c>
      <c r="I1367" s="10">
        <v>7.2334820504307977</v>
      </c>
      <c r="J1367" s="7">
        <v>1.154697436066863E-2</v>
      </c>
      <c r="K1367" s="5">
        <v>0.16124398852077959</v>
      </c>
      <c r="L1367">
        <v>93.322393569443577</v>
      </c>
      <c r="M1367" s="10">
        <v>-0.84192731393283859</v>
      </c>
      <c r="N1367" s="24" t="s">
        <v>343</v>
      </c>
      <c r="O1367" s="24">
        <v>0.48436116402968571</v>
      </c>
      <c r="P1367">
        <v>54.207945598504438</v>
      </c>
      <c r="Q1367" t="s">
        <v>47</v>
      </c>
      <c r="R1367" t="s">
        <v>350</v>
      </c>
      <c r="S1367" t="s">
        <v>343</v>
      </c>
      <c r="T1367" t="s">
        <v>343</v>
      </c>
    </row>
    <row r="1368" spans="2:20" x14ac:dyDescent="0.25">
      <c r="B1368">
        <v>1363</v>
      </c>
      <c r="C1368" t="s">
        <v>1707</v>
      </c>
      <c r="D1368" s="10">
        <v>0.21534959880751409</v>
      </c>
      <c r="E1368" s="10">
        <v>1.251907881651164</v>
      </c>
      <c r="F1368" s="10">
        <v>0.58002181495643401</v>
      </c>
      <c r="G1368" s="10">
        <v>0.29139194956306952</v>
      </c>
      <c r="H1368" s="6">
        <v>0.20690086661936219</v>
      </c>
      <c r="I1368" s="10">
        <v>10.31654964588572</v>
      </c>
      <c r="J1368" s="7">
        <v>1.571583746089187E-2</v>
      </c>
      <c r="K1368" s="5">
        <v>0.14808964482405959</v>
      </c>
      <c r="L1368">
        <v>257.19969476326412</v>
      </c>
      <c r="M1368" s="10">
        <v>-0.56434629404752856</v>
      </c>
      <c r="N1368" s="24" t="s">
        <v>343</v>
      </c>
      <c r="O1368" s="24">
        <v>17.139222357148292</v>
      </c>
      <c r="P1368">
        <v>65.025708475571648</v>
      </c>
      <c r="Q1368" t="s">
        <v>47</v>
      </c>
      <c r="R1368" t="s">
        <v>350</v>
      </c>
      <c r="S1368" t="s">
        <v>343</v>
      </c>
      <c r="T1368" t="s">
        <v>343</v>
      </c>
    </row>
    <row r="1369" spans="2:20" x14ac:dyDescent="0.25">
      <c r="B1369">
        <v>1364</v>
      </c>
      <c r="C1369" t="s">
        <v>1708</v>
      </c>
      <c r="D1369" s="10">
        <v>0.2193662020775364</v>
      </c>
      <c r="E1369" s="10">
        <v>0.34781523925608632</v>
      </c>
      <c r="F1369" s="10">
        <v>0.68179848742911042</v>
      </c>
      <c r="G1369" s="10">
        <v>0.44795111147130839</v>
      </c>
      <c r="H1369" s="6">
        <v>0.2242854681367486</v>
      </c>
      <c r="I1369" s="10">
        <v>10.32482528662401</v>
      </c>
      <c r="J1369" s="7">
        <v>2.4852621886657138E-2</v>
      </c>
      <c r="K1369" s="5">
        <v>0.11443494700198099</v>
      </c>
      <c r="L1369">
        <v>111.98775689739701</v>
      </c>
      <c r="M1369" s="10">
        <v>-0.81031127832962013</v>
      </c>
      <c r="N1369" s="24" t="s">
        <v>343</v>
      </c>
      <c r="O1369" s="24">
        <v>2.381323300222796</v>
      </c>
      <c r="P1369">
        <v>55.58605940558293</v>
      </c>
      <c r="Q1369" t="s">
        <v>47</v>
      </c>
      <c r="R1369" t="s">
        <v>350</v>
      </c>
      <c r="S1369" t="s">
        <v>343</v>
      </c>
      <c r="T1369" t="s">
        <v>343</v>
      </c>
    </row>
    <row r="1370" spans="2:20" x14ac:dyDescent="0.25">
      <c r="B1370">
        <v>1365</v>
      </c>
      <c r="C1370" t="s">
        <v>1709</v>
      </c>
      <c r="D1370" s="10">
        <v>0.31802393019776931</v>
      </c>
      <c r="E1370" s="10">
        <v>0.7718219649186091</v>
      </c>
      <c r="F1370" s="10">
        <v>0.62854137933795573</v>
      </c>
      <c r="G1370" s="10">
        <v>0.32475590990521053</v>
      </c>
      <c r="H1370" s="6">
        <v>0.2586517433254652</v>
      </c>
      <c r="I1370" s="10">
        <v>5.7271715102368654</v>
      </c>
      <c r="J1370" s="7">
        <v>1.458711745475676E-2</v>
      </c>
      <c r="K1370" s="5">
        <v>0.188560668576299</v>
      </c>
      <c r="L1370">
        <v>83.818549287078383</v>
      </c>
      <c r="M1370" s="10">
        <v>-0.85802525287564557</v>
      </c>
      <c r="N1370" s="24" t="s">
        <v>343</v>
      </c>
      <c r="O1370" s="24">
        <v>0</v>
      </c>
      <c r="P1370">
        <v>51.247818239234299</v>
      </c>
      <c r="Q1370" t="s">
        <v>47</v>
      </c>
      <c r="R1370" t="s">
        <v>350</v>
      </c>
      <c r="S1370" t="s">
        <v>343</v>
      </c>
      <c r="T1370" t="s">
        <v>343</v>
      </c>
    </row>
    <row r="1371" spans="2:20" x14ac:dyDescent="0.25">
      <c r="B1371">
        <v>1366</v>
      </c>
      <c r="C1371" t="s">
        <v>1710</v>
      </c>
      <c r="D1371" s="10">
        <v>0.16641747062599721</v>
      </c>
      <c r="E1371" s="10">
        <v>1.138420850218691</v>
      </c>
      <c r="F1371" s="10">
        <v>0.50878537327885209</v>
      </c>
      <c r="G1371" s="10">
        <v>0.44649025394402492</v>
      </c>
      <c r="H1371" s="6">
        <v>0.21995180151371879</v>
      </c>
      <c r="I1371" s="10">
        <v>4.1415156188991649</v>
      </c>
      <c r="J1371" s="7">
        <v>1.466846626809783E-2</v>
      </c>
      <c r="K1371" s="5">
        <v>0.1617784689113585</v>
      </c>
      <c r="L1371">
        <v>233.51498916291459</v>
      </c>
      <c r="M1371" s="10">
        <v>-0.60446426455555302</v>
      </c>
      <c r="N1371" s="24" t="s">
        <v>343</v>
      </c>
      <c r="O1371" s="24">
        <v>14.732144126666819</v>
      </c>
      <c r="P1371">
        <v>21.369089370283621</v>
      </c>
      <c r="Q1371" t="s">
        <v>348</v>
      </c>
      <c r="R1371" t="s">
        <v>375</v>
      </c>
      <c r="S1371" t="s">
        <v>343</v>
      </c>
      <c r="T1371" t="s">
        <v>343</v>
      </c>
    </row>
    <row r="1372" spans="2:20" x14ac:dyDescent="0.25">
      <c r="B1372">
        <v>1367</v>
      </c>
      <c r="C1372" t="s">
        <v>1711</v>
      </c>
      <c r="D1372" s="10">
        <v>0.29872503937959177</v>
      </c>
      <c r="E1372" s="10">
        <v>1.3485008566019741</v>
      </c>
      <c r="F1372" s="10">
        <v>0.68138938484542078</v>
      </c>
      <c r="G1372" s="10">
        <v>0.30032675844154899</v>
      </c>
      <c r="H1372" s="6">
        <v>0.1847739011588321</v>
      </c>
      <c r="I1372" s="10">
        <v>11.835018591810851</v>
      </c>
      <c r="J1372" s="7">
        <v>4.3877613993323683E-2</v>
      </c>
      <c r="K1372" s="5">
        <v>0.1301119395868662</v>
      </c>
      <c r="L1372">
        <v>446.71792190207492</v>
      </c>
      <c r="M1372" s="10">
        <v>-0.243333790224146</v>
      </c>
      <c r="N1372" s="24" t="s">
        <v>343</v>
      </c>
      <c r="O1372" s="24">
        <v>36.399972586551243</v>
      </c>
      <c r="P1372">
        <v>49.328087729692982</v>
      </c>
      <c r="Q1372" t="s">
        <v>346</v>
      </c>
      <c r="R1372" t="s">
        <v>347</v>
      </c>
      <c r="S1372" t="s">
        <v>343</v>
      </c>
      <c r="T1372" t="s">
        <v>343</v>
      </c>
    </row>
    <row r="1373" spans="2:20" x14ac:dyDescent="0.25">
      <c r="B1373">
        <v>1368</v>
      </c>
      <c r="C1373" t="s">
        <v>1712</v>
      </c>
      <c r="D1373" s="10">
        <v>0.25258806537158301</v>
      </c>
      <c r="E1373" s="10">
        <v>1.384022938904875</v>
      </c>
      <c r="F1373" s="10">
        <v>0.61353522580728748</v>
      </c>
      <c r="G1373" s="10">
        <v>0.28797487982582498</v>
      </c>
      <c r="H1373" s="6">
        <v>0.1237156763449722</v>
      </c>
      <c r="I1373" s="10">
        <v>8.8276061726706168</v>
      </c>
      <c r="J1373" s="7">
        <v>2.494840771190222E-2</v>
      </c>
      <c r="K1373" s="5">
        <v>0.19176427103744889</v>
      </c>
      <c r="L1373">
        <v>180.33844637230609</v>
      </c>
      <c r="M1373" s="10">
        <v>-0.69453652516920616</v>
      </c>
      <c r="N1373" s="24" t="s">
        <v>343</v>
      </c>
      <c r="O1373" s="24">
        <v>9.3278084898476301</v>
      </c>
      <c r="P1373">
        <v>53.239696198218589</v>
      </c>
      <c r="Q1373" t="s">
        <v>47</v>
      </c>
      <c r="R1373" t="s">
        <v>350</v>
      </c>
      <c r="S1373" t="s">
        <v>343</v>
      </c>
      <c r="T1373" t="s">
        <v>343</v>
      </c>
    </row>
    <row r="1374" spans="2:20" x14ac:dyDescent="0.25">
      <c r="B1374">
        <v>1369</v>
      </c>
      <c r="C1374" t="s">
        <v>1713</v>
      </c>
      <c r="D1374" s="10">
        <v>0.23017846707033451</v>
      </c>
      <c r="E1374" s="10">
        <v>0.76416631866961571</v>
      </c>
      <c r="F1374" s="10">
        <v>0.54766494251308473</v>
      </c>
      <c r="G1374" s="10">
        <v>0.28710385058015908</v>
      </c>
      <c r="H1374" s="6">
        <v>0.22924489734477141</v>
      </c>
      <c r="I1374" s="10">
        <v>4.9417723814190877</v>
      </c>
      <c r="J1374" s="7">
        <v>2.4130644486782909E-2</v>
      </c>
      <c r="K1374" s="5">
        <v>0.183844872865354</v>
      </c>
      <c r="L1374">
        <v>124.647557145812</v>
      </c>
      <c r="M1374" s="10">
        <v>-0.78886767241898148</v>
      </c>
      <c r="N1374" s="24" t="s">
        <v>343</v>
      </c>
      <c r="O1374" s="24">
        <v>3.6679396548611152</v>
      </c>
      <c r="P1374">
        <v>28.973749949162769</v>
      </c>
      <c r="Q1374" t="s">
        <v>348</v>
      </c>
      <c r="R1374" t="s">
        <v>353</v>
      </c>
      <c r="S1374" t="s">
        <v>343</v>
      </c>
      <c r="T1374" t="s">
        <v>343</v>
      </c>
    </row>
    <row r="1375" spans="2:20" x14ac:dyDescent="0.25">
      <c r="B1375">
        <v>1370</v>
      </c>
      <c r="C1375" t="s">
        <v>1714</v>
      </c>
      <c r="D1375" s="10">
        <v>0.27604122566642192</v>
      </c>
      <c r="E1375" s="10">
        <v>1.3454227238170291</v>
      </c>
      <c r="F1375" s="10">
        <v>0.61686294197440195</v>
      </c>
      <c r="G1375" s="10">
        <v>0.25875030529348642</v>
      </c>
      <c r="H1375" s="6">
        <v>0.26472990174015681</v>
      </c>
      <c r="I1375" s="10">
        <v>5.8827817235668576</v>
      </c>
      <c r="J1375" s="7">
        <v>1.9370747919399401E-2</v>
      </c>
      <c r="K1375" s="5">
        <v>0.1136315584244256</v>
      </c>
      <c r="L1375">
        <v>172.50522087800201</v>
      </c>
      <c r="M1375" s="10">
        <v>-0.70780471244017484</v>
      </c>
      <c r="N1375" s="24" t="s">
        <v>343</v>
      </c>
      <c r="O1375" s="24">
        <v>8.5317172535895125</v>
      </c>
      <c r="P1375">
        <v>50.830333431913317</v>
      </c>
      <c r="Q1375" t="s">
        <v>47</v>
      </c>
      <c r="R1375" t="s">
        <v>350</v>
      </c>
      <c r="S1375" t="s">
        <v>343</v>
      </c>
      <c r="T1375" t="s">
        <v>343</v>
      </c>
    </row>
    <row r="1376" spans="2:20" x14ac:dyDescent="0.25">
      <c r="B1376">
        <v>1371</v>
      </c>
      <c r="C1376" t="s">
        <v>1715</v>
      </c>
      <c r="D1376" s="10">
        <v>0.23786703062795239</v>
      </c>
      <c r="E1376" s="10">
        <v>0.33896087060895008</v>
      </c>
      <c r="F1376" s="10">
        <v>0.54434133521337524</v>
      </c>
      <c r="G1376" s="10">
        <v>0.43721510347200759</v>
      </c>
      <c r="H1376" s="6">
        <v>0.19053526853039909</v>
      </c>
      <c r="I1376" s="10">
        <v>11.43066941842441</v>
      </c>
      <c r="J1376" s="7">
        <v>2.7935650568761392E-2</v>
      </c>
      <c r="K1376" s="5">
        <v>0.16226576403512349</v>
      </c>
      <c r="L1376">
        <v>215.30244512010219</v>
      </c>
      <c r="M1376" s="10">
        <v>-0.63531329924969171</v>
      </c>
      <c r="N1376" s="24" t="s">
        <v>343</v>
      </c>
      <c r="O1376" s="24">
        <v>12.881202045018499</v>
      </c>
      <c r="P1376">
        <v>63.352417573260581</v>
      </c>
      <c r="Q1376" t="s">
        <v>47</v>
      </c>
      <c r="R1376" t="s">
        <v>350</v>
      </c>
      <c r="S1376" t="s">
        <v>343</v>
      </c>
      <c r="T1376" t="s">
        <v>343</v>
      </c>
    </row>
    <row r="1377" spans="2:20" x14ac:dyDescent="0.25">
      <c r="B1377">
        <v>1372</v>
      </c>
      <c r="C1377" t="s">
        <v>1716</v>
      </c>
      <c r="D1377" s="10">
        <v>0.29974771809306572</v>
      </c>
      <c r="E1377" s="10">
        <v>1.1205086317984121</v>
      </c>
      <c r="F1377" s="10">
        <v>0.46968777967686942</v>
      </c>
      <c r="G1377" s="10">
        <v>0.45556370497923832</v>
      </c>
      <c r="H1377" s="6">
        <v>0.17096529566823959</v>
      </c>
      <c r="I1377" s="10">
        <v>10.18599623067761</v>
      </c>
      <c r="J1377" s="7">
        <v>3.086227155803186E-2</v>
      </c>
      <c r="K1377" s="5">
        <v>0.15320659794822211</v>
      </c>
      <c r="L1377">
        <v>312.89435904396248</v>
      </c>
      <c r="M1377" s="10">
        <v>-0.47000875248085572</v>
      </c>
      <c r="N1377" s="24" t="s">
        <v>343</v>
      </c>
      <c r="O1377" s="24">
        <v>22.799474851148659</v>
      </c>
      <c r="P1377">
        <v>17.830851929171789</v>
      </c>
      <c r="Q1377" t="s">
        <v>348</v>
      </c>
      <c r="R1377" t="s">
        <v>371</v>
      </c>
      <c r="S1377" t="s">
        <v>343</v>
      </c>
      <c r="T1377" t="s">
        <v>343</v>
      </c>
    </row>
    <row r="1378" spans="2:20" x14ac:dyDescent="0.25">
      <c r="B1378">
        <v>1373</v>
      </c>
      <c r="C1378" t="s">
        <v>1717</v>
      </c>
      <c r="D1378" s="10">
        <v>0.30411229824180142</v>
      </c>
      <c r="E1378" s="10">
        <v>1.007020638096974</v>
      </c>
      <c r="F1378" s="10">
        <v>0.62693447426599391</v>
      </c>
      <c r="G1378" s="10">
        <v>0.44999193759976042</v>
      </c>
      <c r="H1378" s="6">
        <v>0.19788891396206679</v>
      </c>
      <c r="I1378" s="10">
        <v>13.396832204397191</v>
      </c>
      <c r="J1378" s="7">
        <v>2.4636493268582249E-2</v>
      </c>
      <c r="K1378" s="5">
        <v>0.1183168476741885</v>
      </c>
      <c r="L1378">
        <v>664.89371228073674</v>
      </c>
      <c r="M1378" s="10">
        <v>0.12621988173903501</v>
      </c>
      <c r="N1378" s="24" t="s">
        <v>343</v>
      </c>
      <c r="O1378" s="24">
        <v>54.018222469583343</v>
      </c>
      <c r="P1378">
        <v>15.34614255060357</v>
      </c>
      <c r="Q1378" t="s">
        <v>348</v>
      </c>
      <c r="R1378" t="s">
        <v>375</v>
      </c>
      <c r="S1378" t="s">
        <v>343</v>
      </c>
      <c r="T1378" t="s">
        <v>343</v>
      </c>
    </row>
    <row r="1379" spans="2:20" x14ac:dyDescent="0.25">
      <c r="B1379">
        <v>1374</v>
      </c>
      <c r="C1379" t="s">
        <v>1718</v>
      </c>
      <c r="D1379" s="10">
        <v>0.22747534829975291</v>
      </c>
      <c r="E1379" s="10">
        <v>0.57447404334476748</v>
      </c>
      <c r="F1379" s="10">
        <v>0.65426277916439335</v>
      </c>
      <c r="G1379" s="10">
        <v>0.4274461907620003</v>
      </c>
      <c r="H1379" s="6">
        <v>0.22926558085269891</v>
      </c>
      <c r="I1379" s="10">
        <v>8.114421563328996</v>
      </c>
      <c r="J1379" s="7">
        <v>2.378329807592797E-2</v>
      </c>
      <c r="K1379" s="5">
        <v>0.1221801383464578</v>
      </c>
      <c r="L1379">
        <v>185.72820556602539</v>
      </c>
      <c r="M1379" s="10">
        <v>-0.68540716531869605</v>
      </c>
      <c r="N1379" s="24" t="s">
        <v>343</v>
      </c>
      <c r="O1379" s="24">
        <v>9.8755700808782372</v>
      </c>
      <c r="P1379">
        <v>62.690920333907393</v>
      </c>
      <c r="Q1379" t="s">
        <v>47</v>
      </c>
      <c r="R1379" t="s">
        <v>350</v>
      </c>
      <c r="S1379" t="s">
        <v>343</v>
      </c>
      <c r="T1379" t="s">
        <v>343</v>
      </c>
    </row>
    <row r="1380" spans="2:20" x14ac:dyDescent="0.25">
      <c r="B1380">
        <v>1375</v>
      </c>
      <c r="C1380" t="s">
        <v>1719</v>
      </c>
      <c r="D1380" s="10">
        <v>0.20429244755760831</v>
      </c>
      <c r="E1380" s="10">
        <v>0.8580503507476136</v>
      </c>
      <c r="F1380" s="10">
        <v>0.62948961174504081</v>
      </c>
      <c r="G1380" s="10">
        <v>0.42631533968321461</v>
      </c>
      <c r="H1380" s="6">
        <v>0.1201035711723074</v>
      </c>
      <c r="I1380" s="10">
        <v>3.5740529285962079</v>
      </c>
      <c r="J1380" s="7">
        <v>3.4514933927541923E-2</v>
      </c>
      <c r="K1380" s="5">
        <v>0.15355850848734209</v>
      </c>
      <c r="L1380">
        <v>159.3923801167179</v>
      </c>
      <c r="M1380" s="10">
        <v>-0.73001569398304245</v>
      </c>
      <c r="N1380" s="24" t="s">
        <v>343</v>
      </c>
      <c r="O1380" s="24">
        <v>7.1990583610174497</v>
      </c>
      <c r="P1380">
        <v>56.059676837815367</v>
      </c>
      <c r="Q1380" t="s">
        <v>47</v>
      </c>
      <c r="R1380" t="s">
        <v>350</v>
      </c>
      <c r="S1380" t="s">
        <v>343</v>
      </c>
      <c r="T1380" t="s">
        <v>343</v>
      </c>
    </row>
    <row r="1381" spans="2:20" x14ac:dyDescent="0.25">
      <c r="B1381">
        <v>1376</v>
      </c>
      <c r="C1381" t="s">
        <v>1720</v>
      </c>
      <c r="D1381" s="10">
        <v>0.25477605257493802</v>
      </c>
      <c r="E1381" s="10">
        <v>0.44250911153654521</v>
      </c>
      <c r="F1381" s="10">
        <v>0.49956981361673591</v>
      </c>
      <c r="G1381" s="10">
        <v>0.38543880277717729</v>
      </c>
      <c r="H1381" s="6">
        <v>0.25308175840977809</v>
      </c>
      <c r="I1381" s="10">
        <v>10.70465154164896</v>
      </c>
      <c r="J1381" s="7">
        <v>4.3242184531014152E-2</v>
      </c>
      <c r="K1381" s="5">
        <v>0.1305223870117278</v>
      </c>
      <c r="L1381">
        <v>84.64504514579555</v>
      </c>
      <c r="M1381" s="10">
        <v>-0.85662530570954987</v>
      </c>
      <c r="N1381" s="24" t="s">
        <v>343</v>
      </c>
      <c r="O1381" s="24">
        <v>0</v>
      </c>
      <c r="P1381">
        <v>15.29621144042796</v>
      </c>
      <c r="Q1381" t="s">
        <v>348</v>
      </c>
      <c r="R1381" t="s">
        <v>371</v>
      </c>
      <c r="S1381" t="s">
        <v>343</v>
      </c>
      <c r="T1381" t="s">
        <v>343</v>
      </c>
    </row>
    <row r="1382" spans="2:20" x14ac:dyDescent="0.25">
      <c r="B1382">
        <v>1377</v>
      </c>
      <c r="C1382" t="s">
        <v>1721</v>
      </c>
      <c r="D1382" s="10">
        <v>0.30597813529867057</v>
      </c>
      <c r="E1382" s="10">
        <v>1.258756866046717</v>
      </c>
      <c r="F1382" s="10">
        <v>0.68872510350417926</v>
      </c>
      <c r="G1382" s="10">
        <v>0.42176701662913502</v>
      </c>
      <c r="H1382" s="6">
        <v>0.2529544289517483</v>
      </c>
      <c r="I1382" s="10">
        <v>5.8040183046563367</v>
      </c>
      <c r="J1382" s="7">
        <v>4.0723772484390512E-2</v>
      </c>
      <c r="K1382" s="5">
        <v>0.1793089859540398</v>
      </c>
      <c r="L1382">
        <v>126.1650212525328</v>
      </c>
      <c r="M1382" s="10">
        <v>-0.78629733942402491</v>
      </c>
      <c r="N1382" s="24" t="s">
        <v>343</v>
      </c>
      <c r="O1382" s="24">
        <v>3.8221596345585032</v>
      </c>
      <c r="P1382">
        <v>46.474146824340849</v>
      </c>
      <c r="Q1382" t="s">
        <v>346</v>
      </c>
      <c r="R1382" t="s">
        <v>347</v>
      </c>
      <c r="S1382" t="s">
        <v>343</v>
      </c>
      <c r="T1382" t="s">
        <v>343</v>
      </c>
    </row>
    <row r="1383" spans="2:20" x14ac:dyDescent="0.25">
      <c r="B1383">
        <v>1378</v>
      </c>
      <c r="C1383" t="s">
        <v>1722</v>
      </c>
      <c r="D1383" s="10">
        <v>0.19370595024090659</v>
      </c>
      <c r="E1383" s="10">
        <v>0.6936878941002127</v>
      </c>
      <c r="F1383" s="10">
        <v>0.44656618603970061</v>
      </c>
      <c r="G1383" s="10">
        <v>0.28583532015547047</v>
      </c>
      <c r="H1383" s="6">
        <v>0.2011946900413063</v>
      </c>
      <c r="I1383" s="10">
        <v>6.5624000880333773</v>
      </c>
      <c r="J1383" s="7">
        <v>1.415170934168862E-2</v>
      </c>
      <c r="K1383" s="5">
        <v>0.109285227354096</v>
      </c>
      <c r="L1383">
        <v>141.8708496682145</v>
      </c>
      <c r="M1383" s="10">
        <v>-0.75969426603918566</v>
      </c>
      <c r="N1383" s="24" t="s">
        <v>343</v>
      </c>
      <c r="O1383" s="24">
        <v>5.4183440376488576</v>
      </c>
      <c r="P1383">
        <v>62.575429566373543</v>
      </c>
      <c r="Q1383" t="s">
        <v>47</v>
      </c>
      <c r="R1383" t="s">
        <v>350</v>
      </c>
      <c r="S1383" t="s">
        <v>343</v>
      </c>
      <c r="T1383" t="s">
        <v>343</v>
      </c>
    </row>
    <row r="1384" spans="2:20" x14ac:dyDescent="0.25">
      <c r="B1384">
        <v>1379</v>
      </c>
      <c r="C1384" t="s">
        <v>1723</v>
      </c>
      <c r="D1384" s="10">
        <v>0.25967465337015733</v>
      </c>
      <c r="E1384" s="10">
        <v>0.98864891751228812</v>
      </c>
      <c r="F1384" s="10">
        <v>0.52649817731766657</v>
      </c>
      <c r="G1384" s="10">
        <v>0.32534077868516831</v>
      </c>
      <c r="H1384" s="6">
        <v>0.13835681492634119</v>
      </c>
      <c r="I1384" s="10">
        <v>5.1631307914344484</v>
      </c>
      <c r="J1384" s="7">
        <v>3.2830803462853379E-2</v>
      </c>
      <c r="K1384" s="5">
        <v>0.18683292345420069</v>
      </c>
      <c r="L1384">
        <v>166.45829448038069</v>
      </c>
      <c r="M1384" s="10">
        <v>-0.71804720474628081</v>
      </c>
      <c r="N1384" s="24" t="s">
        <v>343</v>
      </c>
      <c r="O1384" s="24">
        <v>7.9171677152231554</v>
      </c>
      <c r="P1384">
        <v>18.845227895935221</v>
      </c>
      <c r="Q1384" t="s">
        <v>348</v>
      </c>
      <c r="R1384" t="s">
        <v>375</v>
      </c>
      <c r="S1384" t="s">
        <v>343</v>
      </c>
      <c r="T1384" t="s">
        <v>343</v>
      </c>
    </row>
    <row r="1385" spans="2:20" x14ac:dyDescent="0.25">
      <c r="B1385">
        <v>1380</v>
      </c>
      <c r="C1385" t="s">
        <v>1724</v>
      </c>
      <c r="D1385" s="10">
        <v>0.26104963521480329</v>
      </c>
      <c r="E1385" s="10">
        <v>0.47465391491598852</v>
      </c>
      <c r="F1385" s="10">
        <v>0.50762403297907288</v>
      </c>
      <c r="G1385" s="10">
        <v>0.38098398452484461</v>
      </c>
      <c r="H1385" s="6">
        <v>0.2207708691920432</v>
      </c>
      <c r="I1385" s="10">
        <v>6.3982893950557402</v>
      </c>
      <c r="J1385" s="7">
        <v>1.0246666437535371E-2</v>
      </c>
      <c r="K1385" s="5">
        <v>0.17985249216148749</v>
      </c>
      <c r="L1385">
        <v>85.138813188249429</v>
      </c>
      <c r="M1385" s="10">
        <v>-0.85578894438426167</v>
      </c>
      <c r="N1385" s="24" t="s">
        <v>343</v>
      </c>
      <c r="O1385" s="24">
        <v>0</v>
      </c>
      <c r="P1385">
        <v>57.935533590050497</v>
      </c>
      <c r="Q1385" t="s">
        <v>47</v>
      </c>
      <c r="R1385" t="s">
        <v>350</v>
      </c>
      <c r="S1385" t="s">
        <v>343</v>
      </c>
      <c r="T1385" t="s">
        <v>343</v>
      </c>
    </row>
    <row r="1386" spans="2:20" x14ac:dyDescent="0.25">
      <c r="B1386">
        <v>1381</v>
      </c>
      <c r="C1386" t="s">
        <v>1725</v>
      </c>
      <c r="D1386" s="10">
        <v>0.27729808358644498</v>
      </c>
      <c r="E1386" s="10">
        <v>0.52678132909432773</v>
      </c>
      <c r="F1386" s="10">
        <v>0.45251281917986119</v>
      </c>
      <c r="G1386" s="10">
        <v>0.4324496931635512</v>
      </c>
      <c r="H1386" s="6">
        <v>0.14067684944449699</v>
      </c>
      <c r="I1386" s="10">
        <v>12.124285231748329</v>
      </c>
      <c r="J1386" s="7">
        <v>3.2158212207279088E-2</v>
      </c>
      <c r="K1386" s="5">
        <v>0.17016923089580591</v>
      </c>
      <c r="L1386">
        <v>109.5571184421845</v>
      </c>
      <c r="M1386" s="10">
        <v>-0.81442837750354646</v>
      </c>
      <c r="N1386" s="24" t="s">
        <v>343</v>
      </c>
      <c r="O1386" s="24">
        <v>2.134297349787218</v>
      </c>
      <c r="P1386">
        <v>15.31373990070132</v>
      </c>
      <c r="Q1386" t="s">
        <v>348</v>
      </c>
      <c r="R1386" t="s">
        <v>371</v>
      </c>
      <c r="S1386" t="s">
        <v>343</v>
      </c>
      <c r="T1386" t="s">
        <v>343</v>
      </c>
    </row>
    <row r="1387" spans="2:20" x14ac:dyDescent="0.25">
      <c r="B1387">
        <v>1382</v>
      </c>
      <c r="C1387" t="s">
        <v>1726</v>
      </c>
      <c r="D1387" s="10">
        <v>0.18105082962036159</v>
      </c>
      <c r="E1387" s="10">
        <v>1.3911520078834669</v>
      </c>
      <c r="F1387" s="10">
        <v>0.54548972017705377</v>
      </c>
      <c r="G1387" s="10">
        <v>0.38530328172113237</v>
      </c>
      <c r="H1387" s="6">
        <v>0.1961320727149021</v>
      </c>
      <c r="I1387" s="10">
        <v>9.3438463551195561</v>
      </c>
      <c r="J1387" s="7">
        <v>2.6252375612372651E-2</v>
      </c>
      <c r="K1387" s="5">
        <v>0.1249438888388406</v>
      </c>
      <c r="L1387">
        <v>245.10602452706939</v>
      </c>
      <c r="M1387" s="10">
        <v>-0.5848309694349344</v>
      </c>
      <c r="N1387" s="24" t="s">
        <v>343</v>
      </c>
      <c r="O1387" s="24">
        <v>15.910141833903941</v>
      </c>
      <c r="P1387">
        <v>59.965462112369963</v>
      </c>
      <c r="Q1387" t="s">
        <v>47</v>
      </c>
      <c r="R1387" t="s">
        <v>350</v>
      </c>
      <c r="S1387" t="s">
        <v>343</v>
      </c>
      <c r="T1387" t="s">
        <v>343</v>
      </c>
    </row>
    <row r="1388" spans="2:20" x14ac:dyDescent="0.25">
      <c r="B1388">
        <v>1383</v>
      </c>
      <c r="C1388" t="s">
        <v>1727</v>
      </c>
      <c r="D1388" s="10">
        <v>0.27453199434913422</v>
      </c>
      <c r="E1388" s="10">
        <v>1.128395033885462</v>
      </c>
      <c r="F1388" s="10">
        <v>0.60200985844232136</v>
      </c>
      <c r="G1388" s="10">
        <v>0.42458483083352527</v>
      </c>
      <c r="H1388" s="6">
        <v>0.13404449579716751</v>
      </c>
      <c r="I1388" s="10">
        <v>4.2006911759960968</v>
      </c>
      <c r="J1388" s="7">
        <v>2.7188956832034161E-2</v>
      </c>
      <c r="K1388" s="5">
        <v>0.16792099632400129</v>
      </c>
      <c r="L1388">
        <v>326.89692067460248</v>
      </c>
      <c r="M1388" s="10">
        <v>-0.44629073107017292</v>
      </c>
      <c r="N1388" s="24" t="s">
        <v>343</v>
      </c>
      <c r="O1388" s="24">
        <v>24.22255613578962</v>
      </c>
      <c r="P1388">
        <v>18.945305681910298</v>
      </c>
      <c r="Q1388" t="s">
        <v>348</v>
      </c>
      <c r="R1388" t="s">
        <v>353</v>
      </c>
      <c r="S1388" t="s">
        <v>343</v>
      </c>
      <c r="T1388" t="s">
        <v>343</v>
      </c>
    </row>
    <row r="1389" spans="2:20" x14ac:dyDescent="0.25">
      <c r="B1389">
        <v>1384</v>
      </c>
      <c r="C1389" t="s">
        <v>1728</v>
      </c>
      <c r="D1389" s="10">
        <v>0.3054452033065026</v>
      </c>
      <c r="E1389" s="10">
        <v>1.3581690567514779</v>
      </c>
      <c r="F1389" s="10">
        <v>0.66946374450612633</v>
      </c>
      <c r="G1389" s="10">
        <v>0.34426889348684542</v>
      </c>
      <c r="H1389" s="6">
        <v>0.20835980074462521</v>
      </c>
      <c r="I1389" s="10">
        <v>9.4526404073072143</v>
      </c>
      <c r="J1389" s="7">
        <v>3.05808962748239E-2</v>
      </c>
      <c r="K1389" s="5">
        <v>0.14168312906377009</v>
      </c>
      <c r="L1389">
        <v>347.31935945724632</v>
      </c>
      <c r="M1389" s="10">
        <v>-0.41169850051392948</v>
      </c>
      <c r="N1389" s="24" t="s">
        <v>343</v>
      </c>
      <c r="O1389" s="24">
        <v>26.298089969164231</v>
      </c>
      <c r="P1389">
        <v>46.250145610146603</v>
      </c>
      <c r="Q1389" t="s">
        <v>346</v>
      </c>
      <c r="R1389" t="s">
        <v>347</v>
      </c>
      <c r="S1389" t="s">
        <v>343</v>
      </c>
      <c r="T1389" t="s">
        <v>343</v>
      </c>
    </row>
    <row r="1390" spans="2:20" x14ac:dyDescent="0.25">
      <c r="B1390">
        <v>1385</v>
      </c>
      <c r="C1390" t="s">
        <v>1729</v>
      </c>
      <c r="D1390" s="10">
        <v>0.18874929741923871</v>
      </c>
      <c r="E1390" s="10">
        <v>0.6254362817332485</v>
      </c>
      <c r="F1390" s="10">
        <v>0.6973193262097821</v>
      </c>
      <c r="G1390" s="10">
        <v>0.39780682229510977</v>
      </c>
      <c r="H1390" s="6">
        <v>0.16771039876769811</v>
      </c>
      <c r="I1390" s="10">
        <v>9.9691969110917693</v>
      </c>
      <c r="J1390" s="7">
        <v>3.5992938345112177E-2</v>
      </c>
      <c r="K1390" s="5">
        <v>0.16020700023677081</v>
      </c>
      <c r="L1390">
        <v>109.7238588393902</v>
      </c>
      <c r="M1390" s="10">
        <v>-0.81414594687297537</v>
      </c>
      <c r="N1390" s="24" t="s">
        <v>343</v>
      </c>
      <c r="O1390" s="24">
        <v>2.1512431876214819</v>
      </c>
      <c r="P1390">
        <v>56.651689428840662</v>
      </c>
      <c r="Q1390" t="s">
        <v>47</v>
      </c>
      <c r="R1390" t="s">
        <v>350</v>
      </c>
      <c r="S1390" t="s">
        <v>343</v>
      </c>
      <c r="T1390" t="s">
        <v>343</v>
      </c>
    </row>
    <row r="1391" spans="2:20" x14ac:dyDescent="0.25">
      <c r="B1391">
        <v>1386</v>
      </c>
      <c r="C1391" t="s">
        <v>1730</v>
      </c>
      <c r="D1391" s="10">
        <v>0.19800693198782041</v>
      </c>
      <c r="E1391" s="10">
        <v>0.48101916428180241</v>
      </c>
      <c r="F1391" s="10">
        <v>0.65010329246514353</v>
      </c>
      <c r="G1391" s="10">
        <v>0.45559577740251911</v>
      </c>
      <c r="H1391" s="6">
        <v>0.24464871221062551</v>
      </c>
      <c r="I1391" s="10">
        <v>12.73306060422156</v>
      </c>
      <c r="J1391" s="7">
        <v>3.5531023092678048E-2</v>
      </c>
      <c r="K1391" s="5">
        <v>0.12969266963431869</v>
      </c>
      <c r="L1391">
        <v>121.1575710703618</v>
      </c>
      <c r="M1391" s="10">
        <v>-0.79477913109661269</v>
      </c>
      <c r="N1391" s="24" t="s">
        <v>343</v>
      </c>
      <c r="O1391" s="24">
        <v>3.3132521342032391</v>
      </c>
      <c r="P1391">
        <v>50.97230527599713</v>
      </c>
      <c r="Q1391" t="s">
        <v>47</v>
      </c>
      <c r="R1391" t="s">
        <v>350</v>
      </c>
      <c r="S1391" t="s">
        <v>343</v>
      </c>
      <c r="T1391" t="s">
        <v>343</v>
      </c>
    </row>
    <row r="1392" spans="2:20" x14ac:dyDescent="0.25">
      <c r="B1392">
        <v>1387</v>
      </c>
      <c r="C1392" t="s">
        <v>1731</v>
      </c>
      <c r="D1392" s="10">
        <v>0.31542321504666238</v>
      </c>
      <c r="E1392" s="10">
        <v>0.85337530982671406</v>
      </c>
      <c r="F1392" s="10">
        <v>0.56185693486533439</v>
      </c>
      <c r="G1392" s="10">
        <v>0.27376748256854672</v>
      </c>
      <c r="H1392" s="6">
        <v>0.2399919189312622</v>
      </c>
      <c r="I1392" s="10">
        <v>12.45609987957385</v>
      </c>
      <c r="J1392" s="7">
        <v>1.155676610413383E-2</v>
      </c>
      <c r="K1392" s="5">
        <v>0.17940649611176271</v>
      </c>
      <c r="L1392">
        <v>130.0299051565658</v>
      </c>
      <c r="M1392" s="10">
        <v>-0.77975086588556364</v>
      </c>
      <c r="N1392" s="24" t="s">
        <v>343</v>
      </c>
      <c r="O1392" s="24">
        <v>4.2149480468661764</v>
      </c>
      <c r="P1392">
        <v>51.317454558023869</v>
      </c>
      <c r="Q1392" t="s">
        <v>47</v>
      </c>
      <c r="R1392" t="s">
        <v>350</v>
      </c>
      <c r="S1392" t="s">
        <v>343</v>
      </c>
      <c r="T1392" t="s">
        <v>343</v>
      </c>
    </row>
    <row r="1393" spans="2:20" x14ac:dyDescent="0.25">
      <c r="B1393">
        <v>1388</v>
      </c>
      <c r="C1393" t="s">
        <v>1732</v>
      </c>
      <c r="D1393" s="10">
        <v>0.1889563124335184</v>
      </c>
      <c r="E1393" s="10">
        <v>0.84413511045007761</v>
      </c>
      <c r="F1393" s="10">
        <v>0.62816315075142792</v>
      </c>
      <c r="G1393" s="10">
        <v>0.44392255230949579</v>
      </c>
      <c r="H1393" s="6">
        <v>0.26977108132116617</v>
      </c>
      <c r="I1393" s="10">
        <v>3.6916262786376648</v>
      </c>
      <c r="J1393" s="7">
        <v>3.5777303520552257E-2</v>
      </c>
      <c r="K1393" s="5">
        <v>0.10385472943529341</v>
      </c>
      <c r="L1393">
        <v>181.986866918065</v>
      </c>
      <c r="M1393" s="10">
        <v>-0.69174437364511887</v>
      </c>
      <c r="N1393" s="24" t="s">
        <v>343</v>
      </c>
      <c r="O1393" s="24">
        <v>9.4953375812928691</v>
      </c>
      <c r="P1393">
        <v>52.922520974642318</v>
      </c>
      <c r="Q1393" t="s">
        <v>47</v>
      </c>
      <c r="R1393" t="s">
        <v>350</v>
      </c>
      <c r="S1393" t="s">
        <v>343</v>
      </c>
      <c r="T1393" t="s">
        <v>343</v>
      </c>
    </row>
    <row r="1394" spans="2:20" x14ac:dyDescent="0.25">
      <c r="B1394">
        <v>1389</v>
      </c>
      <c r="C1394" t="s">
        <v>1733</v>
      </c>
      <c r="D1394" s="10">
        <v>0.29670161493913272</v>
      </c>
      <c r="E1394" s="10">
        <v>0.49244116513378661</v>
      </c>
      <c r="F1394" s="10">
        <v>0.65934218503330655</v>
      </c>
      <c r="G1394" s="10">
        <v>0.35492006852521862</v>
      </c>
      <c r="H1394" s="6">
        <v>0.1586254762056547</v>
      </c>
      <c r="I1394" s="10">
        <v>12.53367904474036</v>
      </c>
      <c r="J1394" s="7">
        <v>3.9043559323420379E-2</v>
      </c>
      <c r="K1394" s="5">
        <v>0.16568867593611211</v>
      </c>
      <c r="L1394">
        <v>217.3775002453537</v>
      </c>
      <c r="M1394" s="10">
        <v>-0.63179849937326282</v>
      </c>
      <c r="N1394" s="24" t="s">
        <v>343</v>
      </c>
      <c r="O1394" s="24">
        <v>13.09209003760423</v>
      </c>
      <c r="P1394">
        <v>55.49817323777814</v>
      </c>
      <c r="Q1394" t="s">
        <v>47</v>
      </c>
      <c r="R1394" t="s">
        <v>350</v>
      </c>
      <c r="S1394" t="s">
        <v>343</v>
      </c>
      <c r="T1394" t="s">
        <v>343</v>
      </c>
    </row>
    <row r="1395" spans="2:20" x14ac:dyDescent="0.25">
      <c r="B1395">
        <v>1390</v>
      </c>
      <c r="C1395" t="s">
        <v>1734</v>
      </c>
      <c r="D1395" s="10">
        <v>0.23876445703168561</v>
      </c>
      <c r="E1395" s="10">
        <v>1.1065415265395511</v>
      </c>
      <c r="F1395" s="10">
        <v>0.56097987106885716</v>
      </c>
      <c r="G1395" s="10">
        <v>0.38150796676061283</v>
      </c>
      <c r="H1395" s="6">
        <v>0.12927016391693699</v>
      </c>
      <c r="I1395" s="10">
        <v>3.5597320741030818</v>
      </c>
      <c r="J1395" s="7">
        <v>1.238604185524609E-2</v>
      </c>
      <c r="K1395" s="5">
        <v>0.17871996783641489</v>
      </c>
      <c r="L1395">
        <v>219.43887736485689</v>
      </c>
      <c r="M1395" s="10">
        <v>-0.628306867774307</v>
      </c>
      <c r="N1395" s="24" t="s">
        <v>343</v>
      </c>
      <c r="O1395" s="24">
        <v>13.30158793354158</v>
      </c>
      <c r="P1395">
        <v>62.087268319540406</v>
      </c>
      <c r="Q1395" t="s">
        <v>47</v>
      </c>
      <c r="R1395" t="s">
        <v>350</v>
      </c>
      <c r="S1395" t="s">
        <v>343</v>
      </c>
      <c r="T1395" t="s">
        <v>343</v>
      </c>
    </row>
    <row r="1396" spans="2:20" x14ac:dyDescent="0.25">
      <c r="B1396">
        <v>1391</v>
      </c>
      <c r="C1396" t="s">
        <v>1735</v>
      </c>
      <c r="D1396" s="10">
        <v>0.1995569719045083</v>
      </c>
      <c r="E1396" s="10">
        <v>0.69795528788260741</v>
      </c>
      <c r="F1396" s="10">
        <v>0.64411415284662987</v>
      </c>
      <c r="G1396" s="10">
        <v>0.43313118152031282</v>
      </c>
      <c r="H1396" s="6">
        <v>0.1864504897723267</v>
      </c>
      <c r="I1396" s="10">
        <v>4.6953418263390683</v>
      </c>
      <c r="J1396" s="7">
        <v>2.1303131023719019E-2</v>
      </c>
      <c r="K1396" s="5">
        <v>0.16141067094057041</v>
      </c>
      <c r="L1396">
        <v>149.71094522920799</v>
      </c>
      <c r="M1396" s="10">
        <v>-0.74641444201251961</v>
      </c>
      <c r="N1396" s="24" t="s">
        <v>343</v>
      </c>
      <c r="O1396" s="24">
        <v>6.21513347924882</v>
      </c>
      <c r="P1396">
        <v>68.011536275247124</v>
      </c>
      <c r="Q1396" t="s">
        <v>47</v>
      </c>
      <c r="R1396" t="s">
        <v>350</v>
      </c>
      <c r="S1396" t="s">
        <v>343</v>
      </c>
      <c r="T1396" t="s">
        <v>343</v>
      </c>
    </row>
    <row r="1397" spans="2:20" x14ac:dyDescent="0.25">
      <c r="B1397">
        <v>1392</v>
      </c>
      <c r="C1397" t="s">
        <v>1736</v>
      </c>
      <c r="D1397" s="10">
        <v>0.29931998420360179</v>
      </c>
      <c r="E1397" s="10">
        <v>0.50500175402356895</v>
      </c>
      <c r="F1397" s="10">
        <v>0.5654896287613479</v>
      </c>
      <c r="G1397" s="10">
        <v>0.33012391796150969</v>
      </c>
      <c r="H1397" s="6">
        <v>0.13251050024498559</v>
      </c>
      <c r="I1397" s="10">
        <v>4.2270500228351766</v>
      </c>
      <c r="J1397" s="7">
        <v>3.7722242689121069E-2</v>
      </c>
      <c r="K1397" s="5">
        <v>0.1182392193022847</v>
      </c>
      <c r="L1397">
        <v>77.976389848331536</v>
      </c>
      <c r="M1397" s="10">
        <v>-0.86792090385065124</v>
      </c>
      <c r="N1397" s="24" t="s">
        <v>343</v>
      </c>
      <c r="O1397" s="24">
        <v>0</v>
      </c>
      <c r="P1397">
        <v>55.936699074355623</v>
      </c>
      <c r="Q1397" t="s">
        <v>47</v>
      </c>
      <c r="R1397" t="s">
        <v>350</v>
      </c>
      <c r="S1397" t="s">
        <v>343</v>
      </c>
      <c r="T1397" t="s">
        <v>343</v>
      </c>
    </row>
    <row r="1398" spans="2:20" x14ac:dyDescent="0.25">
      <c r="B1398">
        <v>1393</v>
      </c>
      <c r="C1398" t="s">
        <v>1737</v>
      </c>
      <c r="D1398" s="10">
        <v>0.23124884080042649</v>
      </c>
      <c r="E1398" s="10">
        <v>0.66518173399761715</v>
      </c>
      <c r="F1398" s="10">
        <v>0.54048895762794791</v>
      </c>
      <c r="G1398" s="10">
        <v>0.33211236647581122</v>
      </c>
      <c r="H1398" s="6">
        <v>0.1467749572598645</v>
      </c>
      <c r="I1398" s="10">
        <v>4.9986696468449381</v>
      </c>
      <c r="J1398" s="7">
        <v>2.725873854955958E-2</v>
      </c>
      <c r="K1398" s="5">
        <v>0.127073174079125</v>
      </c>
      <c r="L1398">
        <v>138.6848488958309</v>
      </c>
      <c r="M1398" s="10">
        <v>-0.76509082393531347</v>
      </c>
      <c r="N1398" s="24" t="s">
        <v>343</v>
      </c>
      <c r="O1398" s="24">
        <v>5.0945505638811994</v>
      </c>
      <c r="P1398">
        <v>66.679222671939641</v>
      </c>
      <c r="Q1398" t="s">
        <v>47</v>
      </c>
      <c r="R1398" t="s">
        <v>350</v>
      </c>
      <c r="S1398" t="s">
        <v>343</v>
      </c>
      <c r="T1398" t="s">
        <v>343</v>
      </c>
    </row>
    <row r="1399" spans="2:20" x14ac:dyDescent="0.25">
      <c r="B1399">
        <v>1394</v>
      </c>
      <c r="C1399" t="s">
        <v>1738</v>
      </c>
      <c r="D1399" s="10">
        <v>0.24237077662875051</v>
      </c>
      <c r="E1399" s="10">
        <v>0.92002456959851653</v>
      </c>
      <c r="F1399" s="10">
        <v>0.57678361782377785</v>
      </c>
      <c r="G1399" s="10">
        <v>0.35598000399636209</v>
      </c>
      <c r="H1399" s="6">
        <v>0.2095950212042329</v>
      </c>
      <c r="I1399" s="10">
        <v>11.835881936592591</v>
      </c>
      <c r="J1399" s="7">
        <v>3.4321187408348462E-2</v>
      </c>
      <c r="K1399" s="5">
        <v>0.14891600297776131</v>
      </c>
      <c r="L1399">
        <v>326.55276140590939</v>
      </c>
      <c r="M1399" s="10">
        <v>-0.44687367989902771</v>
      </c>
      <c r="N1399" s="24" t="s">
        <v>343</v>
      </c>
      <c r="O1399" s="24">
        <v>24.187579206058341</v>
      </c>
      <c r="P1399">
        <v>59.952731112050373</v>
      </c>
      <c r="Q1399" t="s">
        <v>47</v>
      </c>
      <c r="R1399" t="s">
        <v>350</v>
      </c>
      <c r="S1399" t="s">
        <v>343</v>
      </c>
      <c r="T1399" t="s">
        <v>343</v>
      </c>
    </row>
    <row r="1400" spans="2:20" x14ac:dyDescent="0.25">
      <c r="B1400">
        <v>1395</v>
      </c>
      <c r="C1400" t="s">
        <v>1739</v>
      </c>
      <c r="D1400" s="10">
        <v>0.2174773391039625</v>
      </c>
      <c r="E1400" s="10">
        <v>1.0991180253984869</v>
      </c>
      <c r="F1400" s="10">
        <v>0.61572223178305763</v>
      </c>
      <c r="G1400" s="10">
        <v>0.24420245858930709</v>
      </c>
      <c r="H1400" s="6">
        <v>0.20881962770164481</v>
      </c>
      <c r="I1400" s="10">
        <v>10.54731279118784</v>
      </c>
      <c r="J1400" s="7">
        <v>2.7581053265934709E-2</v>
      </c>
      <c r="K1400" s="5">
        <v>0.13129766158086309</v>
      </c>
      <c r="L1400">
        <v>243.14875875879201</v>
      </c>
      <c r="M1400" s="10">
        <v>-0.58814625363956297</v>
      </c>
      <c r="N1400" s="24" t="s">
        <v>343</v>
      </c>
      <c r="O1400" s="24">
        <v>15.711224781626219</v>
      </c>
      <c r="P1400">
        <v>22.972758797196651</v>
      </c>
      <c r="Q1400" t="s">
        <v>348</v>
      </c>
      <c r="R1400" t="s">
        <v>375</v>
      </c>
      <c r="S1400" t="s">
        <v>343</v>
      </c>
      <c r="T1400" t="s">
        <v>343</v>
      </c>
    </row>
    <row r="1401" spans="2:20" x14ac:dyDescent="0.25">
      <c r="B1401">
        <v>1396</v>
      </c>
      <c r="C1401" t="s">
        <v>1740</v>
      </c>
      <c r="D1401" s="10">
        <v>0.25487213622958838</v>
      </c>
      <c r="E1401" s="10">
        <v>0.83007997466323302</v>
      </c>
      <c r="F1401" s="10">
        <v>0.62898933464283524</v>
      </c>
      <c r="G1401" s="10">
        <v>0.34926655980753718</v>
      </c>
      <c r="H1401" s="6">
        <v>0.12649912165945351</v>
      </c>
      <c r="I1401" s="10">
        <v>10.556586810611551</v>
      </c>
      <c r="J1401" s="7">
        <v>4.423778574328581E-2</v>
      </c>
      <c r="K1401" s="5">
        <v>0.1004670600621838</v>
      </c>
      <c r="L1401">
        <v>337.49325936434781</v>
      </c>
      <c r="M1401" s="10">
        <v>-0.42834228745337888</v>
      </c>
      <c r="N1401" s="24" t="s">
        <v>343</v>
      </c>
      <c r="O1401" s="24">
        <v>25.299462752797272</v>
      </c>
      <c r="P1401">
        <v>52.211100107150692</v>
      </c>
      <c r="Q1401" t="s">
        <v>47</v>
      </c>
      <c r="R1401" t="s">
        <v>350</v>
      </c>
      <c r="S1401" t="s">
        <v>343</v>
      </c>
      <c r="T1401" t="s">
        <v>343</v>
      </c>
    </row>
    <row r="1402" spans="2:20" x14ac:dyDescent="0.25">
      <c r="B1402">
        <v>1397</v>
      </c>
      <c r="C1402" t="s">
        <v>1741</v>
      </c>
      <c r="D1402" s="10">
        <v>0.18616381961360359</v>
      </c>
      <c r="E1402" s="10">
        <v>0.87815448881121072</v>
      </c>
      <c r="F1402" s="10">
        <v>0.53275142991194802</v>
      </c>
      <c r="G1402" s="10">
        <v>0.30403919829873072</v>
      </c>
      <c r="H1402" s="6">
        <v>0.18643571271274181</v>
      </c>
      <c r="I1402" s="10">
        <v>13.143403805468671</v>
      </c>
      <c r="J1402" s="7">
        <v>4.2766757550322651E-2</v>
      </c>
      <c r="K1402" s="5">
        <v>0.10386442068223201</v>
      </c>
      <c r="L1402">
        <v>307.40598330960307</v>
      </c>
      <c r="M1402" s="10">
        <v>-0.47930515242617489</v>
      </c>
      <c r="N1402" s="24" t="s">
        <v>343</v>
      </c>
      <c r="O1402" s="24">
        <v>22.24169085442951</v>
      </c>
      <c r="P1402">
        <v>51.075987974427683</v>
      </c>
      <c r="Q1402" t="s">
        <v>47</v>
      </c>
      <c r="R1402" t="s">
        <v>350</v>
      </c>
      <c r="S1402" t="s">
        <v>343</v>
      </c>
      <c r="T1402" t="s">
        <v>343</v>
      </c>
    </row>
    <row r="1403" spans="2:20" x14ac:dyDescent="0.25">
      <c r="B1403">
        <v>1398</v>
      </c>
      <c r="C1403" t="s">
        <v>1742</v>
      </c>
      <c r="D1403" s="10">
        <v>0.2225730458642817</v>
      </c>
      <c r="E1403" s="10">
        <v>0.45284052953702331</v>
      </c>
      <c r="F1403" s="10">
        <v>0.58854326540456903</v>
      </c>
      <c r="G1403" s="10">
        <v>0.44414992012619192</v>
      </c>
      <c r="H1403" s="6">
        <v>0.19953280393008629</v>
      </c>
      <c r="I1403" s="10">
        <v>7.3103613568396568</v>
      </c>
      <c r="J1403" s="7">
        <v>1.9840083466716969E-2</v>
      </c>
      <c r="K1403" s="5">
        <v>0.1729380009459508</v>
      </c>
      <c r="L1403">
        <v>151.5452013382797</v>
      </c>
      <c r="M1403" s="10">
        <v>-0.74330751580749999</v>
      </c>
      <c r="N1403" s="24" t="s">
        <v>343</v>
      </c>
      <c r="O1403" s="24">
        <v>6.4015490515499991</v>
      </c>
      <c r="P1403">
        <v>62.819355745833093</v>
      </c>
      <c r="Q1403" t="s">
        <v>47</v>
      </c>
      <c r="R1403" t="s">
        <v>350</v>
      </c>
      <c r="S1403" t="s">
        <v>343</v>
      </c>
      <c r="T1403" t="s">
        <v>343</v>
      </c>
    </row>
    <row r="1404" spans="2:20" x14ac:dyDescent="0.25">
      <c r="B1404">
        <v>1399</v>
      </c>
      <c r="C1404" t="s">
        <v>1743</v>
      </c>
      <c r="D1404" s="10">
        <v>0.315105971573646</v>
      </c>
      <c r="E1404" s="10">
        <v>1.3061600171790551</v>
      </c>
      <c r="F1404" s="10">
        <v>0.6765664272609162</v>
      </c>
      <c r="G1404" s="10">
        <v>0.25930176572566688</v>
      </c>
      <c r="H1404" s="6">
        <v>0.160203635672998</v>
      </c>
      <c r="I1404" s="10">
        <v>3.0361618742343488</v>
      </c>
      <c r="J1404" s="7">
        <v>2.3505968761022289E-2</v>
      </c>
      <c r="K1404" s="5">
        <v>0.10795218225972961</v>
      </c>
      <c r="L1404">
        <v>184.10401855848721</v>
      </c>
      <c r="M1404" s="10">
        <v>-0.68815826924067058</v>
      </c>
      <c r="N1404" s="24" t="s">
        <v>343</v>
      </c>
      <c r="O1404" s="24">
        <v>9.7105038455597672</v>
      </c>
      <c r="P1404">
        <v>47.808603595746142</v>
      </c>
      <c r="Q1404" t="s">
        <v>346</v>
      </c>
      <c r="R1404" t="s">
        <v>347</v>
      </c>
      <c r="S1404" t="s">
        <v>343</v>
      </c>
      <c r="T1404" t="s">
        <v>343</v>
      </c>
    </row>
    <row r="1405" spans="2:20" x14ac:dyDescent="0.25">
      <c r="B1405">
        <v>1400</v>
      </c>
      <c r="C1405" t="s">
        <v>1744</v>
      </c>
      <c r="D1405" s="10">
        <v>0.2013013492321804</v>
      </c>
      <c r="E1405" s="10">
        <v>1.321596617791249</v>
      </c>
      <c r="F1405" s="10">
        <v>0.69384135402876623</v>
      </c>
      <c r="G1405" s="10">
        <v>0.34105050164435641</v>
      </c>
      <c r="H1405" s="6">
        <v>0.2508064772813241</v>
      </c>
      <c r="I1405" s="10">
        <v>10.03745297275873</v>
      </c>
      <c r="J1405" s="7">
        <v>2.5097109924236149E-2</v>
      </c>
      <c r="K1405" s="5">
        <v>0.188162076285632</v>
      </c>
      <c r="L1405">
        <v>340.50767600557953</v>
      </c>
      <c r="M1405" s="10">
        <v>-0.42323636467129239</v>
      </c>
      <c r="N1405" s="24" t="s">
        <v>343</v>
      </c>
      <c r="O1405" s="24">
        <v>25.60581811972245</v>
      </c>
      <c r="P1405">
        <v>54.025110564374721</v>
      </c>
      <c r="Q1405" t="s">
        <v>47</v>
      </c>
      <c r="R1405" t="s">
        <v>350</v>
      </c>
      <c r="S1405" t="s">
        <v>343</v>
      </c>
      <c r="T1405" t="s">
        <v>343</v>
      </c>
    </row>
    <row r="1406" spans="2:20" x14ac:dyDescent="0.25">
      <c r="B1406">
        <v>1401</v>
      </c>
      <c r="C1406" t="s">
        <v>1745</v>
      </c>
      <c r="D1406" s="10">
        <v>0.26507786632660679</v>
      </c>
      <c r="E1406" s="10">
        <v>1.0517692494598041</v>
      </c>
      <c r="F1406" s="10">
        <v>0.49908450370782809</v>
      </c>
      <c r="G1406" s="10">
        <v>0.44844299748301941</v>
      </c>
      <c r="H1406" s="6">
        <v>0.14416479714696331</v>
      </c>
      <c r="I1406" s="10">
        <v>12.548818250682141</v>
      </c>
      <c r="J1406" s="7">
        <v>1.364715165302547E-2</v>
      </c>
      <c r="K1406" s="5">
        <v>0.14205996236015139</v>
      </c>
      <c r="L1406">
        <v>268.98854275411281</v>
      </c>
      <c r="M1406" s="10">
        <v>-0.54437793708329962</v>
      </c>
      <c r="N1406" s="24" t="s">
        <v>343</v>
      </c>
      <c r="O1406" s="24">
        <v>18.337323775002019</v>
      </c>
      <c r="P1406">
        <v>18.88675165452138</v>
      </c>
      <c r="Q1406" t="s">
        <v>348</v>
      </c>
      <c r="R1406" t="s">
        <v>371</v>
      </c>
      <c r="S1406" t="s">
        <v>343</v>
      </c>
      <c r="T1406" t="s">
        <v>343</v>
      </c>
    </row>
    <row r="1407" spans="2:20" x14ac:dyDescent="0.25">
      <c r="B1407">
        <v>1402</v>
      </c>
      <c r="C1407" t="s">
        <v>1746</v>
      </c>
      <c r="D1407" s="10">
        <v>0.21203041027595121</v>
      </c>
      <c r="E1407" s="10">
        <v>0.31939454982742721</v>
      </c>
      <c r="F1407" s="10">
        <v>0.49013610308546879</v>
      </c>
      <c r="G1407" s="10">
        <v>0.43822775507006512</v>
      </c>
      <c r="H1407" s="6">
        <v>0.15808527075093209</v>
      </c>
      <c r="I1407" s="10">
        <v>13.738861986171489</v>
      </c>
      <c r="J1407" s="7">
        <v>2.4142623140780611E-2</v>
      </c>
      <c r="K1407" s="5">
        <v>0.17202773064461491</v>
      </c>
      <c r="L1407">
        <v>238.1887870964562</v>
      </c>
      <c r="M1407" s="10">
        <v>-0.59654762455916988</v>
      </c>
      <c r="N1407" s="24" t="s">
        <v>343</v>
      </c>
      <c r="O1407" s="24">
        <v>15.207142526449809</v>
      </c>
      <c r="P1407">
        <v>21.399852460023489</v>
      </c>
      <c r="Q1407" t="s">
        <v>348</v>
      </c>
      <c r="R1407" t="s">
        <v>371</v>
      </c>
      <c r="S1407" t="s">
        <v>343</v>
      </c>
      <c r="T1407" t="s">
        <v>343</v>
      </c>
    </row>
    <row r="1408" spans="2:20" x14ac:dyDescent="0.25">
      <c r="B1408">
        <v>1403</v>
      </c>
      <c r="C1408" t="s">
        <v>1747</v>
      </c>
      <c r="D1408" s="10">
        <v>0.28375570010985612</v>
      </c>
      <c r="E1408" s="10">
        <v>0.89078163749365857</v>
      </c>
      <c r="F1408" s="10">
        <v>0.61593826469144863</v>
      </c>
      <c r="G1408" s="10">
        <v>0.39429665732240099</v>
      </c>
      <c r="H1408" s="6">
        <v>0.14354916225491299</v>
      </c>
      <c r="I1408" s="10">
        <v>7.0028200334756736</v>
      </c>
      <c r="J1408" s="7">
        <v>3.711967374153196E-2</v>
      </c>
      <c r="K1408" s="5">
        <v>0.1119229366265177</v>
      </c>
      <c r="L1408">
        <v>246.35846173174269</v>
      </c>
      <c r="M1408" s="10">
        <v>-0.58270954813934972</v>
      </c>
      <c r="N1408" s="24" t="s">
        <v>343</v>
      </c>
      <c r="O1408" s="24">
        <v>16.037427111639019</v>
      </c>
      <c r="P1408">
        <v>53.444655249973927</v>
      </c>
      <c r="Q1408" t="s">
        <v>47</v>
      </c>
      <c r="R1408" t="s">
        <v>350</v>
      </c>
      <c r="S1408" t="s">
        <v>343</v>
      </c>
      <c r="T1408" t="s">
        <v>343</v>
      </c>
    </row>
    <row r="1409" spans="2:20" x14ac:dyDescent="0.25">
      <c r="B1409">
        <v>1404</v>
      </c>
      <c r="C1409" t="s">
        <v>1748</v>
      </c>
      <c r="D1409" s="10">
        <v>0.18093978571493599</v>
      </c>
      <c r="E1409" s="10">
        <v>0.99214086929747491</v>
      </c>
      <c r="F1409" s="10">
        <v>0.54781781031409538</v>
      </c>
      <c r="G1409" s="10">
        <v>0.36965943143913638</v>
      </c>
      <c r="H1409" s="6">
        <v>0.1374819950805837</v>
      </c>
      <c r="I1409" s="10">
        <v>12.04367407287404</v>
      </c>
      <c r="J1409" s="7">
        <v>3.9641369850719067E-2</v>
      </c>
      <c r="K1409" s="5">
        <v>0.1880182049073186</v>
      </c>
      <c r="L1409">
        <v>172.159199935044</v>
      </c>
      <c r="M1409" s="10">
        <v>-0.70839081463705178</v>
      </c>
      <c r="N1409" s="24" t="s">
        <v>343</v>
      </c>
      <c r="O1409" s="24">
        <v>8.4965511217768963</v>
      </c>
      <c r="P1409">
        <v>59.788349520647621</v>
      </c>
      <c r="Q1409" t="s">
        <v>47</v>
      </c>
      <c r="R1409" t="s">
        <v>350</v>
      </c>
      <c r="S1409" t="s">
        <v>343</v>
      </c>
      <c r="T1409" t="s">
        <v>343</v>
      </c>
    </row>
    <row r="1410" spans="2:20" x14ac:dyDescent="0.25">
      <c r="B1410">
        <v>1405</v>
      </c>
      <c r="C1410" t="s">
        <v>1749</v>
      </c>
      <c r="D1410" s="10">
        <v>0.31517136721256722</v>
      </c>
      <c r="E1410" s="10">
        <v>1.3941196452539211</v>
      </c>
      <c r="F1410" s="10">
        <v>0.44629780798871571</v>
      </c>
      <c r="G1410" s="10">
        <v>0.30176080616922479</v>
      </c>
      <c r="H1410" s="6">
        <v>0.25184687760106889</v>
      </c>
      <c r="I1410" s="10">
        <v>12.341504857725271</v>
      </c>
      <c r="J1410" s="7">
        <v>4.1014646265339127E-2</v>
      </c>
      <c r="K1410" s="5">
        <v>0.1032118388350047</v>
      </c>
      <c r="L1410">
        <v>411.21188650443531</v>
      </c>
      <c r="M1410" s="10">
        <v>-0.30347513649945529</v>
      </c>
      <c r="N1410" s="24" t="s">
        <v>343</v>
      </c>
      <c r="O1410" s="24">
        <v>32.791491810032682</v>
      </c>
      <c r="P1410">
        <v>6.7788485744472737</v>
      </c>
      <c r="Q1410" t="s">
        <v>348</v>
      </c>
      <c r="R1410" t="s">
        <v>371</v>
      </c>
      <c r="S1410" t="s">
        <v>343</v>
      </c>
      <c r="T1410" t="s">
        <v>343</v>
      </c>
    </row>
    <row r="1411" spans="2:20" x14ac:dyDescent="0.25">
      <c r="B1411">
        <v>1406</v>
      </c>
      <c r="C1411" t="s">
        <v>1750</v>
      </c>
      <c r="D1411" s="10">
        <v>0.23260632662138231</v>
      </c>
      <c r="E1411" s="10">
        <v>1.395673650714276</v>
      </c>
      <c r="F1411" s="10">
        <v>0.53018408636829384</v>
      </c>
      <c r="G1411" s="10">
        <v>0.32073056480554007</v>
      </c>
      <c r="H1411" s="6">
        <v>0.1616788747604973</v>
      </c>
      <c r="I1411" s="10">
        <v>4.5888162519596687</v>
      </c>
      <c r="J1411" s="7">
        <v>1.050956500600162E-2</v>
      </c>
      <c r="K1411" s="5">
        <v>0.10400303026930791</v>
      </c>
      <c r="L1411">
        <v>215.57313283493329</v>
      </c>
      <c r="M1411" s="10">
        <v>-0.63485479907055853</v>
      </c>
      <c r="N1411" s="24" t="s">
        <v>343</v>
      </c>
      <c r="O1411" s="24">
        <v>12.90871205576649</v>
      </c>
      <c r="P1411">
        <v>51.529151254933737</v>
      </c>
      <c r="Q1411" t="s">
        <v>47</v>
      </c>
      <c r="R1411" t="s">
        <v>350</v>
      </c>
      <c r="S1411" t="s">
        <v>343</v>
      </c>
      <c r="T1411" t="s">
        <v>343</v>
      </c>
    </row>
    <row r="1412" spans="2:20" x14ac:dyDescent="0.25">
      <c r="B1412">
        <v>1407</v>
      </c>
      <c r="C1412" t="s">
        <v>1751</v>
      </c>
      <c r="D1412" s="10">
        <v>0.19776807413543421</v>
      </c>
      <c r="E1412" s="10">
        <v>1.2433723588581129</v>
      </c>
      <c r="F1412" s="10">
        <v>0.64975363330278557</v>
      </c>
      <c r="G1412" s="10">
        <v>0.25982967024590797</v>
      </c>
      <c r="H1412" s="6">
        <v>0.22837860292017839</v>
      </c>
      <c r="I1412" s="10">
        <v>9.946484107812319</v>
      </c>
      <c r="J1412" s="7">
        <v>3.7608211356192543E-2</v>
      </c>
      <c r="K1412" s="5">
        <v>0.1051856491202372</v>
      </c>
      <c r="L1412">
        <v>256.54873246975473</v>
      </c>
      <c r="M1412" s="10">
        <v>-0.56544891641208361</v>
      </c>
      <c r="N1412" s="24" t="s">
        <v>343</v>
      </c>
      <c r="O1412" s="24">
        <v>17.073065015274981</v>
      </c>
      <c r="P1412">
        <v>47.968733983408157</v>
      </c>
      <c r="Q1412" t="s">
        <v>346</v>
      </c>
      <c r="R1412" t="s">
        <v>347</v>
      </c>
      <c r="S1412" t="s">
        <v>343</v>
      </c>
      <c r="T1412" t="s">
        <v>343</v>
      </c>
    </row>
    <row r="1413" spans="2:20" x14ac:dyDescent="0.25">
      <c r="B1413">
        <v>1408</v>
      </c>
      <c r="C1413" t="s">
        <v>1752</v>
      </c>
      <c r="D1413" s="10">
        <v>0.17175947957280199</v>
      </c>
      <c r="E1413" s="10">
        <v>0.37021409122872478</v>
      </c>
      <c r="F1413" s="10">
        <v>0.64733100189962745</v>
      </c>
      <c r="G1413" s="10">
        <v>0.4129438255068123</v>
      </c>
      <c r="H1413" s="6">
        <v>0.1841973539587875</v>
      </c>
      <c r="I1413" s="10">
        <v>4.9045410905495617</v>
      </c>
      <c r="J1413" s="7">
        <v>2.7591968956983209E-2</v>
      </c>
      <c r="K1413" s="5">
        <v>0.1098237752915309</v>
      </c>
      <c r="L1413">
        <v>105.0856809888362</v>
      </c>
      <c r="M1413" s="10">
        <v>-0.82200225234534541</v>
      </c>
      <c r="N1413" s="24" t="s">
        <v>343</v>
      </c>
      <c r="O1413" s="24">
        <v>1.67986485927927</v>
      </c>
      <c r="P1413">
        <v>63.19408727576031</v>
      </c>
      <c r="Q1413" t="s">
        <v>47</v>
      </c>
      <c r="R1413" t="s">
        <v>350</v>
      </c>
      <c r="S1413" t="s">
        <v>343</v>
      </c>
      <c r="T1413" t="s">
        <v>343</v>
      </c>
    </row>
    <row r="1414" spans="2:20" x14ac:dyDescent="0.25">
      <c r="B1414">
        <v>1409</v>
      </c>
      <c r="C1414" t="s">
        <v>1753</v>
      </c>
      <c r="D1414" s="10">
        <v>0.18716126481400649</v>
      </c>
      <c r="E1414" s="10">
        <v>1.3486040298566031</v>
      </c>
      <c r="F1414" s="10">
        <v>0.56861813869231126</v>
      </c>
      <c r="G1414" s="10">
        <v>0.31125134893883849</v>
      </c>
      <c r="H1414" s="6">
        <v>0.2153810221100875</v>
      </c>
      <c r="I1414" s="10">
        <v>7.9129389996906312</v>
      </c>
      <c r="J1414" s="7">
        <v>1.7215570069002369E-2</v>
      </c>
      <c r="K1414" s="5">
        <v>0.14624900616916159</v>
      </c>
      <c r="L1414">
        <v>239.82689886876679</v>
      </c>
      <c r="M1414" s="10">
        <v>-0.59377293439078394</v>
      </c>
      <c r="N1414" s="24" t="s">
        <v>343</v>
      </c>
      <c r="O1414" s="24">
        <v>15.37362393655296</v>
      </c>
      <c r="P1414">
        <v>58.403365506799197</v>
      </c>
      <c r="Q1414" t="s">
        <v>47</v>
      </c>
      <c r="R1414" t="s">
        <v>350</v>
      </c>
      <c r="S1414" t="s">
        <v>343</v>
      </c>
      <c r="T1414" t="s">
        <v>343</v>
      </c>
    </row>
    <row r="1415" spans="2:20" x14ac:dyDescent="0.25">
      <c r="B1415">
        <v>1410</v>
      </c>
      <c r="C1415" t="s">
        <v>1754</v>
      </c>
      <c r="D1415" s="10">
        <v>0.24316383176896281</v>
      </c>
      <c r="E1415" s="10">
        <v>0.97392737186719902</v>
      </c>
      <c r="F1415" s="10">
        <v>0.56287026307075916</v>
      </c>
      <c r="G1415" s="10">
        <v>0.38691201778664558</v>
      </c>
      <c r="H1415" s="6">
        <v>0.25922642942583141</v>
      </c>
      <c r="I1415" s="10">
        <v>12.67193611126249</v>
      </c>
      <c r="J1415" s="7">
        <v>2.7456075787900259E-2</v>
      </c>
      <c r="K1415" s="5">
        <v>0.174886262000922</v>
      </c>
      <c r="L1415">
        <v>218.23338450488239</v>
      </c>
      <c r="M1415" s="10">
        <v>-0.63034877312116411</v>
      </c>
      <c r="N1415" s="24" t="s">
        <v>343</v>
      </c>
      <c r="O1415" s="24">
        <v>13.17907361273015</v>
      </c>
      <c r="P1415">
        <v>56.994867018260678</v>
      </c>
      <c r="Q1415" t="s">
        <v>47</v>
      </c>
      <c r="R1415" t="s">
        <v>350</v>
      </c>
      <c r="S1415" t="s">
        <v>343</v>
      </c>
      <c r="T1415" t="s">
        <v>343</v>
      </c>
    </row>
    <row r="1416" spans="2:20" x14ac:dyDescent="0.25">
      <c r="B1416">
        <v>1411</v>
      </c>
      <c r="C1416" t="s">
        <v>1755</v>
      </c>
      <c r="D1416" s="10">
        <v>0.2139205082290058</v>
      </c>
      <c r="E1416" s="10">
        <v>1.180975447527097</v>
      </c>
      <c r="F1416" s="10">
        <v>0.59067193503293813</v>
      </c>
      <c r="G1416" s="10">
        <v>0.31867085098369502</v>
      </c>
      <c r="H1416" s="6">
        <v>0.24669118005648741</v>
      </c>
      <c r="I1416" s="10">
        <v>11.68413823373225</v>
      </c>
      <c r="J1416" s="7">
        <v>3.9549116333862731E-2</v>
      </c>
      <c r="K1416" s="5">
        <v>0.12707004398835139</v>
      </c>
      <c r="L1416">
        <v>225.5980093504082</v>
      </c>
      <c r="M1416" s="10">
        <v>-0.61787431777682122</v>
      </c>
      <c r="N1416" s="24" t="s">
        <v>343</v>
      </c>
      <c r="O1416" s="24">
        <v>13.927540933390731</v>
      </c>
      <c r="P1416">
        <v>51.162480760215921</v>
      </c>
      <c r="Q1416" t="s">
        <v>47</v>
      </c>
      <c r="R1416" t="s">
        <v>350</v>
      </c>
      <c r="S1416" t="s">
        <v>343</v>
      </c>
      <c r="T1416" t="s">
        <v>343</v>
      </c>
    </row>
    <row r="1417" spans="2:20" x14ac:dyDescent="0.25">
      <c r="B1417">
        <v>1412</v>
      </c>
      <c r="C1417" t="s">
        <v>1756</v>
      </c>
      <c r="D1417" s="10">
        <v>0.29262133854121752</v>
      </c>
      <c r="E1417" s="10">
        <v>0.74791213465443884</v>
      </c>
      <c r="F1417" s="10">
        <v>0.49704314474652977</v>
      </c>
      <c r="G1417" s="10">
        <v>0.34215269710717777</v>
      </c>
      <c r="H1417" s="6">
        <v>0.13034795886303571</v>
      </c>
      <c r="I1417" s="10">
        <v>9.2737340273492137</v>
      </c>
      <c r="J1417" s="7">
        <v>2.5198727871621911E-2</v>
      </c>
      <c r="K1417" s="5">
        <v>0.17084879806089159</v>
      </c>
      <c r="L1417">
        <v>163.0056731119013</v>
      </c>
      <c r="M1417" s="10">
        <v>-0.72389537379567737</v>
      </c>
      <c r="N1417" s="24" t="s">
        <v>343</v>
      </c>
      <c r="O1417" s="24">
        <v>7.5662775722593629</v>
      </c>
      <c r="P1417">
        <v>62.736226398487858</v>
      </c>
      <c r="Q1417" t="s">
        <v>47</v>
      </c>
      <c r="R1417" t="s">
        <v>350</v>
      </c>
      <c r="S1417" t="s">
        <v>343</v>
      </c>
      <c r="T1417" t="s">
        <v>343</v>
      </c>
    </row>
    <row r="1418" spans="2:20" x14ac:dyDescent="0.25">
      <c r="B1418">
        <v>1413</v>
      </c>
      <c r="C1418" t="s">
        <v>1757</v>
      </c>
      <c r="D1418" s="10">
        <v>0.228942003785889</v>
      </c>
      <c r="E1418" s="10">
        <v>0.65163641835804875</v>
      </c>
      <c r="F1418" s="10">
        <v>0.57677134247164841</v>
      </c>
      <c r="G1418" s="10">
        <v>0.36210054392280688</v>
      </c>
      <c r="H1418" s="6">
        <v>0.24678038029188271</v>
      </c>
      <c r="I1418" s="10">
        <v>11.89580080777446</v>
      </c>
      <c r="J1418" s="7">
        <v>4.4666137820965839E-2</v>
      </c>
      <c r="K1418" s="5">
        <v>0.17353579260300969</v>
      </c>
      <c r="L1418">
        <v>174.82695235549841</v>
      </c>
      <c r="M1418" s="10">
        <v>-0.70387208365797971</v>
      </c>
      <c r="N1418" s="24" t="s">
        <v>343</v>
      </c>
      <c r="O1418" s="24">
        <v>8.767674980521214</v>
      </c>
      <c r="P1418">
        <v>28.0873261362424</v>
      </c>
      <c r="Q1418" t="s">
        <v>348</v>
      </c>
      <c r="R1418" t="s">
        <v>353</v>
      </c>
      <c r="S1418" t="s">
        <v>343</v>
      </c>
      <c r="T1418" t="s">
        <v>343</v>
      </c>
    </row>
    <row r="1419" spans="2:20" x14ac:dyDescent="0.25">
      <c r="B1419">
        <v>1414</v>
      </c>
      <c r="C1419" t="s">
        <v>1758</v>
      </c>
      <c r="D1419" s="10">
        <v>0.1997942836140208</v>
      </c>
      <c r="E1419" s="10">
        <v>0.80956856003218869</v>
      </c>
      <c r="F1419" s="10">
        <v>0.44287205361472859</v>
      </c>
      <c r="G1419" s="10">
        <v>0.41640752984593282</v>
      </c>
      <c r="H1419" s="6">
        <v>0.18777352729210459</v>
      </c>
      <c r="I1419" s="10">
        <v>4.6811025972841787</v>
      </c>
      <c r="J1419" s="7">
        <v>3.1583911463397667E-2</v>
      </c>
      <c r="K1419" s="5">
        <v>0.1862863463359169</v>
      </c>
      <c r="L1419">
        <v>100.8196399029496</v>
      </c>
      <c r="M1419" s="10">
        <v>-0.82922821974208993</v>
      </c>
      <c r="N1419" s="24" t="s">
        <v>343</v>
      </c>
      <c r="O1419" s="24">
        <v>1.246306815474604</v>
      </c>
      <c r="P1419">
        <v>55.837804012928991</v>
      </c>
      <c r="Q1419" t="s">
        <v>47</v>
      </c>
      <c r="R1419" t="s">
        <v>350</v>
      </c>
      <c r="S1419" t="s">
        <v>343</v>
      </c>
      <c r="T1419" t="s">
        <v>343</v>
      </c>
    </row>
    <row r="1420" spans="2:20" x14ac:dyDescent="0.25">
      <c r="B1420">
        <v>1415</v>
      </c>
      <c r="C1420" t="s">
        <v>1759</v>
      </c>
      <c r="D1420" s="10">
        <v>0.25874319785664479</v>
      </c>
      <c r="E1420" s="10">
        <v>0.46156196426570961</v>
      </c>
      <c r="F1420" s="10">
        <v>0.56364548424361471</v>
      </c>
      <c r="G1420" s="10">
        <v>0.2864544030589497</v>
      </c>
      <c r="H1420" s="6">
        <v>0.1725218590319828</v>
      </c>
      <c r="I1420" s="10">
        <v>5.1441130434529194</v>
      </c>
      <c r="J1420" s="7">
        <v>2.7141728420100961E-2</v>
      </c>
      <c r="K1420" s="5">
        <v>0.114188432414038</v>
      </c>
      <c r="L1420">
        <v>81.37922159172409</v>
      </c>
      <c r="M1420" s="10">
        <v>-0.86215707018395038</v>
      </c>
      <c r="N1420" s="24" t="s">
        <v>343</v>
      </c>
      <c r="O1420" s="24">
        <v>0</v>
      </c>
      <c r="P1420">
        <v>29.28453767099435</v>
      </c>
      <c r="Q1420" t="s">
        <v>348</v>
      </c>
      <c r="R1420" t="s">
        <v>353</v>
      </c>
      <c r="S1420" t="s">
        <v>343</v>
      </c>
      <c r="T1420" t="s">
        <v>343</v>
      </c>
    </row>
    <row r="1421" spans="2:20" x14ac:dyDescent="0.25">
      <c r="B1421">
        <v>1416</v>
      </c>
      <c r="C1421" t="s">
        <v>1760</v>
      </c>
      <c r="D1421" s="10">
        <v>0.27308435470167142</v>
      </c>
      <c r="E1421" s="10">
        <v>0.69277275262863669</v>
      </c>
      <c r="F1421" s="10">
        <v>0.52737327202515405</v>
      </c>
      <c r="G1421" s="10">
        <v>0.32772838510256841</v>
      </c>
      <c r="H1421" s="6">
        <v>0.22085818881924429</v>
      </c>
      <c r="I1421" s="10">
        <v>5.2975127071263151</v>
      </c>
      <c r="J1421" s="7">
        <v>2.032112647535728E-2</v>
      </c>
      <c r="K1421" s="5">
        <v>0.1128757783582626</v>
      </c>
      <c r="L1421">
        <v>93.656624579240514</v>
      </c>
      <c r="M1421" s="10">
        <v>-0.8413611819310246</v>
      </c>
      <c r="N1421" s="24" t="s">
        <v>343</v>
      </c>
      <c r="O1421" s="24">
        <v>0.51832908413852863</v>
      </c>
      <c r="P1421">
        <v>56.73290534487478</v>
      </c>
      <c r="Q1421" t="s">
        <v>47</v>
      </c>
      <c r="R1421" t="s">
        <v>350</v>
      </c>
      <c r="S1421" t="s">
        <v>343</v>
      </c>
      <c r="T1421" t="s">
        <v>343</v>
      </c>
    </row>
    <row r="1422" spans="2:20" x14ac:dyDescent="0.25">
      <c r="B1422">
        <v>1417</v>
      </c>
      <c r="C1422" t="s">
        <v>1761</v>
      </c>
      <c r="D1422" s="10">
        <v>0.186726705264152</v>
      </c>
      <c r="E1422" s="10">
        <v>1.2433792497451059</v>
      </c>
      <c r="F1422" s="10">
        <v>0.61546609753495152</v>
      </c>
      <c r="G1422" s="10">
        <v>0.26861794581619991</v>
      </c>
      <c r="H1422" s="6">
        <v>0.26253118096488731</v>
      </c>
      <c r="I1422" s="10">
        <v>11.53614910936067</v>
      </c>
      <c r="J1422" s="7">
        <v>1.038678719236609E-2</v>
      </c>
      <c r="K1422" s="5">
        <v>0.1115990302757412</v>
      </c>
      <c r="L1422">
        <v>292.44332925127918</v>
      </c>
      <c r="M1422" s="10">
        <v>-0.50464941147513476</v>
      </c>
      <c r="N1422" s="24" t="s">
        <v>343</v>
      </c>
      <c r="O1422" s="24">
        <v>20.72103531149191</v>
      </c>
      <c r="P1422">
        <v>52.446414030258538</v>
      </c>
      <c r="Q1422" t="s">
        <v>47</v>
      </c>
      <c r="R1422" t="s">
        <v>350</v>
      </c>
      <c r="S1422" t="s">
        <v>343</v>
      </c>
      <c r="T1422" t="s">
        <v>343</v>
      </c>
    </row>
    <row r="1423" spans="2:20" x14ac:dyDescent="0.25">
      <c r="B1423">
        <v>1418</v>
      </c>
      <c r="C1423" t="s">
        <v>1762</v>
      </c>
      <c r="D1423" s="10">
        <v>0.18681907460613081</v>
      </c>
      <c r="E1423" s="10">
        <v>0.34174553488696963</v>
      </c>
      <c r="F1423" s="10">
        <v>0.60597193187968312</v>
      </c>
      <c r="G1423" s="10">
        <v>0.25666731108267699</v>
      </c>
      <c r="H1423" s="6">
        <v>0.1341203246382206</v>
      </c>
      <c r="I1423" s="10">
        <v>12.80062054993738</v>
      </c>
      <c r="J1423" s="7">
        <v>3.1369192484125653E-2</v>
      </c>
      <c r="K1423" s="5">
        <v>0.13413450786014169</v>
      </c>
      <c r="L1423">
        <v>143.75897899202491</v>
      </c>
      <c r="M1423" s="10">
        <v>-0.75649608752659969</v>
      </c>
      <c r="N1423" s="24" t="s">
        <v>343</v>
      </c>
      <c r="O1423" s="24">
        <v>5.6102347484040251</v>
      </c>
      <c r="P1423">
        <v>19.87190013923512</v>
      </c>
      <c r="Q1423" t="s">
        <v>348</v>
      </c>
      <c r="R1423" t="s">
        <v>353</v>
      </c>
      <c r="S1423" t="s">
        <v>343</v>
      </c>
      <c r="T1423" t="s">
        <v>343</v>
      </c>
    </row>
    <row r="1424" spans="2:20" x14ac:dyDescent="0.25">
      <c r="B1424">
        <v>1419</v>
      </c>
      <c r="C1424" t="s">
        <v>1763</v>
      </c>
      <c r="D1424" s="10">
        <v>0.1658674283093669</v>
      </c>
      <c r="E1424" s="10">
        <v>0.46596585150706488</v>
      </c>
      <c r="F1424" s="10">
        <v>0.53901732884753029</v>
      </c>
      <c r="G1424" s="10">
        <v>0.37302835835713422</v>
      </c>
      <c r="H1424" s="6">
        <v>0.23521155453753589</v>
      </c>
      <c r="I1424" s="10">
        <v>9.191199524844059</v>
      </c>
      <c r="J1424" s="7">
        <v>3.0212344122472871E-2</v>
      </c>
      <c r="K1424" s="5">
        <v>0.1464942030982381</v>
      </c>
      <c r="L1424">
        <v>73.271957128118601</v>
      </c>
      <c r="M1424" s="10">
        <v>-0.87588943410435649</v>
      </c>
      <c r="N1424" s="24" t="s">
        <v>343</v>
      </c>
      <c r="O1424" s="24">
        <v>0</v>
      </c>
      <c r="P1424">
        <v>68.118885694407155</v>
      </c>
      <c r="Q1424" t="s">
        <v>47</v>
      </c>
      <c r="R1424" t="s">
        <v>350</v>
      </c>
      <c r="S1424" t="s">
        <v>343</v>
      </c>
      <c r="T1424" t="s">
        <v>343</v>
      </c>
    </row>
    <row r="1425" spans="2:20" x14ac:dyDescent="0.25">
      <c r="B1425">
        <v>1420</v>
      </c>
      <c r="C1425" t="s">
        <v>1764</v>
      </c>
      <c r="D1425" s="10">
        <v>0.27782432241050248</v>
      </c>
      <c r="E1425" s="10">
        <v>0.43762777561443411</v>
      </c>
      <c r="F1425" s="10">
        <v>0.44189097518443382</v>
      </c>
      <c r="G1425" s="10">
        <v>0.28160002975895859</v>
      </c>
      <c r="H1425" s="6">
        <v>0.15052620461369329</v>
      </c>
      <c r="I1425" s="10">
        <v>13.53768787209243</v>
      </c>
      <c r="J1425" s="7">
        <v>2.8088502433138391E-2</v>
      </c>
      <c r="K1425" s="5">
        <v>0.14385288872648361</v>
      </c>
      <c r="L1425">
        <v>94.1186010765351</v>
      </c>
      <c r="M1425" s="10">
        <v>-0.84057867022044663</v>
      </c>
      <c r="N1425" s="24" t="s">
        <v>343</v>
      </c>
      <c r="O1425" s="24">
        <v>0.56527978677320334</v>
      </c>
      <c r="P1425">
        <v>18.3875327346604</v>
      </c>
      <c r="Q1425" t="s">
        <v>348</v>
      </c>
      <c r="R1425" t="s">
        <v>371</v>
      </c>
      <c r="S1425" t="s">
        <v>343</v>
      </c>
      <c r="T1425" t="s">
        <v>343</v>
      </c>
    </row>
    <row r="1426" spans="2:20" x14ac:dyDescent="0.25">
      <c r="B1426">
        <v>1421</v>
      </c>
      <c r="C1426" t="s">
        <v>1765</v>
      </c>
      <c r="D1426" s="10">
        <v>0.26620872441948878</v>
      </c>
      <c r="E1426" s="10">
        <v>0.74338309697025085</v>
      </c>
      <c r="F1426" s="10">
        <v>0.50559114364268976</v>
      </c>
      <c r="G1426" s="10">
        <v>0.25315585522374168</v>
      </c>
      <c r="H1426" s="6">
        <v>0.17702041842404981</v>
      </c>
      <c r="I1426" s="10">
        <v>11.00833276326007</v>
      </c>
      <c r="J1426" s="7">
        <v>2.8819655889253209E-2</v>
      </c>
      <c r="K1426" s="5">
        <v>0.12441962948298051</v>
      </c>
      <c r="L1426">
        <v>175.60445117545839</v>
      </c>
      <c r="M1426" s="10">
        <v>-0.70255512936454245</v>
      </c>
      <c r="N1426" s="24" t="s">
        <v>343</v>
      </c>
      <c r="O1426" s="24">
        <v>8.8466922381274493</v>
      </c>
      <c r="P1426">
        <v>17.724530963050821</v>
      </c>
      <c r="Q1426" t="s">
        <v>348</v>
      </c>
      <c r="R1426" t="s">
        <v>353</v>
      </c>
      <c r="S1426" t="s">
        <v>343</v>
      </c>
      <c r="T1426" t="s">
        <v>343</v>
      </c>
    </row>
    <row r="1427" spans="2:20" x14ac:dyDescent="0.25">
      <c r="B1427">
        <v>1422</v>
      </c>
      <c r="C1427" t="s">
        <v>1766</v>
      </c>
      <c r="D1427" s="10">
        <v>0.23594094011997019</v>
      </c>
      <c r="E1427" s="10">
        <v>1.396685590979948</v>
      </c>
      <c r="F1427" s="10">
        <v>0.60467044104918211</v>
      </c>
      <c r="G1427" s="10">
        <v>0.43736154486540918</v>
      </c>
      <c r="H1427" s="6">
        <v>0.25107345243948748</v>
      </c>
      <c r="I1427" s="10">
        <v>9.2005221722425183</v>
      </c>
      <c r="J1427" s="7">
        <v>3.9523282990038752E-2</v>
      </c>
      <c r="K1427" s="5">
        <v>0.1590880644190325</v>
      </c>
      <c r="L1427">
        <v>367.03087759069382</v>
      </c>
      <c r="M1427" s="10">
        <v>-0.37831045185123607</v>
      </c>
      <c r="N1427" s="24" t="s">
        <v>343</v>
      </c>
      <c r="O1427" s="24">
        <v>28.30137288892583</v>
      </c>
      <c r="P1427">
        <v>12.805617674376951</v>
      </c>
      <c r="Q1427" t="s">
        <v>348</v>
      </c>
      <c r="R1427" t="s">
        <v>375</v>
      </c>
      <c r="S1427" t="s">
        <v>343</v>
      </c>
      <c r="T1427" t="s">
        <v>343</v>
      </c>
    </row>
    <row r="1428" spans="2:20" x14ac:dyDescent="0.25">
      <c r="B1428">
        <v>1423</v>
      </c>
      <c r="C1428" t="s">
        <v>1767</v>
      </c>
      <c r="D1428" s="10">
        <v>0.29506727183507148</v>
      </c>
      <c r="E1428" s="10">
        <v>0.49069372323252092</v>
      </c>
      <c r="F1428" s="10">
        <v>0.45881706918455117</v>
      </c>
      <c r="G1428" s="10">
        <v>0.3575491723527871</v>
      </c>
      <c r="H1428" s="6">
        <v>0.20186987760185091</v>
      </c>
      <c r="I1428" s="10">
        <v>9.7274957953800207</v>
      </c>
      <c r="J1428" s="7">
        <v>2.1090447362408071E-2</v>
      </c>
      <c r="K1428" s="5">
        <v>0.1321359949165517</v>
      </c>
      <c r="L1428">
        <v>178.45636296621799</v>
      </c>
      <c r="M1428" s="10">
        <v>-0.69772446289801515</v>
      </c>
      <c r="N1428" s="24" t="s">
        <v>343</v>
      </c>
      <c r="O1428" s="24">
        <v>9.1365322261190904</v>
      </c>
      <c r="P1428">
        <v>62.907920981742173</v>
      </c>
      <c r="Q1428" t="s">
        <v>47</v>
      </c>
      <c r="R1428" t="s">
        <v>350</v>
      </c>
      <c r="S1428" t="s">
        <v>343</v>
      </c>
      <c r="T1428" t="s">
        <v>343</v>
      </c>
    </row>
    <row r="1429" spans="2:20" x14ac:dyDescent="0.25">
      <c r="B1429">
        <v>1424</v>
      </c>
      <c r="C1429" t="s">
        <v>1768</v>
      </c>
      <c r="D1429" s="10">
        <v>0.28890722447200851</v>
      </c>
      <c r="E1429" s="10">
        <v>0.46003091455918621</v>
      </c>
      <c r="F1429" s="10">
        <v>0.46798702967670058</v>
      </c>
      <c r="G1429" s="10">
        <v>0.26961820562865663</v>
      </c>
      <c r="H1429" s="6">
        <v>0.13011849719256391</v>
      </c>
      <c r="I1429" s="10">
        <v>12.344875685710591</v>
      </c>
      <c r="J1429" s="7">
        <v>2.9258888040007241E-2</v>
      </c>
      <c r="K1429" s="5">
        <v>0.1347778838675544</v>
      </c>
      <c r="L1429">
        <v>122.7688423276436</v>
      </c>
      <c r="M1429" s="10">
        <v>-0.79204990431749211</v>
      </c>
      <c r="N1429" s="24" t="s">
        <v>343</v>
      </c>
      <c r="O1429" s="24">
        <v>3.477005740950474</v>
      </c>
      <c r="P1429">
        <v>16.121125357827079</v>
      </c>
      <c r="Q1429" t="s">
        <v>348</v>
      </c>
      <c r="R1429" t="s">
        <v>371</v>
      </c>
      <c r="S1429" t="s">
        <v>343</v>
      </c>
      <c r="T1429" t="s">
        <v>343</v>
      </c>
    </row>
    <row r="1430" spans="2:20" x14ac:dyDescent="0.25">
      <c r="B1430">
        <v>1425</v>
      </c>
      <c r="C1430" t="s">
        <v>1769</v>
      </c>
      <c r="D1430" s="10">
        <v>0.25365669830348042</v>
      </c>
      <c r="E1430" s="10">
        <v>1.3065613027537699</v>
      </c>
      <c r="F1430" s="10">
        <v>0.60822910638744265</v>
      </c>
      <c r="G1430" s="10">
        <v>0.25175374803846101</v>
      </c>
      <c r="H1430" s="6">
        <v>0.19620728252051081</v>
      </c>
      <c r="I1430" s="10">
        <v>3.991987781629835</v>
      </c>
      <c r="J1430" s="7">
        <v>3.3798166905049123E-2</v>
      </c>
      <c r="K1430" s="5">
        <v>0.1100253559662463</v>
      </c>
      <c r="L1430">
        <v>177.8032112747878</v>
      </c>
      <c r="M1430" s="10">
        <v>-0.69883079374021373</v>
      </c>
      <c r="N1430" s="24" t="s">
        <v>343</v>
      </c>
      <c r="O1430" s="24">
        <v>9.0701523755871776</v>
      </c>
      <c r="P1430">
        <v>53.126192053864912</v>
      </c>
      <c r="Q1430" t="s">
        <v>47</v>
      </c>
      <c r="R1430" t="s">
        <v>350</v>
      </c>
      <c r="S1430" t="s">
        <v>343</v>
      </c>
      <c r="T1430" t="s">
        <v>343</v>
      </c>
    </row>
    <row r="1431" spans="2:20" x14ac:dyDescent="0.25">
      <c r="B1431">
        <v>1426</v>
      </c>
      <c r="C1431" t="s">
        <v>1770</v>
      </c>
      <c r="D1431" s="10">
        <v>0.29892340488212138</v>
      </c>
      <c r="E1431" s="10">
        <v>1.2702555686625621</v>
      </c>
      <c r="F1431" s="10">
        <v>0.636499524246816</v>
      </c>
      <c r="G1431" s="10">
        <v>0.26636921175100442</v>
      </c>
      <c r="H1431" s="6">
        <v>0.23844628524621361</v>
      </c>
      <c r="I1431" s="10">
        <v>4.8481923569822332</v>
      </c>
      <c r="J1431" s="7">
        <v>1.734366244249963E-2</v>
      </c>
      <c r="K1431" s="5">
        <v>0.1562619768336522</v>
      </c>
      <c r="L1431">
        <v>81.539904863066866</v>
      </c>
      <c r="M1431" s="10">
        <v>-0.86188489932189138</v>
      </c>
      <c r="N1431" s="24" t="s">
        <v>343</v>
      </c>
      <c r="O1431" s="24">
        <v>0</v>
      </c>
      <c r="P1431">
        <v>52.028031080500767</v>
      </c>
      <c r="Q1431" t="s">
        <v>47</v>
      </c>
      <c r="R1431" t="s">
        <v>350</v>
      </c>
      <c r="S1431" t="s">
        <v>343</v>
      </c>
      <c r="T1431" t="s">
        <v>343</v>
      </c>
    </row>
    <row r="1432" spans="2:20" x14ac:dyDescent="0.25">
      <c r="B1432">
        <v>1427</v>
      </c>
      <c r="C1432" t="s">
        <v>1771</v>
      </c>
      <c r="D1432" s="10">
        <v>0.19293459360588289</v>
      </c>
      <c r="E1432" s="10">
        <v>0.33546440699620989</v>
      </c>
      <c r="F1432" s="10">
        <v>0.52360292408330511</v>
      </c>
      <c r="G1432" s="10">
        <v>0.3436941928705351</v>
      </c>
      <c r="H1432" s="6">
        <v>0.19933208816483899</v>
      </c>
      <c r="I1432" s="10">
        <v>5.9292448215258986</v>
      </c>
      <c r="J1432" s="7">
        <v>4.2368679526645837E-2</v>
      </c>
      <c r="K1432" s="5">
        <v>0.16225163564668771</v>
      </c>
      <c r="L1432">
        <v>118.40593288698319</v>
      </c>
      <c r="M1432" s="10">
        <v>-0.7994399506715838</v>
      </c>
      <c r="N1432" s="24" t="s">
        <v>343</v>
      </c>
      <c r="O1432" s="24">
        <v>3.0336029597049792</v>
      </c>
      <c r="P1432">
        <v>66.810312412740799</v>
      </c>
      <c r="Q1432" t="s">
        <v>47</v>
      </c>
      <c r="R1432" t="s">
        <v>350</v>
      </c>
      <c r="S1432" t="s">
        <v>343</v>
      </c>
      <c r="T1432" t="s">
        <v>343</v>
      </c>
    </row>
    <row r="1433" spans="2:20" x14ac:dyDescent="0.25">
      <c r="B1433">
        <v>1428</v>
      </c>
      <c r="C1433" t="s">
        <v>1772</v>
      </c>
      <c r="D1433" s="10">
        <v>0.17790713910363651</v>
      </c>
      <c r="E1433" s="10">
        <v>1.126876556197246</v>
      </c>
      <c r="F1433" s="10">
        <v>0.5673149970343061</v>
      </c>
      <c r="G1433" s="10">
        <v>0.38706235613715761</v>
      </c>
      <c r="H1433" s="6">
        <v>0.14503338584685779</v>
      </c>
      <c r="I1433" s="10">
        <v>12.84253441589332</v>
      </c>
      <c r="J1433" s="7">
        <v>3.5799288367086873E-2</v>
      </c>
      <c r="K1433" s="5">
        <v>0.17200527094385129</v>
      </c>
      <c r="L1433">
        <v>205.9227196415147</v>
      </c>
      <c r="M1433" s="10">
        <v>-0.65120100148559312</v>
      </c>
      <c r="N1433" s="24" t="s">
        <v>343</v>
      </c>
      <c r="O1433" s="24">
        <v>11.92793991086441</v>
      </c>
      <c r="P1433">
        <v>50.9289767506869</v>
      </c>
      <c r="Q1433" t="s">
        <v>47</v>
      </c>
      <c r="R1433" t="s">
        <v>350</v>
      </c>
      <c r="S1433" t="s">
        <v>343</v>
      </c>
      <c r="T1433" t="s">
        <v>343</v>
      </c>
    </row>
    <row r="1434" spans="2:20" x14ac:dyDescent="0.25">
      <c r="B1434">
        <v>1429</v>
      </c>
      <c r="C1434" t="s">
        <v>1773</v>
      </c>
      <c r="D1434" s="10">
        <v>0.20315993784271841</v>
      </c>
      <c r="E1434" s="10">
        <v>1.0210122716240719</v>
      </c>
      <c r="F1434" s="10">
        <v>0.68588495489575119</v>
      </c>
      <c r="G1434" s="10">
        <v>0.38108161649693012</v>
      </c>
      <c r="H1434" s="6">
        <v>0.18675616125862979</v>
      </c>
      <c r="I1434" s="10">
        <v>13.39439468232721</v>
      </c>
      <c r="J1434" s="7">
        <v>1.186533900546257E-2</v>
      </c>
      <c r="K1434" s="5">
        <v>0.1858808752470818</v>
      </c>
      <c r="L1434">
        <v>161.97372890703329</v>
      </c>
      <c r="M1434" s="10">
        <v>-0.72564331645012226</v>
      </c>
      <c r="N1434" s="24" t="s">
        <v>343</v>
      </c>
      <c r="O1434" s="24">
        <v>7.4614010129926669</v>
      </c>
      <c r="P1434">
        <v>48.967429869658197</v>
      </c>
      <c r="Q1434" t="s">
        <v>346</v>
      </c>
      <c r="R1434" t="s">
        <v>347</v>
      </c>
      <c r="S1434" t="s">
        <v>343</v>
      </c>
      <c r="T1434" t="s">
        <v>343</v>
      </c>
    </row>
    <row r="1435" spans="2:20" x14ac:dyDescent="0.25">
      <c r="B1435">
        <v>1430</v>
      </c>
      <c r="C1435" t="s">
        <v>1774</v>
      </c>
      <c r="D1435" s="10">
        <v>0.1691338969742904</v>
      </c>
      <c r="E1435" s="10">
        <v>1.1445148908379801</v>
      </c>
      <c r="F1435" s="10">
        <v>0.685841326165752</v>
      </c>
      <c r="G1435" s="10">
        <v>0.2717730789781897</v>
      </c>
      <c r="H1435" s="6">
        <v>0.25865180520594738</v>
      </c>
      <c r="I1435" s="10">
        <v>6.9178760331552809</v>
      </c>
      <c r="J1435" s="7">
        <v>4.0278734427827513E-2</v>
      </c>
      <c r="K1435" s="5">
        <v>0.17277042328741651</v>
      </c>
      <c r="L1435">
        <v>165.5186145875229</v>
      </c>
      <c r="M1435" s="10">
        <v>-0.7196388669296645</v>
      </c>
      <c r="N1435" s="24" t="s">
        <v>343</v>
      </c>
      <c r="O1435" s="24">
        <v>7.8216679842201273</v>
      </c>
      <c r="P1435">
        <v>60.962981810401203</v>
      </c>
      <c r="Q1435" t="s">
        <v>47</v>
      </c>
      <c r="R1435" t="s">
        <v>350</v>
      </c>
      <c r="S1435" t="s">
        <v>343</v>
      </c>
      <c r="T1435" t="s">
        <v>343</v>
      </c>
    </row>
    <row r="1436" spans="2:20" x14ac:dyDescent="0.25">
      <c r="B1436">
        <v>1431</v>
      </c>
      <c r="C1436" t="s">
        <v>1775</v>
      </c>
      <c r="D1436" s="10">
        <v>0.2449871244801651</v>
      </c>
      <c r="E1436" s="10">
        <v>0.84395270027551428</v>
      </c>
      <c r="F1436" s="10">
        <v>0.51995072136049181</v>
      </c>
      <c r="G1436" s="10">
        <v>0.37936756940429589</v>
      </c>
      <c r="H1436" s="6">
        <v>0.218730598514117</v>
      </c>
      <c r="I1436" s="10">
        <v>13.162429486123671</v>
      </c>
      <c r="J1436" s="7">
        <v>4.2545455087604239E-2</v>
      </c>
      <c r="K1436" s="5">
        <v>0.1223956482842565</v>
      </c>
      <c r="L1436">
        <v>266.31523989027733</v>
      </c>
      <c r="M1436" s="10">
        <v>-0.54890606959463584</v>
      </c>
      <c r="N1436" s="24" t="s">
        <v>343</v>
      </c>
      <c r="O1436" s="24">
        <v>18.065635824321848</v>
      </c>
      <c r="P1436">
        <v>55.498559307973558</v>
      </c>
      <c r="Q1436" t="s">
        <v>47</v>
      </c>
      <c r="R1436" t="s">
        <v>350</v>
      </c>
      <c r="S1436" t="s">
        <v>343</v>
      </c>
      <c r="T1436" t="s">
        <v>343</v>
      </c>
    </row>
    <row r="1437" spans="2:20" x14ac:dyDescent="0.25">
      <c r="B1437">
        <v>1432</v>
      </c>
      <c r="C1437" t="s">
        <v>1776</v>
      </c>
      <c r="D1437" s="10">
        <v>0.30985691076719379</v>
      </c>
      <c r="E1437" s="10">
        <v>1.3905171402931249</v>
      </c>
      <c r="F1437" s="10">
        <v>0.65059684750444347</v>
      </c>
      <c r="G1437" s="10">
        <v>0.32907043732787189</v>
      </c>
      <c r="H1437" s="6">
        <v>0.22948297597628839</v>
      </c>
      <c r="I1437" s="10">
        <v>9.0153258106386378</v>
      </c>
      <c r="J1437" s="7">
        <v>3.7778451687831421E-2</v>
      </c>
      <c r="K1437" s="5">
        <v>0.1223872401491151</v>
      </c>
      <c r="L1437">
        <v>220.86538414367899</v>
      </c>
      <c r="M1437" s="10">
        <v>-0.62589060143568565</v>
      </c>
      <c r="N1437" s="24" t="s">
        <v>343</v>
      </c>
      <c r="O1437" s="24">
        <v>13.44656391385886</v>
      </c>
      <c r="P1437">
        <v>47.363572007379567</v>
      </c>
      <c r="Q1437" t="s">
        <v>346</v>
      </c>
      <c r="R1437" t="s">
        <v>347</v>
      </c>
      <c r="S1437" t="s">
        <v>343</v>
      </c>
      <c r="T1437" t="s">
        <v>343</v>
      </c>
    </row>
    <row r="1438" spans="2:20" x14ac:dyDescent="0.25">
      <c r="B1438">
        <v>1433</v>
      </c>
      <c r="C1438" t="s">
        <v>1777</v>
      </c>
      <c r="D1438" s="10">
        <v>0.16629496650696149</v>
      </c>
      <c r="E1438" s="10">
        <v>0.34823172058205948</v>
      </c>
      <c r="F1438" s="10">
        <v>0.59442545372978328</v>
      </c>
      <c r="G1438" s="10">
        <v>0.3422436325458823</v>
      </c>
      <c r="H1438" s="6">
        <v>0.23789047611741759</v>
      </c>
      <c r="I1438" s="10">
        <v>8.2060111859663536</v>
      </c>
      <c r="J1438" s="7">
        <v>2.4917861059278412E-2</v>
      </c>
      <c r="K1438" s="5">
        <v>0.18693328357838021</v>
      </c>
      <c r="L1438">
        <v>72.884837066166725</v>
      </c>
      <c r="M1438" s="10">
        <v>-0.8765451514052387</v>
      </c>
      <c r="N1438" s="24" t="s">
        <v>343</v>
      </c>
      <c r="O1438" s="24">
        <v>0</v>
      </c>
      <c r="P1438">
        <v>65.474617072091831</v>
      </c>
      <c r="Q1438" t="s">
        <v>47</v>
      </c>
      <c r="R1438" t="s">
        <v>350</v>
      </c>
      <c r="S1438" t="s">
        <v>343</v>
      </c>
      <c r="T1438" t="s">
        <v>343</v>
      </c>
    </row>
    <row r="1439" spans="2:20" x14ac:dyDescent="0.25">
      <c r="B1439">
        <v>1434</v>
      </c>
      <c r="C1439" t="s">
        <v>1778</v>
      </c>
      <c r="D1439" s="10">
        <v>0.17953758624160429</v>
      </c>
      <c r="E1439" s="10">
        <v>0.5578087450441862</v>
      </c>
      <c r="F1439" s="10">
        <v>0.69362596827109879</v>
      </c>
      <c r="G1439" s="10">
        <v>0.41631468937396982</v>
      </c>
      <c r="H1439" s="6">
        <v>0.13360401362900021</v>
      </c>
      <c r="I1439" s="10">
        <v>12.160411457225599</v>
      </c>
      <c r="J1439" s="7">
        <v>4.480319149012249E-2</v>
      </c>
      <c r="K1439" s="5">
        <v>0.17506268909444139</v>
      </c>
      <c r="L1439">
        <v>151.27490703384069</v>
      </c>
      <c r="M1439" s="10">
        <v>-0.74376534961455443</v>
      </c>
      <c r="N1439" s="24" t="s">
        <v>343</v>
      </c>
      <c r="O1439" s="24">
        <v>6.3740790231267326</v>
      </c>
      <c r="P1439">
        <v>52.240098881913518</v>
      </c>
      <c r="Q1439" t="s">
        <v>47</v>
      </c>
      <c r="R1439" t="s">
        <v>350</v>
      </c>
      <c r="S1439" t="s">
        <v>343</v>
      </c>
      <c r="T1439" t="s">
        <v>343</v>
      </c>
    </row>
    <row r="1440" spans="2:20" x14ac:dyDescent="0.25">
      <c r="B1440">
        <v>1435</v>
      </c>
      <c r="C1440" t="s">
        <v>1779</v>
      </c>
      <c r="D1440" s="10">
        <v>0.23235184452534971</v>
      </c>
      <c r="E1440" s="10">
        <v>0.73620058567097657</v>
      </c>
      <c r="F1440" s="10">
        <v>0.56417952812488503</v>
      </c>
      <c r="G1440" s="10">
        <v>0.31314986198952038</v>
      </c>
      <c r="H1440" s="6">
        <v>0.20723048389049459</v>
      </c>
      <c r="I1440" s="10">
        <v>9.0069178057443473</v>
      </c>
      <c r="J1440" s="7">
        <v>1.435525647938189E-2</v>
      </c>
      <c r="K1440" s="5">
        <v>0.174313410879536</v>
      </c>
      <c r="L1440">
        <v>110.85298550059331</v>
      </c>
      <c r="M1440" s="10">
        <v>-0.81223339322513533</v>
      </c>
      <c r="N1440" s="24" t="s">
        <v>343</v>
      </c>
      <c r="O1440" s="24">
        <v>2.2659964064918801</v>
      </c>
      <c r="P1440">
        <v>61.405448972792122</v>
      </c>
      <c r="Q1440" t="s">
        <v>47</v>
      </c>
      <c r="R1440" t="s">
        <v>350</v>
      </c>
      <c r="S1440" t="s">
        <v>343</v>
      </c>
      <c r="T1440" t="s">
        <v>343</v>
      </c>
    </row>
    <row r="1441" spans="2:20" x14ac:dyDescent="0.25">
      <c r="B1441">
        <v>1436</v>
      </c>
      <c r="C1441" t="s">
        <v>1780</v>
      </c>
      <c r="D1441" s="10">
        <v>0.3094200028044648</v>
      </c>
      <c r="E1441" s="10">
        <v>0.79475573572227343</v>
      </c>
      <c r="F1441" s="10">
        <v>0.6414237856840459</v>
      </c>
      <c r="G1441" s="10">
        <v>0.27233979037593781</v>
      </c>
      <c r="H1441" s="6">
        <v>0.17638727897779621</v>
      </c>
      <c r="I1441" s="10">
        <v>7.9993052875466883</v>
      </c>
      <c r="J1441" s="7">
        <v>2.8781204447375131E-2</v>
      </c>
      <c r="K1441" s="5">
        <v>0.1683727977105009</v>
      </c>
      <c r="L1441">
        <v>187.4494455158767</v>
      </c>
      <c r="M1441" s="10">
        <v>-0.68249166977863951</v>
      </c>
      <c r="N1441" s="24" t="s">
        <v>343</v>
      </c>
      <c r="O1441" s="24">
        <v>10.050499813281631</v>
      </c>
      <c r="P1441">
        <v>52.446921157008653</v>
      </c>
      <c r="Q1441" t="s">
        <v>47</v>
      </c>
      <c r="R1441" t="s">
        <v>350</v>
      </c>
      <c r="S1441" t="s">
        <v>343</v>
      </c>
      <c r="T1441" t="s">
        <v>343</v>
      </c>
    </row>
    <row r="1442" spans="2:20" x14ac:dyDescent="0.25">
      <c r="B1442">
        <v>1437</v>
      </c>
      <c r="C1442" t="s">
        <v>1781</v>
      </c>
      <c r="D1442" s="10">
        <v>0.2105849767962801</v>
      </c>
      <c r="E1442" s="10">
        <v>1.31350414296947</v>
      </c>
      <c r="F1442" s="10">
        <v>0.63971565369986649</v>
      </c>
      <c r="G1442" s="10">
        <v>0.43215968938459492</v>
      </c>
      <c r="H1442" s="6">
        <v>0.1408738745508146</v>
      </c>
      <c r="I1442" s="10">
        <v>3.1755985469736809</v>
      </c>
      <c r="J1442" s="7">
        <v>1.5963678142538879E-2</v>
      </c>
      <c r="K1442" s="5">
        <v>0.12538418916910921</v>
      </c>
      <c r="L1442">
        <v>192.26002200995799</v>
      </c>
      <c r="M1442" s="10">
        <v>-0.67434334954309894</v>
      </c>
      <c r="N1442" s="24" t="s">
        <v>343</v>
      </c>
      <c r="O1442" s="24">
        <v>10.53939902741406</v>
      </c>
      <c r="P1442">
        <v>56.51137874413903</v>
      </c>
      <c r="Q1442" t="s">
        <v>47</v>
      </c>
      <c r="R1442" t="s">
        <v>350</v>
      </c>
      <c r="S1442" t="s">
        <v>343</v>
      </c>
      <c r="T1442" t="s">
        <v>343</v>
      </c>
    </row>
    <row r="1443" spans="2:20" x14ac:dyDescent="0.25">
      <c r="B1443">
        <v>1438</v>
      </c>
      <c r="C1443" t="s">
        <v>1782</v>
      </c>
      <c r="D1443" s="10">
        <v>0.2411575693901428</v>
      </c>
      <c r="E1443" s="10">
        <v>0.91600480048498456</v>
      </c>
      <c r="F1443" s="10">
        <v>0.56933254558459978</v>
      </c>
      <c r="G1443" s="10">
        <v>0.28666872669059429</v>
      </c>
      <c r="H1443" s="6">
        <v>0.15040643374560361</v>
      </c>
      <c r="I1443" s="10">
        <v>3.1418742864429898</v>
      </c>
      <c r="J1443" s="7">
        <v>2.5377208099617712E-2</v>
      </c>
      <c r="K1443" s="5">
        <v>0.18050398252866931</v>
      </c>
      <c r="L1443">
        <v>109.4976683558268</v>
      </c>
      <c r="M1443" s="10">
        <v>-0.81452907610843694</v>
      </c>
      <c r="N1443" s="24" t="s">
        <v>343</v>
      </c>
      <c r="O1443" s="24">
        <v>2.1282554334937771</v>
      </c>
      <c r="P1443">
        <v>57.922796710517481</v>
      </c>
      <c r="Q1443" t="s">
        <v>47</v>
      </c>
      <c r="R1443" t="s">
        <v>350</v>
      </c>
      <c r="S1443" t="s">
        <v>343</v>
      </c>
      <c r="T1443" t="s">
        <v>343</v>
      </c>
    </row>
    <row r="1444" spans="2:20" x14ac:dyDescent="0.25">
      <c r="B1444">
        <v>1439</v>
      </c>
      <c r="C1444" t="s">
        <v>1783</v>
      </c>
      <c r="D1444" s="10">
        <v>0.16665165744806271</v>
      </c>
      <c r="E1444" s="10">
        <v>0.34962209507243319</v>
      </c>
      <c r="F1444" s="10">
        <v>0.64686382971729994</v>
      </c>
      <c r="G1444" s="10">
        <v>0.30468657152202139</v>
      </c>
      <c r="H1444" s="6">
        <v>0.23717407105871019</v>
      </c>
      <c r="I1444" s="10">
        <v>9.903505401369074</v>
      </c>
      <c r="J1444" s="7">
        <v>4.2459850731895302E-2</v>
      </c>
      <c r="K1444" s="5">
        <v>0.113574044417612</v>
      </c>
      <c r="L1444">
        <v>142.90803106075381</v>
      </c>
      <c r="M1444" s="10">
        <v>-0.75793745245579236</v>
      </c>
      <c r="N1444" s="24" t="s">
        <v>343</v>
      </c>
      <c r="O1444" s="24">
        <v>5.5237528526524642</v>
      </c>
      <c r="P1444">
        <v>54.053873808764713</v>
      </c>
      <c r="Q1444" t="s">
        <v>47</v>
      </c>
      <c r="R1444" t="s">
        <v>350</v>
      </c>
      <c r="S1444" t="s">
        <v>343</v>
      </c>
      <c r="T1444" t="s">
        <v>343</v>
      </c>
    </row>
    <row r="1445" spans="2:20" x14ac:dyDescent="0.25">
      <c r="B1445">
        <v>1440</v>
      </c>
      <c r="C1445" t="s">
        <v>1784</v>
      </c>
      <c r="D1445" s="10">
        <v>0.1837349121539342</v>
      </c>
      <c r="E1445" s="10">
        <v>0.74864925976822794</v>
      </c>
      <c r="F1445" s="10">
        <v>0.50787048665981904</v>
      </c>
      <c r="G1445" s="10">
        <v>0.39544981295857701</v>
      </c>
      <c r="H1445" s="6">
        <v>0.1442233657934659</v>
      </c>
      <c r="I1445" s="10">
        <v>3.8075862393160782</v>
      </c>
      <c r="J1445" s="7">
        <v>3.7799139494058318E-2</v>
      </c>
      <c r="K1445" s="5">
        <v>0.13325167288330081</v>
      </c>
      <c r="L1445">
        <v>240.5695567286721</v>
      </c>
      <c r="M1445" s="10">
        <v>-0.59251499491608794</v>
      </c>
      <c r="N1445" s="24" t="s">
        <v>343</v>
      </c>
      <c r="O1445" s="24">
        <v>15.449100305034721</v>
      </c>
      <c r="P1445">
        <v>28.94149340867439</v>
      </c>
      <c r="Q1445" t="s">
        <v>348</v>
      </c>
      <c r="R1445" t="s">
        <v>353</v>
      </c>
      <c r="S1445" t="s">
        <v>343</v>
      </c>
      <c r="T1445" t="s">
        <v>343</v>
      </c>
    </row>
    <row r="1446" spans="2:20" x14ac:dyDescent="0.25">
      <c r="B1446">
        <v>1441</v>
      </c>
      <c r="C1446" t="s">
        <v>1785</v>
      </c>
      <c r="D1446" s="10">
        <v>0.31786081967341551</v>
      </c>
      <c r="E1446" s="10">
        <v>0.7581394536059769</v>
      </c>
      <c r="F1446" s="10">
        <v>0.47178578943545951</v>
      </c>
      <c r="G1446" s="10">
        <v>0.39038106975267362</v>
      </c>
      <c r="H1446" s="6">
        <v>0.16686279108325791</v>
      </c>
      <c r="I1446" s="10">
        <v>11.106398396098889</v>
      </c>
      <c r="J1446" s="7">
        <v>3.73728679535619E-2</v>
      </c>
      <c r="K1446" s="5">
        <v>0.13291508129396079</v>
      </c>
      <c r="L1446">
        <v>309.03626310851689</v>
      </c>
      <c r="M1446" s="10">
        <v>-0.47654372832421399</v>
      </c>
      <c r="N1446" s="24" t="s">
        <v>343</v>
      </c>
      <c r="O1446" s="24">
        <v>22.40737630054716</v>
      </c>
      <c r="P1446">
        <v>20.67326994748721</v>
      </c>
      <c r="Q1446" t="s">
        <v>348</v>
      </c>
      <c r="R1446" t="s">
        <v>371</v>
      </c>
      <c r="S1446" t="s">
        <v>343</v>
      </c>
      <c r="T1446" t="s">
        <v>343</v>
      </c>
    </row>
    <row r="1447" spans="2:20" x14ac:dyDescent="0.25">
      <c r="B1447">
        <v>1442</v>
      </c>
      <c r="C1447" t="s">
        <v>1786</v>
      </c>
      <c r="D1447" s="10">
        <v>0.31441899142976731</v>
      </c>
      <c r="E1447" s="10">
        <v>1.3620400322815629</v>
      </c>
      <c r="F1447" s="10">
        <v>0.55054257361038217</v>
      </c>
      <c r="G1447" s="10">
        <v>0.41608800468244228</v>
      </c>
      <c r="H1447" s="6">
        <v>0.1627310007394622</v>
      </c>
      <c r="I1447" s="10">
        <v>9.8457560962120194</v>
      </c>
      <c r="J1447" s="7">
        <v>2.2384883034363749E-2</v>
      </c>
      <c r="K1447" s="5">
        <v>0.15321255346226331</v>
      </c>
      <c r="L1447">
        <v>430.37228613557011</v>
      </c>
      <c r="M1447" s="10">
        <v>-0.27102059134722478</v>
      </c>
      <c r="N1447" s="24" t="s">
        <v>343</v>
      </c>
      <c r="O1447" s="24">
        <v>34.738764519166523</v>
      </c>
      <c r="P1447">
        <v>46.762441135837072</v>
      </c>
      <c r="Q1447" t="s">
        <v>346</v>
      </c>
      <c r="R1447" t="s">
        <v>347</v>
      </c>
      <c r="S1447" t="s">
        <v>343</v>
      </c>
      <c r="T1447" t="s">
        <v>343</v>
      </c>
    </row>
    <row r="1448" spans="2:20" x14ac:dyDescent="0.25">
      <c r="B1448">
        <v>1443</v>
      </c>
      <c r="C1448" t="s">
        <v>1787</v>
      </c>
      <c r="D1448" s="10">
        <v>0.1607903969495055</v>
      </c>
      <c r="E1448" s="10">
        <v>0.95911680012321887</v>
      </c>
      <c r="F1448" s="10">
        <v>0.68534397072473197</v>
      </c>
      <c r="G1448" s="10">
        <v>0.28045066111854711</v>
      </c>
      <c r="H1448" s="6">
        <v>0.12729455458718511</v>
      </c>
      <c r="I1448" s="10">
        <v>8.0350248598336975</v>
      </c>
      <c r="J1448" s="7">
        <v>4.2699456210523921E-2</v>
      </c>
      <c r="K1448" s="5">
        <v>0.1440271378195799</v>
      </c>
      <c r="L1448">
        <v>129.62467293582239</v>
      </c>
      <c r="M1448" s="10">
        <v>-0.78043726218514198</v>
      </c>
      <c r="N1448" s="24" t="s">
        <v>343</v>
      </c>
      <c r="O1448" s="24">
        <v>4.1737642688914889</v>
      </c>
      <c r="P1448">
        <v>51.521529688483483</v>
      </c>
      <c r="Q1448" t="s">
        <v>47</v>
      </c>
      <c r="R1448" t="s">
        <v>350</v>
      </c>
      <c r="S1448" t="s">
        <v>343</v>
      </c>
      <c r="T1448" t="s">
        <v>343</v>
      </c>
    </row>
    <row r="1449" spans="2:20" x14ac:dyDescent="0.25">
      <c r="B1449">
        <v>1444</v>
      </c>
      <c r="C1449" t="s">
        <v>1788</v>
      </c>
      <c r="D1449" s="10">
        <v>0.3122898856677182</v>
      </c>
      <c r="E1449" s="10">
        <v>0.99921617827483256</v>
      </c>
      <c r="F1449" s="10">
        <v>0.57019359813265746</v>
      </c>
      <c r="G1449" s="10">
        <v>0.3175015765291247</v>
      </c>
      <c r="H1449" s="6">
        <v>0.18932376738590381</v>
      </c>
      <c r="I1449" s="10">
        <v>10.807840074228549</v>
      </c>
      <c r="J1449" s="7">
        <v>2.2889132572889749E-2</v>
      </c>
      <c r="K1449" s="5">
        <v>0.1436817726444877</v>
      </c>
      <c r="L1449">
        <v>287.18975743407123</v>
      </c>
      <c r="M1449" s="10">
        <v>-0.51354809245436672</v>
      </c>
      <c r="N1449" s="24" t="s">
        <v>343</v>
      </c>
      <c r="O1449" s="24">
        <v>20.187114452738001</v>
      </c>
      <c r="P1449">
        <v>58.16332029779791</v>
      </c>
      <c r="Q1449" t="s">
        <v>47</v>
      </c>
      <c r="R1449" t="s">
        <v>350</v>
      </c>
      <c r="S1449" t="s">
        <v>343</v>
      </c>
      <c r="T1449" t="s">
        <v>343</v>
      </c>
    </row>
    <row r="1450" spans="2:20" x14ac:dyDescent="0.25">
      <c r="B1450">
        <v>1445</v>
      </c>
      <c r="C1450" t="s">
        <v>1789</v>
      </c>
      <c r="D1450" s="10">
        <v>0.26225919005047998</v>
      </c>
      <c r="E1450" s="10">
        <v>1.0845783343763979</v>
      </c>
      <c r="F1450" s="10">
        <v>0.60516737604820103</v>
      </c>
      <c r="G1450" s="10">
        <v>0.26769431257037751</v>
      </c>
      <c r="H1450" s="6">
        <v>0.23488947632538129</v>
      </c>
      <c r="I1450" s="10">
        <v>13.92378478916393</v>
      </c>
      <c r="J1450" s="7">
        <v>1.139907025019782E-2</v>
      </c>
      <c r="K1450" s="5">
        <v>0.15258938097156119</v>
      </c>
      <c r="L1450">
        <v>274.15491441506282</v>
      </c>
      <c r="M1450" s="10">
        <v>-0.53562695873360766</v>
      </c>
      <c r="N1450" s="24" t="s">
        <v>343</v>
      </c>
      <c r="O1450" s="24">
        <v>18.862382475983541</v>
      </c>
      <c r="P1450">
        <v>14.544465876677091</v>
      </c>
      <c r="Q1450" t="s">
        <v>348</v>
      </c>
      <c r="R1450" t="s">
        <v>375</v>
      </c>
      <c r="S1450" t="s">
        <v>343</v>
      </c>
      <c r="T1450" t="s">
        <v>343</v>
      </c>
    </row>
    <row r="1451" spans="2:20" x14ac:dyDescent="0.25">
      <c r="B1451">
        <v>1446</v>
      </c>
      <c r="C1451" t="s">
        <v>1790</v>
      </c>
      <c r="D1451" s="10">
        <v>0.29886692712320351</v>
      </c>
      <c r="E1451" s="10">
        <v>1.1470432472503349</v>
      </c>
      <c r="F1451" s="10">
        <v>0.60228223853604756</v>
      </c>
      <c r="G1451" s="10">
        <v>0.35902861237709288</v>
      </c>
      <c r="H1451" s="6">
        <v>0.1233228949123349</v>
      </c>
      <c r="I1451" s="10">
        <v>5.7099245099577249</v>
      </c>
      <c r="J1451" s="7">
        <v>3.2323044186133749E-2</v>
      </c>
      <c r="K1451" s="5">
        <v>0.13946475321665219</v>
      </c>
      <c r="L1451">
        <v>247.18933850224411</v>
      </c>
      <c r="M1451" s="10">
        <v>-0.58130218043390991</v>
      </c>
      <c r="N1451" s="24" t="s">
        <v>343</v>
      </c>
      <c r="O1451" s="24">
        <v>16.121869173965411</v>
      </c>
      <c r="P1451">
        <v>58.918867177172402</v>
      </c>
      <c r="Q1451" t="s">
        <v>47</v>
      </c>
      <c r="R1451" t="s">
        <v>350</v>
      </c>
      <c r="S1451" t="s">
        <v>343</v>
      </c>
      <c r="T1451" t="s">
        <v>343</v>
      </c>
    </row>
    <row r="1452" spans="2:20" x14ac:dyDescent="0.25">
      <c r="B1452">
        <v>1447</v>
      </c>
      <c r="C1452" t="s">
        <v>1791</v>
      </c>
      <c r="D1452" s="10">
        <v>0.23275837690141751</v>
      </c>
      <c r="E1452" s="10">
        <v>0.99855617722273804</v>
      </c>
      <c r="F1452" s="10">
        <v>0.4744689454900779</v>
      </c>
      <c r="G1452" s="10">
        <v>0.30436553035851432</v>
      </c>
      <c r="H1452" s="6">
        <v>0.13688271757198439</v>
      </c>
      <c r="I1452" s="10">
        <v>9.1276127016198672</v>
      </c>
      <c r="J1452" s="7">
        <v>2.2692666578406261E-2</v>
      </c>
      <c r="K1452" s="5">
        <v>0.1237484069751849</v>
      </c>
      <c r="L1452">
        <v>184.27165066949411</v>
      </c>
      <c r="M1452" s="10">
        <v>-0.6878743281945352</v>
      </c>
      <c r="N1452" s="24" t="s">
        <v>343</v>
      </c>
      <c r="O1452" s="24">
        <v>9.7275403083278889</v>
      </c>
      <c r="P1452">
        <v>58.654117968937108</v>
      </c>
      <c r="Q1452" t="s">
        <v>47</v>
      </c>
      <c r="R1452" t="s">
        <v>350</v>
      </c>
      <c r="S1452" t="s">
        <v>343</v>
      </c>
      <c r="T1452" t="s">
        <v>343</v>
      </c>
    </row>
    <row r="1453" spans="2:20" x14ac:dyDescent="0.25">
      <c r="B1453">
        <v>1448</v>
      </c>
      <c r="C1453" t="s">
        <v>1792</v>
      </c>
      <c r="D1453" s="10">
        <v>0.24249536457268009</v>
      </c>
      <c r="E1453" s="10">
        <v>0.56091378624732902</v>
      </c>
      <c r="F1453" s="10">
        <v>0.54147718941807466</v>
      </c>
      <c r="G1453" s="10">
        <v>0.39156584102188391</v>
      </c>
      <c r="H1453" s="6">
        <v>0.22802800193963521</v>
      </c>
      <c r="I1453" s="10">
        <v>12.27141496827908</v>
      </c>
      <c r="J1453" s="7">
        <v>1.5380371088243061E-2</v>
      </c>
      <c r="K1453" s="5">
        <v>0.16309146818789699</v>
      </c>
      <c r="L1453">
        <v>151.45642358936499</v>
      </c>
      <c r="M1453" s="10">
        <v>-0.74345789061784506</v>
      </c>
      <c r="N1453" s="24" t="s">
        <v>343</v>
      </c>
      <c r="O1453" s="24">
        <v>6.3925265629292909</v>
      </c>
      <c r="P1453">
        <v>55.378186809597182</v>
      </c>
      <c r="Q1453" t="s">
        <v>47</v>
      </c>
      <c r="R1453" t="s">
        <v>350</v>
      </c>
      <c r="S1453" t="s">
        <v>343</v>
      </c>
      <c r="T1453" t="s">
        <v>343</v>
      </c>
    </row>
    <row r="1454" spans="2:20" x14ac:dyDescent="0.25">
      <c r="B1454">
        <v>1449</v>
      </c>
      <c r="C1454" t="s">
        <v>1793</v>
      </c>
      <c r="D1454" s="10">
        <v>0.23821545284110721</v>
      </c>
      <c r="E1454" s="10">
        <v>1.261450505775281</v>
      </c>
      <c r="F1454" s="10">
        <v>0.6238041329596874</v>
      </c>
      <c r="G1454" s="10">
        <v>0.24007576095659899</v>
      </c>
      <c r="H1454" s="6">
        <v>0.209037148600937</v>
      </c>
      <c r="I1454" s="10">
        <v>3.185623949937356</v>
      </c>
      <c r="J1454" s="7">
        <v>4.2713032171893199E-2</v>
      </c>
      <c r="K1454" s="5">
        <v>0.17511017098964821</v>
      </c>
      <c r="L1454">
        <v>71.41775425524267</v>
      </c>
      <c r="M1454" s="10">
        <v>-0.87903014682526248</v>
      </c>
      <c r="N1454" s="24" t="s">
        <v>343</v>
      </c>
      <c r="O1454" s="24">
        <v>0</v>
      </c>
      <c r="P1454">
        <v>54.243923169816412</v>
      </c>
      <c r="Q1454" t="s">
        <v>47</v>
      </c>
      <c r="R1454" t="s">
        <v>350</v>
      </c>
      <c r="S1454" t="s">
        <v>343</v>
      </c>
      <c r="T1454" t="s">
        <v>343</v>
      </c>
    </row>
    <row r="1455" spans="2:20" x14ac:dyDescent="0.25">
      <c r="B1455">
        <v>1450</v>
      </c>
      <c r="C1455" t="s">
        <v>1794</v>
      </c>
      <c r="D1455" s="10">
        <v>0.26669828120737671</v>
      </c>
      <c r="E1455" s="10">
        <v>1.1053317804516929</v>
      </c>
      <c r="F1455" s="10">
        <v>0.69271742563098881</v>
      </c>
      <c r="G1455" s="10">
        <v>0.25313025966110742</v>
      </c>
      <c r="H1455" s="6">
        <v>0.2272871421073023</v>
      </c>
      <c r="I1455" s="10">
        <v>5.2385916157276347</v>
      </c>
      <c r="J1455" s="7">
        <v>3.2303383691198513E-2</v>
      </c>
      <c r="K1455" s="5">
        <v>0.145504608490236</v>
      </c>
      <c r="L1455">
        <v>107.33458962033799</v>
      </c>
      <c r="M1455" s="10">
        <v>-0.81819297340913189</v>
      </c>
      <c r="N1455" s="24" t="s">
        <v>343</v>
      </c>
      <c r="O1455" s="24">
        <v>1.90842159545209</v>
      </c>
      <c r="P1455">
        <v>50.743005349165848</v>
      </c>
      <c r="Q1455" t="s">
        <v>47</v>
      </c>
      <c r="R1455" t="s">
        <v>350</v>
      </c>
      <c r="S1455" t="s">
        <v>343</v>
      </c>
      <c r="T1455" t="s">
        <v>343</v>
      </c>
    </row>
    <row r="1456" spans="2:20" x14ac:dyDescent="0.25">
      <c r="B1456">
        <v>1451</v>
      </c>
      <c r="C1456" t="s">
        <v>1795</v>
      </c>
      <c r="D1456" s="10">
        <v>0.1823442007610101</v>
      </c>
      <c r="E1456" s="10">
        <v>1.1160575336066509</v>
      </c>
      <c r="F1456" s="10">
        <v>0.48368461195722678</v>
      </c>
      <c r="G1456" s="10">
        <v>0.33516326611425551</v>
      </c>
      <c r="H1456" s="6">
        <v>0.1545155932315708</v>
      </c>
      <c r="I1456" s="10">
        <v>8.7305452177587863</v>
      </c>
      <c r="J1456" s="7">
        <v>4.2918539132858077E-2</v>
      </c>
      <c r="K1456" s="5">
        <v>0.16170090273787821</v>
      </c>
      <c r="L1456">
        <v>155.86006123502679</v>
      </c>
      <c r="M1456" s="10">
        <v>-0.73599885742665005</v>
      </c>
      <c r="N1456" s="24" t="s">
        <v>343</v>
      </c>
      <c r="O1456" s="24">
        <v>6.8400685544009932</v>
      </c>
      <c r="P1456">
        <v>53.937328066204387</v>
      </c>
      <c r="Q1456" t="s">
        <v>47</v>
      </c>
      <c r="R1456" t="s">
        <v>350</v>
      </c>
      <c r="S1456" t="s">
        <v>343</v>
      </c>
      <c r="T1456" t="s">
        <v>343</v>
      </c>
    </row>
    <row r="1457" spans="2:20" x14ac:dyDescent="0.25">
      <c r="B1457">
        <v>1452</v>
      </c>
      <c r="C1457" t="s">
        <v>1796</v>
      </c>
      <c r="D1457" s="10">
        <v>0.1647957743796285</v>
      </c>
      <c r="E1457" s="10">
        <v>1.3962124131582241</v>
      </c>
      <c r="F1457" s="10">
        <v>0.54671489148817021</v>
      </c>
      <c r="G1457" s="10">
        <v>0.45080051431462509</v>
      </c>
      <c r="H1457" s="6">
        <v>0.24056531749461069</v>
      </c>
      <c r="I1457" s="10">
        <v>9.0747062742575046</v>
      </c>
      <c r="J1457" s="7">
        <v>3.0404253880292869E-2</v>
      </c>
      <c r="K1457" s="5">
        <v>0.1508595117731884</v>
      </c>
      <c r="L1457">
        <v>232.84850483950049</v>
      </c>
      <c r="M1457" s="10">
        <v>-0.60559317866924134</v>
      </c>
      <c r="N1457" s="24" t="s">
        <v>343</v>
      </c>
      <c r="O1457" s="24">
        <v>14.66440927984552</v>
      </c>
      <c r="P1457">
        <v>46.822747026566987</v>
      </c>
      <c r="Q1457" t="s">
        <v>346</v>
      </c>
      <c r="R1457" t="s">
        <v>347</v>
      </c>
      <c r="S1457" t="s">
        <v>343</v>
      </c>
      <c r="T1457" t="s">
        <v>343</v>
      </c>
    </row>
    <row r="1458" spans="2:20" x14ac:dyDescent="0.25">
      <c r="B1458">
        <v>1453</v>
      </c>
      <c r="C1458" t="s">
        <v>1797</v>
      </c>
      <c r="D1458" s="10">
        <v>0.20926879065459059</v>
      </c>
      <c r="E1458" s="10">
        <v>1.182779188349647</v>
      </c>
      <c r="F1458" s="10">
        <v>0.46472438794870963</v>
      </c>
      <c r="G1458" s="10">
        <v>0.43598730521902029</v>
      </c>
      <c r="H1458" s="6">
        <v>0.19198065901654149</v>
      </c>
      <c r="I1458" s="10">
        <v>3.949665904575935</v>
      </c>
      <c r="J1458" s="7">
        <v>1.223522808690203E-2</v>
      </c>
      <c r="K1458" s="5">
        <v>0.1056046616610247</v>
      </c>
      <c r="L1458">
        <v>344.44739031180978</v>
      </c>
      <c r="M1458" s="10">
        <v>-0.41656314081897422</v>
      </c>
      <c r="N1458" s="24" t="s">
        <v>343</v>
      </c>
      <c r="O1458" s="24">
        <v>26.006211550861551</v>
      </c>
      <c r="P1458">
        <v>54.468139352054507</v>
      </c>
      <c r="Q1458" t="s">
        <v>47</v>
      </c>
      <c r="R1458" t="s">
        <v>350</v>
      </c>
      <c r="S1458" t="s">
        <v>343</v>
      </c>
      <c r="T1458" t="s">
        <v>343</v>
      </c>
    </row>
    <row r="1459" spans="2:20" x14ac:dyDescent="0.25">
      <c r="B1459">
        <v>1454</v>
      </c>
      <c r="C1459" t="s">
        <v>1798</v>
      </c>
      <c r="D1459" s="10">
        <v>0.27274892203786349</v>
      </c>
      <c r="E1459" s="10">
        <v>1.2120665434706679</v>
      </c>
      <c r="F1459" s="10">
        <v>0.5030178795088065</v>
      </c>
      <c r="G1459" s="10">
        <v>0.45868198617363631</v>
      </c>
      <c r="H1459" s="6">
        <v>0.2115452961268286</v>
      </c>
      <c r="I1459" s="10">
        <v>7.4817247823305397</v>
      </c>
      <c r="J1459" s="7">
        <v>1.104791797986316E-2</v>
      </c>
      <c r="K1459" s="5">
        <v>0.14019304284859291</v>
      </c>
      <c r="L1459">
        <v>322.51500572278172</v>
      </c>
      <c r="M1459" s="10">
        <v>-0.45371296961398749</v>
      </c>
      <c r="N1459" s="24" t="s">
        <v>343</v>
      </c>
      <c r="O1459" s="24">
        <v>23.777221823160751</v>
      </c>
      <c r="P1459">
        <v>50.506220514388488</v>
      </c>
      <c r="Q1459" t="s">
        <v>47</v>
      </c>
      <c r="R1459" t="s">
        <v>350</v>
      </c>
      <c r="S1459" t="s">
        <v>343</v>
      </c>
      <c r="T1459" t="s">
        <v>343</v>
      </c>
    </row>
    <row r="1460" spans="2:20" x14ac:dyDescent="0.25">
      <c r="B1460">
        <v>1455</v>
      </c>
      <c r="C1460" t="s">
        <v>1799</v>
      </c>
      <c r="D1460" s="10">
        <v>0.19229655233967169</v>
      </c>
      <c r="E1460" s="10">
        <v>1.346546067281174</v>
      </c>
      <c r="F1460" s="10">
        <v>0.53795742926479906</v>
      </c>
      <c r="G1460" s="10">
        <v>0.33170264947008993</v>
      </c>
      <c r="H1460" s="6">
        <v>0.13382301258012541</v>
      </c>
      <c r="I1460" s="10">
        <v>8.7176323378479914</v>
      </c>
      <c r="J1460" s="7">
        <v>4.1519650225080133E-2</v>
      </c>
      <c r="K1460" s="5">
        <v>0.100935987454565</v>
      </c>
      <c r="L1460">
        <v>328.3532748271931</v>
      </c>
      <c r="M1460" s="10">
        <v>-0.44382390822133799</v>
      </c>
      <c r="N1460" s="24" t="s">
        <v>343</v>
      </c>
      <c r="O1460" s="24">
        <v>24.370565506719721</v>
      </c>
      <c r="P1460">
        <v>48.955677566002791</v>
      </c>
      <c r="Q1460" t="s">
        <v>346</v>
      </c>
      <c r="R1460" t="s">
        <v>347</v>
      </c>
      <c r="S1460" t="s">
        <v>343</v>
      </c>
      <c r="T1460" t="s">
        <v>343</v>
      </c>
    </row>
    <row r="1461" spans="2:20" x14ac:dyDescent="0.25">
      <c r="B1461">
        <v>1456</v>
      </c>
      <c r="C1461" t="s">
        <v>1800</v>
      </c>
      <c r="D1461" s="10">
        <v>0.26774918933198683</v>
      </c>
      <c r="E1461" s="10">
        <v>0.46624739983378322</v>
      </c>
      <c r="F1461" s="10">
        <v>0.5805672444676111</v>
      </c>
      <c r="G1461" s="10">
        <v>0.25024506698022531</v>
      </c>
      <c r="H1461" s="6">
        <v>0.1507547375039732</v>
      </c>
      <c r="I1461" s="10">
        <v>7.6527326869137919</v>
      </c>
      <c r="J1461" s="7">
        <v>1.135547779075478E-2</v>
      </c>
      <c r="K1461" s="5">
        <v>0.16287853142565201</v>
      </c>
      <c r="L1461">
        <v>50.212825811241032</v>
      </c>
      <c r="M1461" s="10">
        <v>-0.91494778533408461</v>
      </c>
      <c r="N1461" s="24" t="s">
        <v>343</v>
      </c>
      <c r="O1461" s="24">
        <v>0</v>
      </c>
      <c r="P1461">
        <v>58.690072125413089</v>
      </c>
      <c r="Q1461" t="s">
        <v>47</v>
      </c>
      <c r="R1461" t="s">
        <v>350</v>
      </c>
      <c r="S1461" t="s">
        <v>343</v>
      </c>
      <c r="T1461" t="s">
        <v>343</v>
      </c>
    </row>
    <row r="1462" spans="2:20" x14ac:dyDescent="0.25">
      <c r="B1462">
        <v>1457</v>
      </c>
      <c r="C1462" t="s">
        <v>1801</v>
      </c>
      <c r="D1462" s="10">
        <v>0.31518592737716328</v>
      </c>
      <c r="E1462" s="10">
        <v>0.84750011412587467</v>
      </c>
      <c r="F1462" s="10">
        <v>0.49994738938216099</v>
      </c>
      <c r="G1462" s="10">
        <v>0.30731035124434769</v>
      </c>
      <c r="H1462" s="6">
        <v>0.23600368224154619</v>
      </c>
      <c r="I1462" s="10">
        <v>10.706558813841729</v>
      </c>
      <c r="J1462" s="7">
        <v>3.1531152901397283E-2</v>
      </c>
      <c r="K1462" s="5">
        <v>0.14827533963903711</v>
      </c>
      <c r="L1462">
        <v>192.91659822753269</v>
      </c>
      <c r="M1462" s="10">
        <v>-0.67323121812050946</v>
      </c>
      <c r="N1462" s="24" t="s">
        <v>343</v>
      </c>
      <c r="O1462" s="24">
        <v>10.60612691276943</v>
      </c>
      <c r="P1462">
        <v>16.933865782559359</v>
      </c>
      <c r="Q1462" t="s">
        <v>348</v>
      </c>
      <c r="R1462" t="s">
        <v>371</v>
      </c>
      <c r="S1462" t="s">
        <v>343</v>
      </c>
      <c r="T1462" t="s">
        <v>343</v>
      </c>
    </row>
    <row r="1463" spans="2:20" x14ac:dyDescent="0.25">
      <c r="B1463">
        <v>1458</v>
      </c>
      <c r="C1463" t="s">
        <v>1802</v>
      </c>
      <c r="D1463" s="10">
        <v>0.17502411452630701</v>
      </c>
      <c r="E1463" s="10">
        <v>0.93862372594986621</v>
      </c>
      <c r="F1463" s="10">
        <v>0.49916629190645828</v>
      </c>
      <c r="G1463" s="10">
        <v>0.38866958747826941</v>
      </c>
      <c r="H1463" s="6">
        <v>0.1535862661783168</v>
      </c>
      <c r="I1463" s="10">
        <v>11.48500277508804</v>
      </c>
      <c r="J1463" s="7">
        <v>2.0429153260482769E-2</v>
      </c>
      <c r="K1463" s="5">
        <v>0.1120489958420712</v>
      </c>
      <c r="L1463">
        <v>260.18333997995381</v>
      </c>
      <c r="M1463" s="10">
        <v>-0.55929249296469818</v>
      </c>
      <c r="N1463" s="24" t="s">
        <v>343</v>
      </c>
      <c r="O1463" s="24">
        <v>17.44245042211811</v>
      </c>
      <c r="P1463">
        <v>27.146504163039129</v>
      </c>
      <c r="Q1463" t="s">
        <v>348</v>
      </c>
      <c r="R1463" t="s">
        <v>371</v>
      </c>
      <c r="S1463" t="s">
        <v>343</v>
      </c>
      <c r="T1463" t="s">
        <v>343</v>
      </c>
    </row>
    <row r="1464" spans="2:20" x14ac:dyDescent="0.25">
      <c r="B1464">
        <v>1459</v>
      </c>
      <c r="C1464" t="s">
        <v>1803</v>
      </c>
      <c r="D1464" s="10">
        <v>0.26761633891602021</v>
      </c>
      <c r="E1464" s="10">
        <v>0.66220330214470335</v>
      </c>
      <c r="F1464" s="10">
        <v>0.64223579457645297</v>
      </c>
      <c r="G1464" s="10">
        <v>0.26973603814883129</v>
      </c>
      <c r="H1464" s="6">
        <v>0.1338794741282188</v>
      </c>
      <c r="I1464" s="10">
        <v>8.0628778118245474</v>
      </c>
      <c r="J1464" s="7">
        <v>3.4068034868603853E-2</v>
      </c>
      <c r="K1464" s="5">
        <v>0.15150819554748959</v>
      </c>
      <c r="L1464">
        <v>111.8530540281495</v>
      </c>
      <c r="M1464" s="10">
        <v>-0.81053944269133971</v>
      </c>
      <c r="N1464" s="24" t="s">
        <v>343</v>
      </c>
      <c r="O1464" s="24">
        <v>2.367633438519618</v>
      </c>
      <c r="P1464">
        <v>61.003093468829839</v>
      </c>
      <c r="Q1464" t="s">
        <v>47</v>
      </c>
      <c r="R1464" t="s">
        <v>350</v>
      </c>
      <c r="S1464" t="s">
        <v>343</v>
      </c>
      <c r="T1464" t="s">
        <v>343</v>
      </c>
    </row>
    <row r="1465" spans="2:20" x14ac:dyDescent="0.25">
      <c r="B1465">
        <v>1460</v>
      </c>
      <c r="C1465" t="s">
        <v>1804</v>
      </c>
      <c r="D1465" s="10">
        <v>0.2310000350887314</v>
      </c>
      <c r="E1465" s="10">
        <v>1.223343678283956</v>
      </c>
      <c r="F1465" s="10">
        <v>0.69028683236618904</v>
      </c>
      <c r="G1465" s="10">
        <v>0.30599387932720018</v>
      </c>
      <c r="H1465" s="6">
        <v>0.20958049233781509</v>
      </c>
      <c r="I1465" s="10">
        <v>7.6822570062192446</v>
      </c>
      <c r="J1465" s="7">
        <v>1.9965285005100111E-2</v>
      </c>
      <c r="K1465" s="5">
        <v>0.185350470287659</v>
      </c>
      <c r="L1465">
        <v>209.27760647376681</v>
      </c>
      <c r="M1465" s="10">
        <v>-0.64551837856153771</v>
      </c>
      <c r="N1465" s="24" t="s">
        <v>343</v>
      </c>
      <c r="O1465" s="24">
        <v>12.268897286307739</v>
      </c>
      <c r="P1465">
        <v>59.307509050621228</v>
      </c>
      <c r="Q1465" t="s">
        <v>47</v>
      </c>
      <c r="R1465" t="s">
        <v>350</v>
      </c>
      <c r="S1465" t="s">
        <v>343</v>
      </c>
      <c r="T1465" t="s">
        <v>343</v>
      </c>
    </row>
    <row r="1466" spans="2:20" x14ac:dyDescent="0.25">
      <c r="B1466">
        <v>1461</v>
      </c>
      <c r="C1466" t="s">
        <v>1805</v>
      </c>
      <c r="D1466" s="10">
        <v>0.29890276070040089</v>
      </c>
      <c r="E1466" s="10">
        <v>1.138661583810296</v>
      </c>
      <c r="F1466" s="10">
        <v>0.5241393716153786</v>
      </c>
      <c r="G1466" s="10">
        <v>0.25235655619986891</v>
      </c>
      <c r="H1466" s="6">
        <v>0.20219047742425991</v>
      </c>
      <c r="I1466" s="10">
        <v>10.75900037864735</v>
      </c>
      <c r="J1466" s="7">
        <v>1.130277596573215E-2</v>
      </c>
      <c r="K1466" s="5">
        <v>0.1323466226538737</v>
      </c>
      <c r="L1466">
        <v>279.3968926317188</v>
      </c>
      <c r="M1466" s="10">
        <v>-0.52674791539449994</v>
      </c>
      <c r="N1466" s="24" t="s">
        <v>343</v>
      </c>
      <c r="O1466" s="24">
        <v>19.39512507633</v>
      </c>
      <c r="P1466">
        <v>20.716402708282111</v>
      </c>
      <c r="Q1466" t="s">
        <v>348</v>
      </c>
      <c r="R1466" t="s">
        <v>353</v>
      </c>
      <c r="S1466" t="s">
        <v>343</v>
      </c>
      <c r="T1466" t="s">
        <v>343</v>
      </c>
    </row>
    <row r="1467" spans="2:20" x14ac:dyDescent="0.25">
      <c r="B1467">
        <v>1462</v>
      </c>
      <c r="C1467" t="s">
        <v>1806</v>
      </c>
      <c r="D1467" s="10">
        <v>0.18834396631158171</v>
      </c>
      <c r="E1467" s="10">
        <v>1.092971381958936</v>
      </c>
      <c r="F1467" s="10">
        <v>0.61887792484527682</v>
      </c>
      <c r="G1467" s="10">
        <v>0.34449274844585148</v>
      </c>
      <c r="H1467" s="6">
        <v>0.21118408934749389</v>
      </c>
      <c r="I1467" s="10">
        <v>9.1083259477583489</v>
      </c>
      <c r="J1467" s="7">
        <v>3.5579346547962007E-2</v>
      </c>
      <c r="K1467" s="5">
        <v>0.19332503279213181</v>
      </c>
      <c r="L1467">
        <v>211.79191022449939</v>
      </c>
      <c r="M1467" s="10">
        <v>-0.64125956422699881</v>
      </c>
      <c r="N1467" s="24" t="s">
        <v>343</v>
      </c>
      <c r="O1467" s="24">
        <v>12.524426146380071</v>
      </c>
      <c r="P1467">
        <v>24.308156861383491</v>
      </c>
      <c r="Q1467" t="s">
        <v>348</v>
      </c>
      <c r="R1467" t="s">
        <v>375</v>
      </c>
      <c r="S1467" t="s">
        <v>343</v>
      </c>
      <c r="T1467" t="s">
        <v>343</v>
      </c>
    </row>
    <row r="1468" spans="2:20" x14ac:dyDescent="0.25">
      <c r="B1468">
        <v>1463</v>
      </c>
      <c r="C1468" t="s">
        <v>1807</v>
      </c>
      <c r="D1468" s="10">
        <v>0.27082015235618628</v>
      </c>
      <c r="E1468" s="10">
        <v>1.3968643837339829</v>
      </c>
      <c r="F1468" s="10">
        <v>0.50710091995305939</v>
      </c>
      <c r="G1468" s="10">
        <v>0.28596254909291929</v>
      </c>
      <c r="H1468" s="6">
        <v>0.21274582445446369</v>
      </c>
      <c r="I1468" s="10">
        <v>12.574833912753659</v>
      </c>
      <c r="J1468" s="7">
        <v>2.0881592059224071E-2</v>
      </c>
      <c r="K1468" s="5">
        <v>0.1911410911405059</v>
      </c>
      <c r="L1468">
        <v>312.68119960282479</v>
      </c>
      <c r="M1468" s="10">
        <v>-0.47036980928761402</v>
      </c>
      <c r="N1468" s="24" t="s">
        <v>343</v>
      </c>
      <c r="O1468" s="24">
        <v>22.777811442743161</v>
      </c>
      <c r="P1468">
        <v>55.080874963768757</v>
      </c>
      <c r="Q1468" t="s">
        <v>47</v>
      </c>
      <c r="R1468" t="s">
        <v>350</v>
      </c>
      <c r="S1468" t="s">
        <v>343</v>
      </c>
      <c r="T1468" t="s">
        <v>343</v>
      </c>
    </row>
    <row r="1469" spans="2:20" x14ac:dyDescent="0.25">
      <c r="B1469">
        <v>1464</v>
      </c>
      <c r="C1469" t="s">
        <v>1808</v>
      </c>
      <c r="D1469" s="10">
        <v>0.29409844634369758</v>
      </c>
      <c r="E1469" s="10">
        <v>0.5853195107492295</v>
      </c>
      <c r="F1469" s="10">
        <v>0.68126758629106432</v>
      </c>
      <c r="G1469" s="10">
        <v>0.2600745659177805</v>
      </c>
      <c r="H1469" s="6">
        <v>0.19502960187967561</v>
      </c>
      <c r="I1469" s="10">
        <v>8.2926076655614018</v>
      </c>
      <c r="J1469" s="7">
        <v>2.927796245409589E-2</v>
      </c>
      <c r="K1469" s="5">
        <v>0.1746044350333664</v>
      </c>
      <c r="L1469">
        <v>63.749287823978769</v>
      </c>
      <c r="M1469" s="10">
        <v>-0.89201925951774541</v>
      </c>
      <c r="N1469" s="24" t="s">
        <v>343</v>
      </c>
      <c r="O1469" s="24">
        <v>0</v>
      </c>
      <c r="P1469">
        <v>53.823021166496268</v>
      </c>
      <c r="Q1469" t="s">
        <v>47</v>
      </c>
      <c r="R1469" t="s">
        <v>350</v>
      </c>
      <c r="S1469" t="s">
        <v>343</v>
      </c>
      <c r="T1469" t="s">
        <v>343</v>
      </c>
    </row>
    <row r="1470" spans="2:20" x14ac:dyDescent="0.25">
      <c r="B1470">
        <v>1465</v>
      </c>
      <c r="C1470" t="s">
        <v>1809</v>
      </c>
      <c r="D1470" s="10">
        <v>0.31113827511584369</v>
      </c>
      <c r="E1470" s="10">
        <v>1.109002976842963</v>
      </c>
      <c r="F1470" s="10">
        <v>0.61495461364300352</v>
      </c>
      <c r="G1470" s="10">
        <v>0.33046747808614541</v>
      </c>
      <c r="H1470" s="6">
        <v>0.1940660880852984</v>
      </c>
      <c r="I1470" s="10">
        <v>9.3176022323937904</v>
      </c>
      <c r="J1470" s="7">
        <v>3.7085303697731983E-2</v>
      </c>
      <c r="K1470" s="5">
        <v>0.1773109978928008</v>
      </c>
      <c r="L1470">
        <v>159.42084592855659</v>
      </c>
      <c r="M1470" s="10">
        <v>-0.72996747761003367</v>
      </c>
      <c r="N1470" s="24" t="s">
        <v>343</v>
      </c>
      <c r="O1470" s="24">
        <v>7.2019513433979832</v>
      </c>
      <c r="P1470">
        <v>50.990375313940483</v>
      </c>
      <c r="Q1470" t="s">
        <v>47</v>
      </c>
      <c r="R1470" t="s">
        <v>350</v>
      </c>
      <c r="S1470" t="s">
        <v>343</v>
      </c>
      <c r="T1470" t="s">
        <v>343</v>
      </c>
    </row>
    <row r="1471" spans="2:20" x14ac:dyDescent="0.25">
      <c r="B1471">
        <v>1466</v>
      </c>
      <c r="C1471" t="s">
        <v>1810</v>
      </c>
      <c r="D1471" s="10">
        <v>0.26931968452634342</v>
      </c>
      <c r="E1471" s="10">
        <v>0.90654492239649054</v>
      </c>
      <c r="F1471" s="10">
        <v>0.64869598220576818</v>
      </c>
      <c r="G1471" s="10">
        <v>0.31726958896231411</v>
      </c>
      <c r="H1471" s="6">
        <v>0.25862483479341941</v>
      </c>
      <c r="I1471" s="10">
        <v>4.4168572345477912</v>
      </c>
      <c r="J1471" s="7">
        <v>3.4598815564050187E-2</v>
      </c>
      <c r="K1471" s="5">
        <v>0.139001809218985</v>
      </c>
      <c r="L1471">
        <v>112.75908741291749</v>
      </c>
      <c r="M1471" s="10">
        <v>-0.80900477212279898</v>
      </c>
      <c r="N1471" s="24" t="s">
        <v>343</v>
      </c>
      <c r="O1471" s="24">
        <v>2.4597136726320632</v>
      </c>
      <c r="P1471">
        <v>54.927831195240373</v>
      </c>
      <c r="Q1471" t="s">
        <v>47</v>
      </c>
      <c r="R1471" t="s">
        <v>350</v>
      </c>
      <c r="S1471" t="s">
        <v>343</v>
      </c>
      <c r="T1471" t="s">
        <v>343</v>
      </c>
    </row>
    <row r="1472" spans="2:20" x14ac:dyDescent="0.25">
      <c r="B1472">
        <v>1467</v>
      </c>
      <c r="C1472" t="s">
        <v>1811</v>
      </c>
      <c r="D1472" s="10">
        <v>0.23954796224134839</v>
      </c>
      <c r="E1472" s="10">
        <v>0.6442881007432637</v>
      </c>
      <c r="F1472" s="10">
        <v>0.45283205123178277</v>
      </c>
      <c r="G1472" s="10">
        <v>0.35825390212800828</v>
      </c>
      <c r="H1472" s="6">
        <v>0.20008225873196109</v>
      </c>
      <c r="I1472" s="10">
        <v>12.19596966029429</v>
      </c>
      <c r="J1472" s="7">
        <v>2.219998868216266E-2</v>
      </c>
      <c r="K1472" s="5">
        <v>0.1382414040532236</v>
      </c>
      <c r="L1472">
        <v>205.19282915461619</v>
      </c>
      <c r="M1472" s="10">
        <v>-0.65243731514393344</v>
      </c>
      <c r="N1472" s="24" t="s">
        <v>343</v>
      </c>
      <c r="O1472" s="24">
        <v>11.853761091363999</v>
      </c>
      <c r="P1472">
        <v>15.06727480992911</v>
      </c>
      <c r="Q1472" t="s">
        <v>348</v>
      </c>
      <c r="R1472" t="s">
        <v>371</v>
      </c>
      <c r="S1472" t="s">
        <v>343</v>
      </c>
      <c r="T1472" t="s">
        <v>343</v>
      </c>
    </row>
    <row r="1473" spans="2:20" x14ac:dyDescent="0.25">
      <c r="B1473">
        <v>1468</v>
      </c>
      <c r="C1473" t="s">
        <v>1812</v>
      </c>
      <c r="D1473" s="10">
        <v>0.25885555843219421</v>
      </c>
      <c r="E1473" s="10">
        <v>0.47664555779543838</v>
      </c>
      <c r="F1473" s="10">
        <v>0.59561155174256242</v>
      </c>
      <c r="G1473" s="10">
        <v>0.40478850416900058</v>
      </c>
      <c r="H1473" s="6">
        <v>0.2125950303620788</v>
      </c>
      <c r="I1473" s="10">
        <v>7.6452134485218286</v>
      </c>
      <c r="J1473" s="7">
        <v>3.6173933072920397E-2</v>
      </c>
      <c r="K1473" s="5">
        <v>0.19066774903536429</v>
      </c>
      <c r="L1473">
        <v>84.080956453662935</v>
      </c>
      <c r="M1473" s="10">
        <v>-0.85758077857447557</v>
      </c>
      <c r="N1473" s="24" t="s">
        <v>343</v>
      </c>
      <c r="O1473" s="24">
        <v>0</v>
      </c>
      <c r="P1473">
        <v>59.922641923302074</v>
      </c>
      <c r="Q1473" t="s">
        <v>47</v>
      </c>
      <c r="R1473" t="s">
        <v>350</v>
      </c>
      <c r="S1473" t="s">
        <v>343</v>
      </c>
      <c r="T1473" t="s">
        <v>343</v>
      </c>
    </row>
    <row r="1474" spans="2:20" x14ac:dyDescent="0.25">
      <c r="B1474">
        <v>1469</v>
      </c>
      <c r="C1474" t="s">
        <v>1813</v>
      </c>
      <c r="D1474" s="10">
        <v>0.29902479751659489</v>
      </c>
      <c r="E1474" s="10">
        <v>1.2854722207743019</v>
      </c>
      <c r="F1474" s="10">
        <v>0.5771792061531793</v>
      </c>
      <c r="G1474" s="10">
        <v>0.26476512201383112</v>
      </c>
      <c r="H1474" s="6">
        <v>0.16004540879081169</v>
      </c>
      <c r="I1474" s="10">
        <v>10.909696220682539</v>
      </c>
      <c r="J1474" s="7">
        <v>4.2398835245878001E-2</v>
      </c>
      <c r="K1474" s="5">
        <v>0.134788643707596</v>
      </c>
      <c r="L1474">
        <v>172.03096156483329</v>
      </c>
      <c r="M1474" s="10">
        <v>-0.70860802920753951</v>
      </c>
      <c r="N1474" s="24" t="s">
        <v>343</v>
      </c>
      <c r="O1474" s="24">
        <v>8.4835182475476323</v>
      </c>
      <c r="P1474">
        <v>50.485199646125722</v>
      </c>
      <c r="Q1474" t="s">
        <v>47</v>
      </c>
      <c r="R1474" t="s">
        <v>350</v>
      </c>
      <c r="S1474" t="s">
        <v>343</v>
      </c>
      <c r="T1474" t="s">
        <v>343</v>
      </c>
    </row>
    <row r="1475" spans="2:20" x14ac:dyDescent="0.25">
      <c r="B1475">
        <v>1470</v>
      </c>
      <c r="C1475" t="s">
        <v>1814</v>
      </c>
      <c r="D1475" s="10">
        <v>0.25129755946221283</v>
      </c>
      <c r="E1475" s="10">
        <v>0.95500103097862965</v>
      </c>
      <c r="F1475" s="10">
        <v>0.51617919579699834</v>
      </c>
      <c r="G1475" s="10">
        <v>0.41404762984620191</v>
      </c>
      <c r="H1475" s="6">
        <v>0.25066398012032859</v>
      </c>
      <c r="I1475" s="10">
        <v>7.7243102398924401</v>
      </c>
      <c r="J1475" s="7">
        <v>3.1349110738061563E-2</v>
      </c>
      <c r="K1475" s="5">
        <v>0.1092029244619391</v>
      </c>
      <c r="L1475">
        <v>295.20837774230921</v>
      </c>
      <c r="M1475" s="10">
        <v>-0.49996587705895179</v>
      </c>
      <c r="N1475" s="24" t="s">
        <v>343</v>
      </c>
      <c r="O1475" s="24">
        <v>21.00204737646289</v>
      </c>
      <c r="P1475">
        <v>61.646802447765658</v>
      </c>
      <c r="Q1475" t="s">
        <v>47</v>
      </c>
      <c r="R1475" t="s">
        <v>350</v>
      </c>
      <c r="S1475" t="s">
        <v>343</v>
      </c>
      <c r="T1475" t="s">
        <v>343</v>
      </c>
    </row>
    <row r="1476" spans="2:20" x14ac:dyDescent="0.25">
      <c r="B1476">
        <v>1471</v>
      </c>
      <c r="C1476" t="s">
        <v>1815</v>
      </c>
      <c r="D1476" s="10">
        <v>0.1648619295514939</v>
      </c>
      <c r="E1476" s="10">
        <v>1.207427221404874</v>
      </c>
      <c r="F1476" s="10">
        <v>0.50823179611490266</v>
      </c>
      <c r="G1476" s="10">
        <v>0.2457837955725396</v>
      </c>
      <c r="H1476" s="6">
        <v>0.1236552138988745</v>
      </c>
      <c r="I1476" s="10">
        <v>3.011134527106182</v>
      </c>
      <c r="J1476" s="7">
        <v>3.4622712122559018E-2</v>
      </c>
      <c r="K1476" s="5">
        <v>0.1145066033781702</v>
      </c>
      <c r="L1476">
        <v>227.0904187358789</v>
      </c>
      <c r="M1476" s="10">
        <v>-0.61534642333209022</v>
      </c>
      <c r="N1476" s="24" t="s">
        <v>343</v>
      </c>
      <c r="O1476" s="24">
        <v>14.079214600074589</v>
      </c>
      <c r="P1476">
        <v>48.195744504749769</v>
      </c>
      <c r="Q1476" t="s">
        <v>346</v>
      </c>
      <c r="R1476" t="s">
        <v>347</v>
      </c>
      <c r="S1476" t="s">
        <v>343</v>
      </c>
      <c r="T1476" t="s">
        <v>343</v>
      </c>
    </row>
    <row r="1477" spans="2:20" x14ac:dyDescent="0.25">
      <c r="B1477">
        <v>1472</v>
      </c>
      <c r="C1477" t="s">
        <v>1816</v>
      </c>
      <c r="D1477" s="10">
        <v>0.30895179128111638</v>
      </c>
      <c r="E1477" s="10">
        <v>0.89987948240169935</v>
      </c>
      <c r="F1477" s="10">
        <v>0.59080644860241205</v>
      </c>
      <c r="G1477" s="10">
        <v>0.3374824185490865</v>
      </c>
      <c r="H1477" s="6">
        <v>0.20358401434466619</v>
      </c>
      <c r="I1477" s="10">
        <v>7.4045127529304233</v>
      </c>
      <c r="J1477" s="7">
        <v>4.0306784888813167E-2</v>
      </c>
      <c r="K1477" s="5">
        <v>0.16748790169332761</v>
      </c>
      <c r="L1477">
        <v>128.98862304168361</v>
      </c>
      <c r="M1477" s="10">
        <v>-0.78151462541376993</v>
      </c>
      <c r="N1477" s="24" t="s">
        <v>343</v>
      </c>
      <c r="O1477" s="24">
        <v>4.1091224751738054</v>
      </c>
      <c r="P1477">
        <v>48.914051540915302</v>
      </c>
      <c r="Q1477" t="s">
        <v>346</v>
      </c>
      <c r="R1477" t="s">
        <v>347</v>
      </c>
      <c r="S1477" t="s">
        <v>343</v>
      </c>
      <c r="T1477" t="s">
        <v>343</v>
      </c>
    </row>
    <row r="1478" spans="2:20" x14ac:dyDescent="0.25">
      <c r="B1478">
        <v>1473</v>
      </c>
      <c r="C1478" t="s">
        <v>1817</v>
      </c>
      <c r="D1478" s="10">
        <v>0.27032428016504978</v>
      </c>
      <c r="E1478" s="10">
        <v>0.54197478871942151</v>
      </c>
      <c r="F1478" s="10">
        <v>0.62368626510187852</v>
      </c>
      <c r="G1478" s="10">
        <v>0.36923466311489411</v>
      </c>
      <c r="H1478" s="6">
        <v>0.17757754427971631</v>
      </c>
      <c r="I1478" s="10">
        <v>4.6225241458642259</v>
      </c>
      <c r="J1478" s="7">
        <v>3.9527421569774741E-2</v>
      </c>
      <c r="K1478" s="5">
        <v>0.13638318883351619</v>
      </c>
      <c r="L1478">
        <v>112.95657896925729</v>
      </c>
      <c r="M1478" s="10">
        <v>-0.80867025411921822</v>
      </c>
      <c r="N1478" s="24" t="s">
        <v>343</v>
      </c>
      <c r="O1478" s="24">
        <v>2.479784752846911</v>
      </c>
      <c r="P1478">
        <v>64.884622975742644</v>
      </c>
      <c r="Q1478" t="s">
        <v>47</v>
      </c>
      <c r="R1478" t="s">
        <v>350</v>
      </c>
      <c r="S1478" t="s">
        <v>343</v>
      </c>
      <c r="T1478" t="s">
        <v>343</v>
      </c>
    </row>
    <row r="1479" spans="2:20" x14ac:dyDescent="0.25">
      <c r="B1479">
        <v>1474</v>
      </c>
      <c r="C1479" t="s">
        <v>1818</v>
      </c>
      <c r="D1479" s="10">
        <v>0.26824214172435951</v>
      </c>
      <c r="E1479" s="10">
        <v>0.67130369441035764</v>
      </c>
      <c r="F1479" s="10">
        <v>0.44862491682914912</v>
      </c>
      <c r="G1479" s="10">
        <v>0.4505397080907555</v>
      </c>
      <c r="H1479" s="6">
        <v>0.21058562933407149</v>
      </c>
      <c r="I1479" s="10">
        <v>7.3847658723183356</v>
      </c>
      <c r="J1479" s="7">
        <v>2.2306046462002391E-2</v>
      </c>
      <c r="K1479" s="5">
        <v>0.11893756977265831</v>
      </c>
      <c r="L1479">
        <v>191.17089925246739</v>
      </c>
      <c r="M1479" s="10">
        <v>-0.67618814320031817</v>
      </c>
      <c r="N1479" s="24" t="s">
        <v>343</v>
      </c>
      <c r="O1479" s="24">
        <v>10.428711407980909</v>
      </c>
      <c r="P1479">
        <v>63.820474964377418</v>
      </c>
      <c r="Q1479" t="s">
        <v>47</v>
      </c>
      <c r="R1479" t="s">
        <v>350</v>
      </c>
      <c r="S1479" t="s">
        <v>343</v>
      </c>
      <c r="T1479" t="s">
        <v>343</v>
      </c>
    </row>
    <row r="1480" spans="2:20" x14ac:dyDescent="0.25">
      <c r="B1480">
        <v>1475</v>
      </c>
      <c r="C1480" t="s">
        <v>1819</v>
      </c>
      <c r="D1480" s="10">
        <v>0.19450802438363471</v>
      </c>
      <c r="E1480" s="10">
        <v>0.71969272672090112</v>
      </c>
      <c r="F1480" s="10">
        <v>0.58752441130016309</v>
      </c>
      <c r="G1480" s="10">
        <v>0.36626306591132302</v>
      </c>
      <c r="H1480" s="6">
        <v>0.17402580746570701</v>
      </c>
      <c r="I1480" s="10">
        <v>6.5347833425042587</v>
      </c>
      <c r="J1480" s="7">
        <v>4.4709520887173747E-2</v>
      </c>
      <c r="K1480" s="5">
        <v>0.1773096822248911</v>
      </c>
      <c r="L1480">
        <v>126.0739372464278</v>
      </c>
      <c r="M1480" s="10">
        <v>-0.78645162065227114</v>
      </c>
      <c r="N1480" s="24" t="s">
        <v>343</v>
      </c>
      <c r="O1480" s="24">
        <v>3.8129027608637291</v>
      </c>
      <c r="P1480">
        <v>60.070999374975962</v>
      </c>
      <c r="Q1480" t="s">
        <v>47</v>
      </c>
      <c r="R1480" t="s">
        <v>350</v>
      </c>
      <c r="S1480" t="s">
        <v>343</v>
      </c>
      <c r="T1480" t="s">
        <v>343</v>
      </c>
    </row>
    <row r="1481" spans="2:20" x14ac:dyDescent="0.25">
      <c r="B1481">
        <v>1476</v>
      </c>
      <c r="C1481" t="s">
        <v>1820</v>
      </c>
      <c r="D1481" s="10">
        <v>0.26542167523722521</v>
      </c>
      <c r="E1481" s="10">
        <v>1.370228293754072</v>
      </c>
      <c r="F1481" s="10">
        <v>0.48431947752612342</v>
      </c>
      <c r="G1481" s="10">
        <v>0.27492482251970551</v>
      </c>
      <c r="H1481" s="6">
        <v>0.22765318675764709</v>
      </c>
      <c r="I1481" s="10">
        <v>5.2280211654316151</v>
      </c>
      <c r="J1481" s="7">
        <v>1.099981000164677E-2</v>
      </c>
      <c r="K1481" s="5">
        <v>0.14642398161396281</v>
      </c>
      <c r="L1481">
        <v>180.05536798449469</v>
      </c>
      <c r="M1481" s="10">
        <v>-0.69501601309720951</v>
      </c>
      <c r="N1481" s="24" t="s">
        <v>343</v>
      </c>
      <c r="O1481" s="24">
        <v>9.2990392141674292</v>
      </c>
      <c r="P1481">
        <v>22.55213940206124</v>
      </c>
      <c r="Q1481" t="s">
        <v>348</v>
      </c>
      <c r="R1481" t="s">
        <v>353</v>
      </c>
      <c r="S1481" t="s">
        <v>343</v>
      </c>
      <c r="T1481" t="s">
        <v>343</v>
      </c>
    </row>
    <row r="1482" spans="2:20" x14ac:dyDescent="0.25">
      <c r="B1482">
        <v>1477</v>
      </c>
      <c r="C1482" t="s">
        <v>1821</v>
      </c>
      <c r="D1482" s="10">
        <v>0.22301830490466529</v>
      </c>
      <c r="E1482" s="10">
        <v>0.30619660621952072</v>
      </c>
      <c r="F1482" s="10">
        <v>0.47649431016038613</v>
      </c>
      <c r="G1482" s="10">
        <v>0.35385919717566</v>
      </c>
      <c r="H1482" s="6">
        <v>0.1230497164460146</v>
      </c>
      <c r="I1482" s="10">
        <v>4.3614930688290157</v>
      </c>
      <c r="J1482" s="7">
        <v>4.4534765011906702E-2</v>
      </c>
      <c r="K1482" s="5">
        <v>0.1539259144531295</v>
      </c>
      <c r="L1482">
        <v>91.332719403590488</v>
      </c>
      <c r="M1482" s="10">
        <v>-0.84529749259805687</v>
      </c>
      <c r="N1482" s="24" t="s">
        <v>343</v>
      </c>
      <c r="O1482" s="24">
        <v>0.28215044411659562</v>
      </c>
      <c r="P1482">
        <v>55.79643429035189</v>
      </c>
      <c r="Q1482" t="s">
        <v>47</v>
      </c>
      <c r="R1482" t="s">
        <v>350</v>
      </c>
      <c r="S1482" t="s">
        <v>343</v>
      </c>
      <c r="T1482" t="s">
        <v>343</v>
      </c>
    </row>
    <row r="1483" spans="2:20" x14ac:dyDescent="0.25">
      <c r="B1483">
        <v>1478</v>
      </c>
      <c r="C1483" t="s">
        <v>1822</v>
      </c>
      <c r="D1483" s="10">
        <v>0.26419727632663881</v>
      </c>
      <c r="E1483" s="10">
        <v>1.3842326253269579</v>
      </c>
      <c r="F1483" s="10">
        <v>0.60201106690461792</v>
      </c>
      <c r="G1483" s="10">
        <v>0.32707246838211163</v>
      </c>
      <c r="H1483" s="6">
        <v>0.18088341581537151</v>
      </c>
      <c r="I1483" s="10">
        <v>11.01417344474347</v>
      </c>
      <c r="J1483" s="7">
        <v>1.8609899668531289E-2</v>
      </c>
      <c r="K1483" s="5">
        <v>0.1146251886917601</v>
      </c>
      <c r="L1483">
        <v>563.25743367748964</v>
      </c>
      <c r="M1483" s="10">
        <v>-4.5935149290367017E-2</v>
      </c>
      <c r="N1483" s="24" t="s">
        <v>345</v>
      </c>
      <c r="O1483" s="24">
        <v>81.544643269660526</v>
      </c>
      <c r="P1483">
        <v>52.505435724410937</v>
      </c>
      <c r="Q1483" t="s">
        <v>47</v>
      </c>
      <c r="R1483" t="s">
        <v>350</v>
      </c>
      <c r="S1483" t="s">
        <v>345</v>
      </c>
      <c r="T1483" t="s">
        <v>343</v>
      </c>
    </row>
    <row r="1484" spans="2:20" x14ac:dyDescent="0.25">
      <c r="B1484">
        <v>1479</v>
      </c>
      <c r="C1484" t="s">
        <v>1823</v>
      </c>
      <c r="D1484" s="10">
        <v>0.1770548848492785</v>
      </c>
      <c r="E1484" s="10">
        <v>1.3785077986208141</v>
      </c>
      <c r="F1484" s="10">
        <v>0.52082623047654297</v>
      </c>
      <c r="G1484" s="10">
        <v>0.34545822487205358</v>
      </c>
      <c r="H1484" s="6">
        <v>0.24468953996136211</v>
      </c>
      <c r="I1484" s="10">
        <v>11.303463325296359</v>
      </c>
      <c r="J1484" s="7">
        <v>2.5415296765933671E-2</v>
      </c>
      <c r="K1484" s="5">
        <v>0.1183116491345142</v>
      </c>
      <c r="L1484">
        <v>345.83608113694652</v>
      </c>
      <c r="M1484" s="10">
        <v>-0.41421092844582252</v>
      </c>
      <c r="N1484" s="24" t="s">
        <v>343</v>
      </c>
      <c r="O1484" s="24">
        <v>26.147344293250651</v>
      </c>
      <c r="P1484">
        <v>14.34599349315684</v>
      </c>
      <c r="Q1484" t="s">
        <v>348</v>
      </c>
      <c r="R1484" t="s">
        <v>353</v>
      </c>
      <c r="S1484" t="s">
        <v>343</v>
      </c>
      <c r="T1484" t="s">
        <v>343</v>
      </c>
    </row>
    <row r="1485" spans="2:20" x14ac:dyDescent="0.25">
      <c r="B1485">
        <v>1480</v>
      </c>
      <c r="C1485" t="s">
        <v>1824</v>
      </c>
      <c r="D1485" s="10">
        <v>0.26525524873648582</v>
      </c>
      <c r="E1485" s="10">
        <v>1.3957658695831501</v>
      </c>
      <c r="F1485" s="10">
        <v>0.55462886061506467</v>
      </c>
      <c r="G1485" s="10">
        <v>0.28336134322499917</v>
      </c>
      <c r="H1485" s="6">
        <v>0.15753010766691539</v>
      </c>
      <c r="I1485" s="10">
        <v>5.9149725573887322</v>
      </c>
      <c r="J1485" s="7">
        <v>4.092910582386499E-2</v>
      </c>
      <c r="K1485" s="5">
        <v>0.1119563235125116</v>
      </c>
      <c r="L1485">
        <v>366.05408601620451</v>
      </c>
      <c r="M1485" s="10">
        <v>-0.37996497507981591</v>
      </c>
      <c r="N1485" s="24" t="s">
        <v>343</v>
      </c>
      <c r="O1485" s="24">
        <v>28.20210149521105</v>
      </c>
      <c r="P1485">
        <v>53.666667471623327</v>
      </c>
      <c r="Q1485" t="s">
        <v>47</v>
      </c>
      <c r="R1485" t="s">
        <v>350</v>
      </c>
      <c r="S1485" t="s">
        <v>343</v>
      </c>
      <c r="T1485" t="s">
        <v>343</v>
      </c>
    </row>
    <row r="1486" spans="2:20" x14ac:dyDescent="0.25">
      <c r="B1486">
        <v>1481</v>
      </c>
      <c r="C1486" t="s">
        <v>1825</v>
      </c>
      <c r="D1486" s="10">
        <v>0.31990619612330662</v>
      </c>
      <c r="E1486" s="10">
        <v>0.82424699681159797</v>
      </c>
      <c r="F1486" s="10">
        <v>0.53359969045434097</v>
      </c>
      <c r="G1486" s="10">
        <v>0.35018194930847979</v>
      </c>
      <c r="H1486" s="6">
        <v>0.12791263175704831</v>
      </c>
      <c r="I1486" s="10">
        <v>8.4470924718850071</v>
      </c>
      <c r="J1486" s="7">
        <v>1.855150934845964E-2</v>
      </c>
      <c r="K1486" s="5">
        <v>0.148881565927271</v>
      </c>
      <c r="L1486">
        <v>149.26490805401431</v>
      </c>
      <c r="M1486" s="10">
        <v>-0.7471699551500629</v>
      </c>
      <c r="N1486" s="24" t="s">
        <v>343</v>
      </c>
      <c r="O1486" s="24">
        <v>6.169802690996228</v>
      </c>
      <c r="P1486">
        <v>56.175076198865987</v>
      </c>
      <c r="Q1486" t="s">
        <v>47</v>
      </c>
      <c r="R1486" t="s">
        <v>350</v>
      </c>
      <c r="S1486" t="s">
        <v>343</v>
      </c>
      <c r="T1486" t="s">
        <v>343</v>
      </c>
    </row>
    <row r="1487" spans="2:20" x14ac:dyDescent="0.25">
      <c r="B1487">
        <v>1482</v>
      </c>
      <c r="C1487" t="s">
        <v>1826</v>
      </c>
      <c r="D1487" s="10">
        <v>0.16771392621768899</v>
      </c>
      <c r="E1487" s="10">
        <v>1.3601898665830989</v>
      </c>
      <c r="F1487" s="10">
        <v>0.60856744323965617</v>
      </c>
      <c r="G1487" s="10">
        <v>0.2730087481439929</v>
      </c>
      <c r="H1487" s="6">
        <v>0.1944786111847753</v>
      </c>
      <c r="I1487" s="10">
        <v>8.104780422062543</v>
      </c>
      <c r="J1487" s="7">
        <v>1.7867357228152071E-2</v>
      </c>
      <c r="K1487" s="5">
        <v>0.17368741611408919</v>
      </c>
      <c r="L1487">
        <v>124.37485443989451</v>
      </c>
      <c r="M1487" s="10">
        <v>-0.78932958565945233</v>
      </c>
      <c r="N1487" s="24" t="s">
        <v>343</v>
      </c>
      <c r="O1487" s="24">
        <v>3.6402248604328662</v>
      </c>
      <c r="P1487">
        <v>57.302574119865653</v>
      </c>
      <c r="Q1487" t="s">
        <v>47</v>
      </c>
      <c r="R1487" t="s">
        <v>350</v>
      </c>
      <c r="S1487" t="s">
        <v>343</v>
      </c>
      <c r="T1487" t="s">
        <v>343</v>
      </c>
    </row>
    <row r="1488" spans="2:20" x14ac:dyDescent="0.25">
      <c r="B1488">
        <v>1483</v>
      </c>
      <c r="C1488" t="s">
        <v>1827</v>
      </c>
      <c r="D1488" s="10">
        <v>0.31634786947541083</v>
      </c>
      <c r="E1488" s="10">
        <v>0.73515910003481</v>
      </c>
      <c r="F1488" s="10">
        <v>0.56223113917728185</v>
      </c>
      <c r="G1488" s="10">
        <v>0.40368947775199138</v>
      </c>
      <c r="H1488" s="6">
        <v>0.26648001907901853</v>
      </c>
      <c r="I1488" s="10">
        <v>6.9077232816270193</v>
      </c>
      <c r="J1488" s="7">
        <v>3.2508806676582881E-2</v>
      </c>
      <c r="K1488" s="5">
        <v>0.16956709816873999</v>
      </c>
      <c r="L1488">
        <v>135.37937125398329</v>
      </c>
      <c r="M1488" s="10">
        <v>-0.77068975587004773</v>
      </c>
      <c r="N1488" s="24" t="s">
        <v>343</v>
      </c>
      <c r="O1488" s="24">
        <v>4.7586146477971383</v>
      </c>
      <c r="P1488">
        <v>57.608512414618097</v>
      </c>
      <c r="Q1488" t="s">
        <v>47</v>
      </c>
      <c r="R1488" t="s">
        <v>350</v>
      </c>
      <c r="S1488" t="s">
        <v>343</v>
      </c>
      <c r="T1488" t="s">
        <v>343</v>
      </c>
    </row>
    <row r="1489" spans="2:20" x14ac:dyDescent="0.25">
      <c r="B1489">
        <v>1484</v>
      </c>
      <c r="C1489" t="s">
        <v>1828</v>
      </c>
      <c r="D1489" s="10">
        <v>0.2251052737156593</v>
      </c>
      <c r="E1489" s="10">
        <v>0.32892388473522538</v>
      </c>
      <c r="F1489" s="10">
        <v>0.69049925212986629</v>
      </c>
      <c r="G1489" s="10">
        <v>0.37065937724963149</v>
      </c>
      <c r="H1489" s="6">
        <v>0.12962378423027049</v>
      </c>
      <c r="I1489" s="10">
        <v>6.0540089997643038</v>
      </c>
      <c r="J1489" s="7">
        <v>3.4690768395834681E-2</v>
      </c>
      <c r="K1489" s="5">
        <v>0.12481692794961009</v>
      </c>
      <c r="L1489">
        <v>71.985327785312535</v>
      </c>
      <c r="M1489" s="10">
        <v>-0.8780687712217532</v>
      </c>
      <c r="N1489" s="24" t="s">
        <v>343</v>
      </c>
      <c r="O1489" s="24">
        <v>0</v>
      </c>
      <c r="P1489">
        <v>53.038695622147898</v>
      </c>
      <c r="Q1489" t="s">
        <v>47</v>
      </c>
      <c r="R1489" t="s">
        <v>350</v>
      </c>
      <c r="S1489" t="s">
        <v>343</v>
      </c>
      <c r="T1489" t="s">
        <v>343</v>
      </c>
    </row>
    <row r="1490" spans="2:20" x14ac:dyDescent="0.25">
      <c r="B1490">
        <v>1485</v>
      </c>
      <c r="C1490" t="s">
        <v>1829</v>
      </c>
      <c r="D1490" s="10">
        <v>0.29932055205396152</v>
      </c>
      <c r="E1490" s="10">
        <v>0.54678190500894097</v>
      </c>
      <c r="F1490" s="10">
        <v>0.53161951736768098</v>
      </c>
      <c r="G1490" s="10">
        <v>0.25727609215019231</v>
      </c>
      <c r="H1490" s="6">
        <v>0.130508473912469</v>
      </c>
      <c r="I1490" s="10">
        <v>5.0463491694986313</v>
      </c>
      <c r="J1490" s="7">
        <v>1.026147394703595E-2</v>
      </c>
      <c r="K1490" s="5">
        <v>0.18089726785103549</v>
      </c>
      <c r="L1490">
        <v>76.634477155324277</v>
      </c>
      <c r="M1490" s="10">
        <v>-0.87019388181165302</v>
      </c>
      <c r="N1490" s="24" t="s">
        <v>343</v>
      </c>
      <c r="O1490" s="24">
        <v>0</v>
      </c>
      <c r="P1490">
        <v>56.155281160309627</v>
      </c>
      <c r="Q1490" t="s">
        <v>47</v>
      </c>
      <c r="R1490" t="s">
        <v>350</v>
      </c>
      <c r="S1490" t="s">
        <v>343</v>
      </c>
      <c r="T1490" t="s">
        <v>343</v>
      </c>
    </row>
    <row r="1491" spans="2:20" x14ac:dyDescent="0.25">
      <c r="B1491">
        <v>1486</v>
      </c>
      <c r="C1491" t="s">
        <v>1830</v>
      </c>
      <c r="D1491" s="10">
        <v>0.28518167744932382</v>
      </c>
      <c r="E1491" s="10">
        <v>1.3398258694311229</v>
      </c>
      <c r="F1491" s="10">
        <v>0.63247392846833717</v>
      </c>
      <c r="G1491" s="10">
        <v>0.43571518294437561</v>
      </c>
      <c r="H1491" s="6">
        <v>0.20926748474200171</v>
      </c>
      <c r="I1491" s="10">
        <v>12.601818820755071</v>
      </c>
      <c r="J1491" s="7">
        <v>2.5765548259152529E-2</v>
      </c>
      <c r="K1491" s="5">
        <v>0.11003778057333929</v>
      </c>
      <c r="L1491">
        <v>761.46691083138546</v>
      </c>
      <c r="M1491" s="10">
        <v>0.28979889330434422</v>
      </c>
      <c r="N1491" s="24" t="s">
        <v>343</v>
      </c>
      <c r="O1491" s="24">
        <v>33.612066401739348</v>
      </c>
      <c r="P1491">
        <v>46.7798727739548</v>
      </c>
      <c r="Q1491" t="s">
        <v>346</v>
      </c>
      <c r="R1491" t="s">
        <v>347</v>
      </c>
      <c r="S1491" t="s">
        <v>343</v>
      </c>
      <c r="T1491" t="s">
        <v>343</v>
      </c>
    </row>
    <row r="1492" spans="2:20" x14ac:dyDescent="0.25">
      <c r="B1492">
        <v>1487</v>
      </c>
      <c r="C1492" t="s">
        <v>1831</v>
      </c>
      <c r="D1492" s="10">
        <v>0.25072260175786693</v>
      </c>
      <c r="E1492" s="10">
        <v>0.31514116266893999</v>
      </c>
      <c r="F1492" s="10">
        <v>0.50689606757159156</v>
      </c>
      <c r="G1492" s="10">
        <v>0.37560351301544048</v>
      </c>
      <c r="H1492" s="6">
        <v>0.15751015693171941</v>
      </c>
      <c r="I1492" s="10">
        <v>12.16643736423079</v>
      </c>
      <c r="J1492" s="7">
        <v>2.71188142258217E-2</v>
      </c>
      <c r="K1492" s="5">
        <v>0.1108347471578956</v>
      </c>
      <c r="L1492">
        <v>250.93331299699841</v>
      </c>
      <c r="M1492" s="10">
        <v>-0.574960507419358</v>
      </c>
      <c r="N1492" s="24" t="s">
        <v>343</v>
      </c>
      <c r="O1492" s="24">
        <v>16.50236955483852</v>
      </c>
      <c r="P1492">
        <v>59.882385736342833</v>
      </c>
      <c r="Q1492" t="s">
        <v>47</v>
      </c>
      <c r="R1492" t="s">
        <v>350</v>
      </c>
      <c r="S1492" t="s">
        <v>343</v>
      </c>
      <c r="T1492" t="s">
        <v>343</v>
      </c>
    </row>
    <row r="1493" spans="2:20" x14ac:dyDescent="0.25">
      <c r="B1493">
        <v>1488</v>
      </c>
      <c r="C1493" t="s">
        <v>1832</v>
      </c>
      <c r="D1493" s="10">
        <v>0.27815187348021231</v>
      </c>
      <c r="E1493" s="10">
        <v>0.90059354896527255</v>
      </c>
      <c r="F1493" s="10">
        <v>0.57227580408279821</v>
      </c>
      <c r="G1493" s="10">
        <v>0.3095435521281229</v>
      </c>
      <c r="H1493" s="6">
        <v>0.18153468504558379</v>
      </c>
      <c r="I1493" s="10">
        <v>7.5889735126038822</v>
      </c>
      <c r="J1493" s="7">
        <v>1.9514231990268398E-2</v>
      </c>
      <c r="K1493" s="5">
        <v>0.18068390684739741</v>
      </c>
      <c r="L1493">
        <v>133.35645128575351</v>
      </c>
      <c r="M1493" s="10">
        <v>-0.77411624742096408</v>
      </c>
      <c r="N1493" s="24" t="s">
        <v>343</v>
      </c>
      <c r="O1493" s="24">
        <v>4.5530251547421594</v>
      </c>
      <c r="P1493">
        <v>66.584435905443755</v>
      </c>
      <c r="Q1493" t="s">
        <v>47</v>
      </c>
      <c r="R1493" t="s">
        <v>350</v>
      </c>
      <c r="S1493" t="s">
        <v>343</v>
      </c>
      <c r="T1493" t="s">
        <v>343</v>
      </c>
    </row>
    <row r="1494" spans="2:20" x14ac:dyDescent="0.25">
      <c r="B1494">
        <v>1489</v>
      </c>
      <c r="C1494" t="s">
        <v>1833</v>
      </c>
      <c r="D1494" s="10">
        <v>0.30056248980821559</v>
      </c>
      <c r="E1494" s="10">
        <v>0.38316174778414691</v>
      </c>
      <c r="F1494" s="10">
        <v>0.5836681354945088</v>
      </c>
      <c r="G1494" s="10">
        <v>0.25004132789600819</v>
      </c>
      <c r="H1494" s="6">
        <v>0.2445760729499086</v>
      </c>
      <c r="I1494" s="10">
        <v>10.93321382180306</v>
      </c>
      <c r="J1494" s="7">
        <v>2.9113840012011661E-2</v>
      </c>
      <c r="K1494" s="5">
        <v>0.1232198583117102</v>
      </c>
      <c r="L1494">
        <v>155.63164991238031</v>
      </c>
      <c r="M1494" s="10">
        <v>-0.73638574839587945</v>
      </c>
      <c r="N1494" s="24" t="s">
        <v>343</v>
      </c>
      <c r="O1494" s="24">
        <v>6.8168550962472381</v>
      </c>
      <c r="P1494">
        <v>56.925879227156777</v>
      </c>
      <c r="Q1494" t="s">
        <v>47</v>
      </c>
      <c r="R1494" t="s">
        <v>350</v>
      </c>
      <c r="S1494" t="s">
        <v>343</v>
      </c>
      <c r="T1494" t="s">
        <v>343</v>
      </c>
    </row>
    <row r="1495" spans="2:20" x14ac:dyDescent="0.25">
      <c r="B1495">
        <v>1490</v>
      </c>
      <c r="C1495" t="s">
        <v>1834</v>
      </c>
      <c r="D1495" s="10">
        <v>0.2246624514641653</v>
      </c>
      <c r="E1495" s="10">
        <v>0.61503623627033632</v>
      </c>
      <c r="F1495" s="10">
        <v>0.5255684130763103</v>
      </c>
      <c r="G1495" s="10">
        <v>0.37908987306975928</v>
      </c>
      <c r="H1495" s="6">
        <v>0.14982730262737751</v>
      </c>
      <c r="I1495" s="10">
        <v>8.481652906391405</v>
      </c>
      <c r="J1495" s="7">
        <v>1.541021619852548E-2</v>
      </c>
      <c r="K1495" s="5">
        <v>0.16727100524080901</v>
      </c>
      <c r="L1495">
        <v>113.9566902376807</v>
      </c>
      <c r="M1495" s="10">
        <v>-0.80697623118946915</v>
      </c>
      <c r="N1495" s="24" t="s">
        <v>343</v>
      </c>
      <c r="O1495" s="24">
        <v>2.5814261286318541</v>
      </c>
      <c r="P1495">
        <v>58.159122497871259</v>
      </c>
      <c r="Q1495" t="s">
        <v>47</v>
      </c>
      <c r="R1495" t="s">
        <v>350</v>
      </c>
      <c r="S1495" t="s">
        <v>343</v>
      </c>
      <c r="T1495" t="s">
        <v>343</v>
      </c>
    </row>
    <row r="1496" spans="2:20" x14ac:dyDescent="0.25">
      <c r="B1496">
        <v>1491</v>
      </c>
      <c r="C1496" t="s">
        <v>1835</v>
      </c>
      <c r="D1496" s="10">
        <v>0.21232530585011819</v>
      </c>
      <c r="E1496" s="10">
        <v>0.39690213578307532</v>
      </c>
      <c r="F1496" s="10">
        <v>0.56266293751728358</v>
      </c>
      <c r="G1496" s="10">
        <v>0.32215685749663409</v>
      </c>
      <c r="H1496" s="6">
        <v>0.22789499054721499</v>
      </c>
      <c r="I1496" s="10">
        <v>3.939215918220011</v>
      </c>
      <c r="J1496" s="7">
        <v>2.1326203065008958E-2</v>
      </c>
      <c r="K1496" s="5">
        <v>0.1008625612325592</v>
      </c>
      <c r="L1496">
        <v>105.24857735504131</v>
      </c>
      <c r="M1496" s="10">
        <v>-0.82172633286694652</v>
      </c>
      <c r="N1496" s="24" t="s">
        <v>343</v>
      </c>
      <c r="O1496" s="24">
        <v>1.696420027983216</v>
      </c>
      <c r="P1496">
        <v>64.09738367750802</v>
      </c>
      <c r="Q1496" t="s">
        <v>47</v>
      </c>
      <c r="R1496" t="s">
        <v>350</v>
      </c>
      <c r="S1496" t="s">
        <v>343</v>
      </c>
      <c r="T1496" t="s">
        <v>343</v>
      </c>
    </row>
    <row r="1497" spans="2:20" x14ac:dyDescent="0.25">
      <c r="B1497">
        <v>1492</v>
      </c>
      <c r="C1497" t="s">
        <v>1836</v>
      </c>
      <c r="D1497" s="10">
        <v>0.26681494169017361</v>
      </c>
      <c r="E1497" s="10">
        <v>1.2454814832243619</v>
      </c>
      <c r="F1497" s="10">
        <v>0.51261244585360799</v>
      </c>
      <c r="G1497" s="10">
        <v>0.43967598307326727</v>
      </c>
      <c r="H1497" s="6">
        <v>0.19567282699013341</v>
      </c>
      <c r="I1497" s="10">
        <v>12.046295592873561</v>
      </c>
      <c r="J1497" s="7">
        <v>3.4963373174409187E-2</v>
      </c>
      <c r="K1497" s="5">
        <v>0.10889210341881959</v>
      </c>
      <c r="L1497">
        <v>616.54367299743774</v>
      </c>
      <c r="M1497" s="10">
        <v>4.4322919084764663E-2</v>
      </c>
      <c r="N1497" s="24" t="s">
        <v>345</v>
      </c>
      <c r="O1497" s="24">
        <v>82.157290747789432</v>
      </c>
      <c r="P1497">
        <v>51.503334730782143</v>
      </c>
      <c r="Q1497" t="s">
        <v>47</v>
      </c>
      <c r="R1497" t="s">
        <v>350</v>
      </c>
      <c r="S1497" t="s">
        <v>345</v>
      </c>
      <c r="T1497" t="s">
        <v>343</v>
      </c>
    </row>
    <row r="1498" spans="2:20" x14ac:dyDescent="0.25">
      <c r="B1498">
        <v>1493</v>
      </c>
      <c r="C1498" t="s">
        <v>1837</v>
      </c>
      <c r="D1498" s="10">
        <v>0.28925535071060138</v>
      </c>
      <c r="E1498" s="10">
        <v>0.95017778061247626</v>
      </c>
      <c r="F1498" s="10">
        <v>0.44156020323523532</v>
      </c>
      <c r="G1498" s="10">
        <v>0.2476731231971184</v>
      </c>
      <c r="H1498" s="6">
        <v>0.25574365386214082</v>
      </c>
      <c r="I1498" s="10">
        <v>5.4119869841550834</v>
      </c>
      <c r="J1498" s="7">
        <v>4.0582528825425637E-2</v>
      </c>
      <c r="K1498" s="5">
        <v>0.1578824273286169</v>
      </c>
      <c r="L1498">
        <v>50.641512885747971</v>
      </c>
      <c r="M1498" s="10">
        <v>-0.91422166039495989</v>
      </c>
      <c r="N1498" s="24" t="s">
        <v>343</v>
      </c>
      <c r="O1498" s="24">
        <v>0</v>
      </c>
      <c r="P1498">
        <v>51.160542608983299</v>
      </c>
      <c r="Q1498" t="s">
        <v>47</v>
      </c>
      <c r="R1498" t="s">
        <v>350</v>
      </c>
      <c r="S1498" t="s">
        <v>343</v>
      </c>
      <c r="T1498" t="s">
        <v>343</v>
      </c>
    </row>
    <row r="1499" spans="2:20" x14ac:dyDescent="0.25">
      <c r="B1499">
        <v>1494</v>
      </c>
      <c r="C1499" t="s">
        <v>1838</v>
      </c>
      <c r="D1499" s="10">
        <v>0.28196562156425847</v>
      </c>
      <c r="E1499" s="10">
        <v>1.292317112290144</v>
      </c>
      <c r="F1499" s="10">
        <v>0.49606855842584852</v>
      </c>
      <c r="G1499" s="10">
        <v>0.24860253577529351</v>
      </c>
      <c r="H1499" s="6">
        <v>0.26594430004403458</v>
      </c>
      <c r="I1499" s="10">
        <v>10.774992618009581</v>
      </c>
      <c r="J1499" s="7">
        <v>3.0628263659962188E-2</v>
      </c>
      <c r="K1499" s="5">
        <v>0.1173295157134009</v>
      </c>
      <c r="L1499">
        <v>113.27649384830831</v>
      </c>
      <c r="M1499" s="10">
        <v>-0.80812837127298798</v>
      </c>
      <c r="N1499" s="24" t="s">
        <v>343</v>
      </c>
      <c r="O1499" s="24">
        <v>2.5122977236207258</v>
      </c>
      <c r="P1499">
        <v>7.1901578219815789</v>
      </c>
      <c r="Q1499" t="s">
        <v>348</v>
      </c>
      <c r="R1499" t="s">
        <v>371</v>
      </c>
      <c r="S1499" t="s">
        <v>343</v>
      </c>
      <c r="T1499" t="s">
        <v>343</v>
      </c>
    </row>
    <row r="1500" spans="2:20" x14ac:dyDescent="0.25">
      <c r="B1500">
        <v>1495</v>
      </c>
      <c r="C1500" t="s">
        <v>1839</v>
      </c>
      <c r="D1500" s="10">
        <v>0.2876501838173815</v>
      </c>
      <c r="E1500" s="10">
        <v>1.057188519494251</v>
      </c>
      <c r="F1500" s="10">
        <v>0.62201668484823214</v>
      </c>
      <c r="G1500" s="10">
        <v>0.4488458431195258</v>
      </c>
      <c r="H1500" s="6">
        <v>0.19274411784800941</v>
      </c>
      <c r="I1500" s="10">
        <v>8.8013776140668245</v>
      </c>
      <c r="J1500" s="7">
        <v>1.261955887694193E-2</v>
      </c>
      <c r="K1500" s="5">
        <v>0.1026803001997124</v>
      </c>
      <c r="L1500">
        <v>459.67128528022329</v>
      </c>
      <c r="M1500" s="10">
        <v>-0.22139293696833789</v>
      </c>
      <c r="N1500" s="24" t="s">
        <v>343</v>
      </c>
      <c r="O1500" s="24">
        <v>37.716423781899728</v>
      </c>
      <c r="P1500">
        <v>55.507717192344238</v>
      </c>
      <c r="Q1500" t="s">
        <v>47</v>
      </c>
      <c r="R1500" t="s">
        <v>350</v>
      </c>
      <c r="S1500" t="s">
        <v>343</v>
      </c>
      <c r="T1500" t="s">
        <v>343</v>
      </c>
    </row>
    <row r="1501" spans="2:20" x14ac:dyDescent="0.25">
      <c r="B1501">
        <v>1496</v>
      </c>
      <c r="C1501" t="s">
        <v>1840</v>
      </c>
      <c r="D1501" s="10">
        <v>0.22969333037006931</v>
      </c>
      <c r="E1501" s="10">
        <v>1.3681320443696099</v>
      </c>
      <c r="F1501" s="10">
        <v>0.640450386366198</v>
      </c>
      <c r="G1501" s="10">
        <v>0.45227226804949139</v>
      </c>
      <c r="H1501" s="6">
        <v>0.20769705886732001</v>
      </c>
      <c r="I1501" s="10">
        <v>10.595939667959501</v>
      </c>
      <c r="J1501" s="7">
        <v>3.3756105441776457E-2</v>
      </c>
      <c r="K1501" s="5">
        <v>0.14435994188491569</v>
      </c>
      <c r="L1501">
        <v>546.41298809263571</v>
      </c>
      <c r="M1501" s="10">
        <v>-7.4466851672482348E-2</v>
      </c>
      <c r="N1501" s="24" t="s">
        <v>343</v>
      </c>
      <c r="O1501" s="24">
        <v>69.70259636445671</v>
      </c>
      <c r="P1501">
        <v>56.077121131960297</v>
      </c>
      <c r="Q1501" t="s">
        <v>47</v>
      </c>
      <c r="R1501" t="s">
        <v>350</v>
      </c>
      <c r="S1501" t="s">
        <v>343</v>
      </c>
      <c r="T1501" t="s">
        <v>343</v>
      </c>
    </row>
    <row r="1502" spans="2:20" x14ac:dyDescent="0.25">
      <c r="B1502">
        <v>1497</v>
      </c>
      <c r="C1502" t="s">
        <v>1841</v>
      </c>
      <c r="D1502" s="10">
        <v>0.29085347458800348</v>
      </c>
      <c r="E1502" s="10">
        <v>0.86086542023644719</v>
      </c>
      <c r="F1502" s="10">
        <v>0.51285274545611914</v>
      </c>
      <c r="G1502" s="10">
        <v>0.24610328988998051</v>
      </c>
      <c r="H1502" s="6">
        <v>0.231876381110633</v>
      </c>
      <c r="I1502" s="10">
        <v>8.1832336129635888</v>
      </c>
      <c r="J1502" s="7">
        <v>4.1415923731139399E-2</v>
      </c>
      <c r="K1502" s="5">
        <v>0.13139944743145929</v>
      </c>
      <c r="L1502">
        <v>127.71514706905801</v>
      </c>
      <c r="M1502" s="10">
        <v>-0.78367168289949674</v>
      </c>
      <c r="N1502" s="24" t="s">
        <v>343</v>
      </c>
      <c r="O1502" s="24">
        <v>3.9796990260301901</v>
      </c>
      <c r="P1502">
        <v>56.368094551824449</v>
      </c>
      <c r="Q1502" t="s">
        <v>47</v>
      </c>
      <c r="R1502" t="s">
        <v>350</v>
      </c>
      <c r="S1502" t="s">
        <v>343</v>
      </c>
      <c r="T1502" t="s">
        <v>343</v>
      </c>
    </row>
    <row r="1503" spans="2:20" x14ac:dyDescent="0.25">
      <c r="B1503">
        <v>1498</v>
      </c>
      <c r="C1503" t="s">
        <v>1842</v>
      </c>
      <c r="D1503" s="10">
        <v>0.17923344885929729</v>
      </c>
      <c r="E1503" s="10">
        <v>1.0025816399391621</v>
      </c>
      <c r="F1503" s="10">
        <v>0.54609117969269871</v>
      </c>
      <c r="G1503" s="10">
        <v>0.3975273116870921</v>
      </c>
      <c r="H1503" s="6">
        <v>0.1678011212808008</v>
      </c>
      <c r="I1503" s="10">
        <v>10.728172633246849</v>
      </c>
      <c r="J1503" s="7">
        <v>2.7650991504883871E-2</v>
      </c>
      <c r="K1503" s="5">
        <v>0.17621440816789871</v>
      </c>
      <c r="L1503">
        <v>141.93905454984659</v>
      </c>
      <c r="M1503" s="10">
        <v>-0.75957873826037381</v>
      </c>
      <c r="N1503" s="24" t="s">
        <v>343</v>
      </c>
      <c r="O1503" s="24">
        <v>5.4252757043775688</v>
      </c>
      <c r="P1503">
        <v>62.102044691258619</v>
      </c>
      <c r="Q1503" t="s">
        <v>47</v>
      </c>
      <c r="R1503" t="s">
        <v>350</v>
      </c>
      <c r="S1503" t="s">
        <v>343</v>
      </c>
      <c r="T1503" t="s">
        <v>343</v>
      </c>
    </row>
    <row r="1504" spans="2:20" x14ac:dyDescent="0.25">
      <c r="B1504">
        <v>1499</v>
      </c>
      <c r="C1504" t="s">
        <v>1843</v>
      </c>
      <c r="D1504" s="10">
        <v>0.24711825567373591</v>
      </c>
      <c r="E1504" s="10">
        <v>0.93393970187796205</v>
      </c>
      <c r="F1504" s="10">
        <v>0.44971507163603891</v>
      </c>
      <c r="G1504" s="10">
        <v>0.28872886751234489</v>
      </c>
      <c r="H1504" s="6">
        <v>0.15401105257848699</v>
      </c>
      <c r="I1504" s="10">
        <v>3.3609380823959492</v>
      </c>
      <c r="J1504" s="7">
        <v>2.727921881360729E-2</v>
      </c>
      <c r="K1504" s="5">
        <v>0.1777887541548139</v>
      </c>
      <c r="L1504">
        <v>81.720043719076159</v>
      </c>
      <c r="M1504" s="10">
        <v>-0.86157977392009522</v>
      </c>
      <c r="N1504" s="24" t="s">
        <v>343</v>
      </c>
      <c r="O1504" s="24">
        <v>0</v>
      </c>
      <c r="P1504">
        <v>62.912718551217523</v>
      </c>
      <c r="Q1504" t="s">
        <v>47</v>
      </c>
      <c r="R1504" t="s">
        <v>350</v>
      </c>
      <c r="S1504" t="s">
        <v>343</v>
      </c>
      <c r="T1504" t="s">
        <v>343</v>
      </c>
    </row>
    <row r="1505" spans="2:20" x14ac:dyDescent="0.25">
      <c r="B1505">
        <v>1500</v>
      </c>
      <c r="C1505" t="s">
        <v>1844</v>
      </c>
      <c r="D1505" s="10">
        <v>0.16092138567969949</v>
      </c>
      <c r="E1505" s="10">
        <v>0.83268647239127391</v>
      </c>
      <c r="F1505" s="10">
        <v>0.50163635428539699</v>
      </c>
      <c r="G1505" s="10">
        <v>0.39430640858293597</v>
      </c>
      <c r="H1505" s="6">
        <v>0.2647027758664508</v>
      </c>
      <c r="I1505" s="10">
        <v>3.449382330110033</v>
      </c>
      <c r="J1505" s="7">
        <v>4.4699475280830098E-2</v>
      </c>
      <c r="K1505" s="5">
        <v>0.15837019651487391</v>
      </c>
      <c r="L1505">
        <v>69.291666147385854</v>
      </c>
      <c r="M1505" s="10">
        <v>-0.88263138812619735</v>
      </c>
      <c r="N1505" s="24" t="s">
        <v>343</v>
      </c>
      <c r="O1505" s="24">
        <v>0</v>
      </c>
      <c r="P1505">
        <v>51.930666797478878</v>
      </c>
      <c r="Q1505" t="s">
        <v>47</v>
      </c>
      <c r="R1505" t="s">
        <v>350</v>
      </c>
      <c r="S1505" t="s">
        <v>343</v>
      </c>
      <c r="T1505" t="s">
        <v>343</v>
      </c>
    </row>
    <row r="1506" spans="2:20" x14ac:dyDescent="0.25">
      <c r="B1506">
        <v>1501</v>
      </c>
      <c r="C1506" t="s">
        <v>1845</v>
      </c>
      <c r="D1506" s="10">
        <v>0.21193373278404329</v>
      </c>
      <c r="E1506" s="10">
        <v>1.2305553019653139</v>
      </c>
      <c r="F1506" s="10">
        <v>0.64259701367679778</v>
      </c>
      <c r="G1506" s="10">
        <v>0.43112121526475639</v>
      </c>
      <c r="H1506" s="6">
        <v>0.18489230868293671</v>
      </c>
      <c r="I1506" s="10">
        <v>12.859739617370611</v>
      </c>
      <c r="J1506" s="7">
        <v>3.2270422564111501E-2</v>
      </c>
      <c r="K1506" s="5">
        <v>0.127838205902913</v>
      </c>
      <c r="L1506">
        <v>455.13579727218053</v>
      </c>
      <c r="M1506" s="10">
        <v>-0.22907530284682601</v>
      </c>
      <c r="N1506" s="24" t="s">
        <v>343</v>
      </c>
      <c r="O1506" s="24">
        <v>37.255481829190437</v>
      </c>
      <c r="P1506">
        <v>54.899223331848333</v>
      </c>
      <c r="Q1506" t="s">
        <v>47</v>
      </c>
      <c r="R1506" t="s">
        <v>350</v>
      </c>
      <c r="S1506" t="s">
        <v>343</v>
      </c>
      <c r="T1506" t="s">
        <v>343</v>
      </c>
    </row>
    <row r="1507" spans="2:20" x14ac:dyDescent="0.25">
      <c r="B1507">
        <v>1502</v>
      </c>
      <c r="C1507" t="s">
        <v>1846</v>
      </c>
      <c r="D1507" s="10">
        <v>0.2186338455794237</v>
      </c>
      <c r="E1507" s="10">
        <v>1.0089776492373961</v>
      </c>
      <c r="F1507" s="10">
        <v>0.59755643026891492</v>
      </c>
      <c r="G1507" s="10">
        <v>0.26218292534970061</v>
      </c>
      <c r="H1507" s="6">
        <v>0.12023862397736609</v>
      </c>
      <c r="I1507" s="10">
        <v>11.246634175687131</v>
      </c>
      <c r="J1507" s="7">
        <v>3.8211011558315827E-2</v>
      </c>
      <c r="K1507" s="5">
        <v>0.1438545318699328</v>
      </c>
      <c r="L1507">
        <v>216.89783969500789</v>
      </c>
      <c r="M1507" s="10">
        <v>-0.63261096494228164</v>
      </c>
      <c r="N1507" s="24" t="s">
        <v>343</v>
      </c>
      <c r="O1507" s="24">
        <v>13.0433421034631</v>
      </c>
      <c r="P1507">
        <v>27.522173439516418</v>
      </c>
      <c r="Q1507" t="s">
        <v>348</v>
      </c>
      <c r="R1507" t="s">
        <v>353</v>
      </c>
      <c r="S1507" t="s">
        <v>343</v>
      </c>
      <c r="T1507" t="s">
        <v>343</v>
      </c>
    </row>
    <row r="1508" spans="2:20" x14ac:dyDescent="0.25">
      <c r="B1508">
        <v>1503</v>
      </c>
      <c r="C1508" t="s">
        <v>1847</v>
      </c>
      <c r="D1508" s="10">
        <v>0.22338763065748091</v>
      </c>
      <c r="E1508" s="10">
        <v>1.1814434913410199</v>
      </c>
      <c r="F1508" s="10">
        <v>0.49350033570813662</v>
      </c>
      <c r="G1508" s="10">
        <v>0.29252861168764932</v>
      </c>
      <c r="H1508" s="6">
        <v>0.24565774477876251</v>
      </c>
      <c r="I1508" s="10">
        <v>12.11314271871192</v>
      </c>
      <c r="J1508" s="7">
        <v>3.2627271984667423E-2</v>
      </c>
      <c r="K1508" s="5">
        <v>0.1667143225749379</v>
      </c>
      <c r="L1508">
        <v>252.70515954585721</v>
      </c>
      <c r="M1508" s="10">
        <v>-0.57195929267802648</v>
      </c>
      <c r="N1508" s="24" t="s">
        <v>343</v>
      </c>
      <c r="O1508" s="24">
        <v>16.682442439318411</v>
      </c>
      <c r="P1508">
        <v>14.77669496682816</v>
      </c>
      <c r="Q1508" t="s">
        <v>348</v>
      </c>
      <c r="R1508" t="s">
        <v>404</v>
      </c>
      <c r="S1508" t="s">
        <v>343</v>
      </c>
      <c r="T1508" t="s">
        <v>343</v>
      </c>
    </row>
    <row r="1509" spans="2:20" x14ac:dyDescent="0.25">
      <c r="B1509">
        <v>1504</v>
      </c>
      <c r="C1509" t="s">
        <v>1848</v>
      </c>
      <c r="D1509" s="10">
        <v>0.27127475307037802</v>
      </c>
      <c r="E1509" s="10">
        <v>1.1650003302626539</v>
      </c>
      <c r="F1509" s="10">
        <v>0.50693491873183238</v>
      </c>
      <c r="G1509" s="10">
        <v>0.24529708703182879</v>
      </c>
      <c r="H1509" s="6">
        <v>0.20994962419366289</v>
      </c>
      <c r="I1509" s="10">
        <v>8.0224392561344544</v>
      </c>
      <c r="J1509" s="7">
        <v>1.7732049029736879E-2</v>
      </c>
      <c r="K1509" s="5">
        <v>0.1065843125497537</v>
      </c>
      <c r="L1509">
        <v>290.82287879722219</v>
      </c>
      <c r="M1509" s="10">
        <v>-0.5073941862940633</v>
      </c>
      <c r="N1509" s="24" t="s">
        <v>343</v>
      </c>
      <c r="O1509" s="24">
        <v>20.556348822356199</v>
      </c>
      <c r="P1509">
        <v>22.536564617593498</v>
      </c>
      <c r="Q1509" t="s">
        <v>348</v>
      </c>
      <c r="R1509" t="s">
        <v>375</v>
      </c>
      <c r="S1509" t="s">
        <v>343</v>
      </c>
      <c r="T1509" t="s">
        <v>343</v>
      </c>
    </row>
    <row r="1510" spans="2:20" x14ac:dyDescent="0.25">
      <c r="B1510">
        <v>1505</v>
      </c>
      <c r="C1510" t="s">
        <v>1849</v>
      </c>
      <c r="D1510" s="10">
        <v>0.22216929620325529</v>
      </c>
      <c r="E1510" s="10">
        <v>0.51014967672082479</v>
      </c>
      <c r="F1510" s="10">
        <v>0.65236852597728556</v>
      </c>
      <c r="G1510" s="10">
        <v>0.24964256599777701</v>
      </c>
      <c r="H1510" s="6">
        <v>0.1452837844080456</v>
      </c>
      <c r="I1510" s="10">
        <v>8.0561154807116502</v>
      </c>
      <c r="J1510" s="7">
        <v>1.99427364398693E-2</v>
      </c>
      <c r="K1510" s="5">
        <v>0.1315872233911719</v>
      </c>
      <c r="L1510">
        <v>102.4105072052471</v>
      </c>
      <c r="M1510" s="10">
        <v>-0.82653355388503114</v>
      </c>
      <c r="N1510" s="24" t="s">
        <v>343</v>
      </c>
      <c r="O1510" s="24">
        <v>1.407986766898127</v>
      </c>
      <c r="P1510">
        <v>64.795025438346627</v>
      </c>
      <c r="Q1510" t="s">
        <v>47</v>
      </c>
      <c r="R1510" t="s">
        <v>350</v>
      </c>
      <c r="S1510" t="s">
        <v>343</v>
      </c>
      <c r="T1510" t="s">
        <v>343</v>
      </c>
    </row>
    <row r="1511" spans="2:20" x14ac:dyDescent="0.25">
      <c r="B1511">
        <v>1506</v>
      </c>
      <c r="C1511" t="s">
        <v>1850</v>
      </c>
      <c r="D1511" s="10">
        <v>0.2317909796196049</v>
      </c>
      <c r="E1511" s="10">
        <v>1.0151798857694081</v>
      </c>
      <c r="F1511" s="10">
        <v>0.49436189276567422</v>
      </c>
      <c r="G1511" s="10">
        <v>0.24651592880791029</v>
      </c>
      <c r="H1511" s="6">
        <v>0.12452095397656179</v>
      </c>
      <c r="I1511" s="10">
        <v>8.874044391061803</v>
      </c>
      <c r="J1511" s="7">
        <v>3.3299701556212959E-2</v>
      </c>
      <c r="K1511" s="5">
        <v>0.17812512158637131</v>
      </c>
      <c r="L1511">
        <v>120.2862329201885</v>
      </c>
      <c r="M1511" s="10">
        <v>-0.79625503368121797</v>
      </c>
      <c r="N1511" s="24" t="s">
        <v>343</v>
      </c>
      <c r="O1511" s="24">
        <v>3.224697979126915</v>
      </c>
      <c r="P1511">
        <v>25.96001757508235</v>
      </c>
      <c r="Q1511" t="s">
        <v>348</v>
      </c>
      <c r="R1511" t="s">
        <v>375</v>
      </c>
      <c r="S1511" t="s">
        <v>343</v>
      </c>
      <c r="T1511" t="s">
        <v>343</v>
      </c>
    </row>
    <row r="1512" spans="2:20" x14ac:dyDescent="0.25">
      <c r="B1512">
        <v>1507</v>
      </c>
      <c r="C1512" t="s">
        <v>1851</v>
      </c>
      <c r="D1512" s="10">
        <v>0.1980070609398924</v>
      </c>
      <c r="E1512" s="10">
        <v>0.51961282109946749</v>
      </c>
      <c r="F1512" s="10">
        <v>0.52688100872025412</v>
      </c>
      <c r="G1512" s="10">
        <v>0.41615011841381122</v>
      </c>
      <c r="H1512" s="6">
        <v>0.16372236465625969</v>
      </c>
      <c r="I1512" s="10">
        <v>5.6802825143583551</v>
      </c>
      <c r="J1512" s="7">
        <v>2.5962489552516892E-2</v>
      </c>
      <c r="K1512" s="5">
        <v>0.1385727115134667</v>
      </c>
      <c r="L1512">
        <v>156.13246148814179</v>
      </c>
      <c r="M1512" s="10">
        <v>-0.73553745649115854</v>
      </c>
      <c r="N1512" s="24" t="s">
        <v>343</v>
      </c>
      <c r="O1512" s="24">
        <v>6.8677526105304878</v>
      </c>
      <c r="P1512">
        <v>25.885597947920619</v>
      </c>
      <c r="Q1512" t="s">
        <v>348</v>
      </c>
      <c r="R1512" t="s">
        <v>353</v>
      </c>
      <c r="S1512" t="s">
        <v>343</v>
      </c>
      <c r="T1512" t="s">
        <v>343</v>
      </c>
    </row>
    <row r="1513" spans="2:20" x14ac:dyDescent="0.25">
      <c r="B1513">
        <v>1508</v>
      </c>
      <c r="C1513" t="s">
        <v>1852</v>
      </c>
      <c r="D1513" s="10">
        <v>0.2197202866606944</v>
      </c>
      <c r="E1513" s="10">
        <v>0.94165252606814787</v>
      </c>
      <c r="F1513" s="10">
        <v>0.61273325983020754</v>
      </c>
      <c r="G1513" s="10">
        <v>0.30562438925477092</v>
      </c>
      <c r="H1513" s="6">
        <v>0.25918306432104971</v>
      </c>
      <c r="I1513" s="10">
        <v>11.06852748337417</v>
      </c>
      <c r="J1513" s="7">
        <v>2.415217265756495E-2</v>
      </c>
      <c r="K1513" s="5">
        <v>0.1593434610749693</v>
      </c>
      <c r="L1513">
        <v>183.55188404386629</v>
      </c>
      <c r="M1513" s="10">
        <v>-0.68909349370779238</v>
      </c>
      <c r="N1513" s="24" t="s">
        <v>343</v>
      </c>
      <c r="O1513" s="24">
        <v>9.654390377532458</v>
      </c>
      <c r="P1513">
        <v>55.068405228244899</v>
      </c>
      <c r="Q1513" t="s">
        <v>47</v>
      </c>
      <c r="R1513" t="s">
        <v>350</v>
      </c>
      <c r="S1513" t="s">
        <v>343</v>
      </c>
      <c r="T1513" t="s">
        <v>343</v>
      </c>
    </row>
    <row r="1514" spans="2:20" x14ac:dyDescent="0.25">
      <c r="B1514">
        <v>1509</v>
      </c>
      <c r="C1514" t="s">
        <v>1853</v>
      </c>
      <c r="D1514" s="10">
        <v>0.1963631403621042</v>
      </c>
      <c r="E1514" s="10">
        <v>1.045178152890931</v>
      </c>
      <c r="F1514" s="10">
        <v>0.5858892202841004</v>
      </c>
      <c r="G1514" s="10">
        <v>0.3485065167058376</v>
      </c>
      <c r="H1514" s="6">
        <v>0.26002367550534189</v>
      </c>
      <c r="I1514" s="10">
        <v>12.12399843740617</v>
      </c>
      <c r="J1514" s="7">
        <v>1.078581836834876E-2</v>
      </c>
      <c r="K1514" s="5">
        <v>0.1091517650678507</v>
      </c>
      <c r="L1514">
        <v>306.29579580108009</v>
      </c>
      <c r="M1514" s="10">
        <v>-0.48118562628457251</v>
      </c>
      <c r="N1514" s="24" t="s">
        <v>343</v>
      </c>
      <c r="O1514" s="24">
        <v>22.12886242292565</v>
      </c>
      <c r="P1514">
        <v>50.145270574577808</v>
      </c>
      <c r="Q1514" t="s">
        <v>47</v>
      </c>
      <c r="R1514" t="s">
        <v>350</v>
      </c>
      <c r="S1514" t="s">
        <v>343</v>
      </c>
      <c r="T1514" t="s">
        <v>343</v>
      </c>
    </row>
    <row r="1515" spans="2:20" x14ac:dyDescent="0.25">
      <c r="B1515">
        <v>1510</v>
      </c>
      <c r="C1515" t="s">
        <v>1854</v>
      </c>
      <c r="D1515" s="10">
        <v>0.171711347802951</v>
      </c>
      <c r="E1515" s="10">
        <v>1.396958578746345</v>
      </c>
      <c r="F1515" s="10">
        <v>0.55982625336079173</v>
      </c>
      <c r="G1515" s="10">
        <v>0.41332573799134359</v>
      </c>
      <c r="H1515" s="6">
        <v>0.16665052294531771</v>
      </c>
      <c r="I1515" s="10">
        <v>12.979465019209361</v>
      </c>
      <c r="J1515" s="7">
        <v>4.0952917358954358E-2</v>
      </c>
      <c r="K1515" s="5">
        <v>0.17381936764248501</v>
      </c>
      <c r="L1515">
        <v>558.7451279134059</v>
      </c>
      <c r="M1515" s="10">
        <v>-5.3578248285189617E-2</v>
      </c>
      <c r="N1515" s="24" t="s">
        <v>343</v>
      </c>
      <c r="O1515" s="24">
        <v>77.640265651627942</v>
      </c>
      <c r="P1515">
        <v>18.298715777112751</v>
      </c>
      <c r="Q1515" t="s">
        <v>348</v>
      </c>
      <c r="R1515" t="s">
        <v>353</v>
      </c>
      <c r="S1515" t="s">
        <v>343</v>
      </c>
      <c r="T1515" t="s">
        <v>343</v>
      </c>
    </row>
    <row r="1516" spans="2:20" x14ac:dyDescent="0.25">
      <c r="B1516">
        <v>1511</v>
      </c>
      <c r="C1516" t="s">
        <v>1855</v>
      </c>
      <c r="D1516" s="10">
        <v>0.25655177494102038</v>
      </c>
      <c r="E1516" s="10">
        <v>0.33359617596471219</v>
      </c>
      <c r="F1516" s="10">
        <v>0.67393268365473347</v>
      </c>
      <c r="G1516" s="10">
        <v>0.34888760579547801</v>
      </c>
      <c r="H1516" s="6">
        <v>0.2453896489231075</v>
      </c>
      <c r="I1516" s="10">
        <v>8.6873723321304848</v>
      </c>
      <c r="J1516" s="7">
        <v>4.0957422644287547E-2</v>
      </c>
      <c r="K1516" s="5">
        <v>0.10954422154403801</v>
      </c>
      <c r="L1516">
        <v>153.0339559640056</v>
      </c>
      <c r="M1516" s="10">
        <v>-0.74078581192076587</v>
      </c>
      <c r="N1516" s="24" t="s">
        <v>343</v>
      </c>
      <c r="O1516" s="24">
        <v>6.5528512847540554</v>
      </c>
      <c r="P1516">
        <v>51.751564571844369</v>
      </c>
      <c r="Q1516" t="s">
        <v>47</v>
      </c>
      <c r="R1516" t="s">
        <v>350</v>
      </c>
      <c r="S1516" t="s">
        <v>343</v>
      </c>
      <c r="T1516" t="s">
        <v>343</v>
      </c>
    </row>
    <row r="1517" spans="2:20" x14ac:dyDescent="0.25">
      <c r="B1517">
        <v>1512</v>
      </c>
      <c r="C1517" t="s">
        <v>1856</v>
      </c>
      <c r="D1517" s="10">
        <v>0.26691404776880262</v>
      </c>
      <c r="E1517" s="10">
        <v>0.400366633525093</v>
      </c>
      <c r="F1517" s="10">
        <v>0.49712472030591343</v>
      </c>
      <c r="G1517" s="10">
        <v>0.33442313377741117</v>
      </c>
      <c r="H1517" s="6">
        <v>0.1862767984885644</v>
      </c>
      <c r="I1517" s="10">
        <v>7.56034156300076</v>
      </c>
      <c r="J1517" s="7">
        <v>2.6133989365365071E-2</v>
      </c>
      <c r="K1517" s="5">
        <v>0.18184489917776189</v>
      </c>
      <c r="L1517">
        <v>95.965776304255016</v>
      </c>
      <c r="M1517" s="10">
        <v>-0.83744986116707476</v>
      </c>
      <c r="N1517" s="24" t="s">
        <v>343</v>
      </c>
      <c r="O1517" s="24">
        <v>0.75300832997551481</v>
      </c>
      <c r="P1517">
        <v>62.191591777494779</v>
      </c>
      <c r="Q1517" t="s">
        <v>47</v>
      </c>
      <c r="R1517" t="s">
        <v>350</v>
      </c>
      <c r="S1517" t="s">
        <v>343</v>
      </c>
      <c r="T1517" t="s">
        <v>343</v>
      </c>
    </row>
    <row r="1518" spans="2:20" x14ac:dyDescent="0.25">
      <c r="B1518">
        <v>1513</v>
      </c>
      <c r="C1518" t="s">
        <v>1857</v>
      </c>
      <c r="D1518" s="10">
        <v>0.25911845536153832</v>
      </c>
      <c r="E1518" s="10">
        <v>0.38472936600835461</v>
      </c>
      <c r="F1518" s="10">
        <v>0.63276917162437996</v>
      </c>
      <c r="G1518" s="10">
        <v>0.2425461054276809</v>
      </c>
      <c r="H1518" s="6">
        <v>0.21815171237048919</v>
      </c>
      <c r="I1518" s="10">
        <v>12.14026568779458</v>
      </c>
      <c r="J1518" s="7">
        <v>3.4525872301898859E-2</v>
      </c>
      <c r="K1518" s="5">
        <v>0.1101270992645204</v>
      </c>
      <c r="L1518">
        <v>164.39755743532291</v>
      </c>
      <c r="M1518" s="10">
        <v>-0.72153775216508431</v>
      </c>
      <c r="N1518" s="24" t="s">
        <v>343</v>
      </c>
      <c r="O1518" s="24">
        <v>7.7077348700949386</v>
      </c>
      <c r="P1518">
        <v>53.484795089395632</v>
      </c>
      <c r="Q1518" t="s">
        <v>47</v>
      </c>
      <c r="R1518" t="s">
        <v>350</v>
      </c>
      <c r="S1518" t="s">
        <v>343</v>
      </c>
      <c r="T1518" t="s">
        <v>343</v>
      </c>
    </row>
    <row r="1519" spans="2:20" x14ac:dyDescent="0.25">
      <c r="B1519">
        <v>1514</v>
      </c>
      <c r="C1519" t="s">
        <v>1858</v>
      </c>
      <c r="D1519" s="10">
        <v>0.23415904700809159</v>
      </c>
      <c r="E1519" s="10">
        <v>0.73819741489341406</v>
      </c>
      <c r="F1519" s="10">
        <v>0.48135659856072771</v>
      </c>
      <c r="G1519" s="10">
        <v>0.36496869055808628</v>
      </c>
      <c r="H1519" s="6">
        <v>0.17016658138066351</v>
      </c>
      <c r="I1519" s="10">
        <v>11.27932358070812</v>
      </c>
      <c r="J1519" s="7">
        <v>1.622367738073589E-2</v>
      </c>
      <c r="K1519" s="5">
        <v>0.18463481250111929</v>
      </c>
      <c r="L1519">
        <v>84.306261891000347</v>
      </c>
      <c r="M1519" s="10">
        <v>-0.8571991484608098</v>
      </c>
      <c r="N1519" s="24" t="s">
        <v>343</v>
      </c>
      <c r="O1519" s="24">
        <v>0</v>
      </c>
      <c r="P1519">
        <v>24.174856585268021</v>
      </c>
      <c r="Q1519" t="s">
        <v>348</v>
      </c>
      <c r="R1519" t="s">
        <v>371</v>
      </c>
      <c r="S1519" t="s">
        <v>343</v>
      </c>
      <c r="T1519" t="s">
        <v>343</v>
      </c>
    </row>
    <row r="1520" spans="2:20" x14ac:dyDescent="0.25">
      <c r="B1520">
        <v>1515</v>
      </c>
      <c r="C1520" t="s">
        <v>1859</v>
      </c>
      <c r="D1520" s="10">
        <v>0.22076572482867679</v>
      </c>
      <c r="E1520" s="10">
        <v>1.203747197634395</v>
      </c>
      <c r="F1520" s="10">
        <v>0.6000907967053577</v>
      </c>
      <c r="G1520" s="10">
        <v>0.26744347719015898</v>
      </c>
      <c r="H1520" s="6">
        <v>0.19739588944064779</v>
      </c>
      <c r="I1520" s="10">
        <v>12.540005416801121</v>
      </c>
      <c r="J1520" s="7">
        <v>2.7633385860432791E-2</v>
      </c>
      <c r="K1520" s="5">
        <v>0.1345581380515791</v>
      </c>
      <c r="L1520">
        <v>171.95856919212699</v>
      </c>
      <c r="M1520" s="10">
        <v>-0.70873064990303147</v>
      </c>
      <c r="N1520" s="24" t="s">
        <v>343</v>
      </c>
      <c r="O1520" s="24">
        <v>8.4761610058181098</v>
      </c>
      <c r="P1520">
        <v>54.744861615064828</v>
      </c>
      <c r="Q1520" t="s">
        <v>47</v>
      </c>
      <c r="R1520" t="s">
        <v>350</v>
      </c>
      <c r="S1520" t="s">
        <v>343</v>
      </c>
      <c r="T1520" t="s">
        <v>343</v>
      </c>
    </row>
    <row r="1521" spans="2:20" x14ac:dyDescent="0.25">
      <c r="B1521">
        <v>1516</v>
      </c>
      <c r="C1521" t="s">
        <v>1860</v>
      </c>
      <c r="D1521" s="10">
        <v>0.29813338393149202</v>
      </c>
      <c r="E1521" s="10">
        <v>1.2284619660658489</v>
      </c>
      <c r="F1521" s="10">
        <v>0.66636212648694138</v>
      </c>
      <c r="G1521" s="10">
        <v>0.40822261297402579</v>
      </c>
      <c r="H1521" s="6">
        <v>0.16406691698254899</v>
      </c>
      <c r="I1521" s="10">
        <v>10.213041631976489</v>
      </c>
      <c r="J1521" s="7">
        <v>2.536029746649493E-2</v>
      </c>
      <c r="K1521" s="5">
        <v>0.15933041951855931</v>
      </c>
      <c r="L1521">
        <v>453.691567944913</v>
      </c>
      <c r="M1521" s="10">
        <v>-0.23152158824871369</v>
      </c>
      <c r="N1521" s="24" t="s">
        <v>343</v>
      </c>
      <c r="O1521" s="24">
        <v>37.10870470507718</v>
      </c>
      <c r="P1521">
        <v>56.556658014131713</v>
      </c>
      <c r="Q1521" t="s">
        <v>47</v>
      </c>
      <c r="R1521" t="s">
        <v>350</v>
      </c>
      <c r="S1521" t="s">
        <v>343</v>
      </c>
      <c r="T1521" t="s">
        <v>343</v>
      </c>
    </row>
    <row r="1522" spans="2:20" x14ac:dyDescent="0.25">
      <c r="B1522">
        <v>1517</v>
      </c>
      <c r="C1522" t="s">
        <v>1861</v>
      </c>
      <c r="D1522" s="10">
        <v>0.2430530856217949</v>
      </c>
      <c r="E1522" s="10">
        <v>1.1106775552932671</v>
      </c>
      <c r="F1522" s="10">
        <v>0.55905446422431582</v>
      </c>
      <c r="G1522" s="10">
        <v>0.2967022992393043</v>
      </c>
      <c r="H1522" s="6">
        <v>0.1291671543534694</v>
      </c>
      <c r="I1522" s="10">
        <v>12.71644633820153</v>
      </c>
      <c r="J1522" s="7">
        <v>3.2981474978406623E-2</v>
      </c>
      <c r="K1522" s="5">
        <v>0.18042230240565349</v>
      </c>
      <c r="L1522">
        <v>180.39173478494311</v>
      </c>
      <c r="M1522" s="10">
        <v>-0.6944462634195917</v>
      </c>
      <c r="N1522" s="24" t="s">
        <v>343</v>
      </c>
      <c r="O1522" s="24">
        <v>9.3332241948244992</v>
      </c>
      <c r="P1522">
        <v>53.562786217091357</v>
      </c>
      <c r="Q1522" t="s">
        <v>47</v>
      </c>
      <c r="R1522" t="s">
        <v>350</v>
      </c>
      <c r="S1522" t="s">
        <v>343</v>
      </c>
      <c r="T1522" t="s">
        <v>343</v>
      </c>
    </row>
    <row r="1523" spans="2:20" x14ac:dyDescent="0.25">
      <c r="B1523">
        <v>1518</v>
      </c>
      <c r="C1523" t="s">
        <v>1862</v>
      </c>
      <c r="D1523" s="10">
        <v>0.23666910042075701</v>
      </c>
      <c r="E1523" s="10">
        <v>1.2865660660129421</v>
      </c>
      <c r="F1523" s="10">
        <v>0.62831657186974543</v>
      </c>
      <c r="G1523" s="10">
        <v>0.38832123037790411</v>
      </c>
      <c r="H1523" s="6">
        <v>0.1409067279287308</v>
      </c>
      <c r="I1523" s="10">
        <v>3.9794583264985341</v>
      </c>
      <c r="J1523" s="7">
        <v>2.6437606540047141E-2</v>
      </c>
      <c r="K1523" s="5">
        <v>0.1009729349941038</v>
      </c>
      <c r="L1523">
        <v>376.08377790160682</v>
      </c>
      <c r="M1523" s="10">
        <v>-0.36297633734656037</v>
      </c>
      <c r="N1523" s="24" t="s">
        <v>343</v>
      </c>
      <c r="O1523" s="24">
        <v>29.22141975920638</v>
      </c>
      <c r="P1523">
        <v>60.723516721194862</v>
      </c>
      <c r="Q1523" t="s">
        <v>47</v>
      </c>
      <c r="R1523" t="s">
        <v>350</v>
      </c>
      <c r="S1523" t="s">
        <v>343</v>
      </c>
      <c r="T1523" t="s">
        <v>343</v>
      </c>
    </row>
    <row r="1524" spans="2:20" x14ac:dyDescent="0.25">
      <c r="B1524">
        <v>1519</v>
      </c>
      <c r="C1524" t="s">
        <v>1863</v>
      </c>
      <c r="D1524" s="10">
        <v>0.16410273052902971</v>
      </c>
      <c r="E1524" s="10">
        <v>0.65514593858639769</v>
      </c>
      <c r="F1524" s="10">
        <v>0.65330227177973688</v>
      </c>
      <c r="G1524" s="10">
        <v>0.38216917612142948</v>
      </c>
      <c r="H1524" s="6">
        <v>0.1636011741709856</v>
      </c>
      <c r="I1524" s="10">
        <v>10.475177354540451</v>
      </c>
      <c r="J1524" s="7">
        <v>2.744519989341368E-2</v>
      </c>
      <c r="K1524" s="5">
        <v>0.12524085033359891</v>
      </c>
      <c r="L1524">
        <v>192.29312896859929</v>
      </c>
      <c r="M1524" s="10">
        <v>-0.67428727183570458</v>
      </c>
      <c r="N1524" s="24" t="s">
        <v>343</v>
      </c>
      <c r="O1524" s="24">
        <v>10.542763689857731</v>
      </c>
      <c r="P1524">
        <v>55.094799794665043</v>
      </c>
      <c r="Q1524" t="s">
        <v>47</v>
      </c>
      <c r="R1524" t="s">
        <v>350</v>
      </c>
      <c r="S1524" t="s">
        <v>343</v>
      </c>
      <c r="T1524" t="s">
        <v>343</v>
      </c>
    </row>
    <row r="1525" spans="2:20" x14ac:dyDescent="0.25">
      <c r="B1525">
        <v>1520</v>
      </c>
      <c r="C1525" t="s">
        <v>1864</v>
      </c>
      <c r="D1525" s="10">
        <v>0.214599652420185</v>
      </c>
      <c r="E1525" s="10">
        <v>0.39697010867752902</v>
      </c>
      <c r="F1525" s="10">
        <v>0.47536687046817672</v>
      </c>
      <c r="G1525" s="10">
        <v>0.37566863264460443</v>
      </c>
      <c r="H1525" s="6">
        <v>0.26643806759641953</v>
      </c>
      <c r="I1525" s="10">
        <v>3.9767459733594399</v>
      </c>
      <c r="J1525" s="7">
        <v>2.0349935995467489E-2</v>
      </c>
      <c r="K1525" s="5">
        <v>0.18629214052278989</v>
      </c>
      <c r="L1525">
        <v>59.841343317880323</v>
      </c>
      <c r="M1525" s="10">
        <v>-0.89863867058783031</v>
      </c>
      <c r="N1525" s="24" t="s">
        <v>343</v>
      </c>
      <c r="O1525" s="24">
        <v>0</v>
      </c>
      <c r="P1525">
        <v>57.314123533811802</v>
      </c>
      <c r="Q1525" t="s">
        <v>47</v>
      </c>
      <c r="R1525" t="s">
        <v>350</v>
      </c>
      <c r="S1525" t="s">
        <v>343</v>
      </c>
      <c r="T1525" t="s">
        <v>343</v>
      </c>
    </row>
    <row r="1526" spans="2:20" x14ac:dyDescent="0.25">
      <c r="B1526">
        <v>1521</v>
      </c>
      <c r="C1526" t="s">
        <v>1865</v>
      </c>
      <c r="D1526" s="10">
        <v>0.22083129900573709</v>
      </c>
      <c r="E1526" s="10">
        <v>0.36396833078883511</v>
      </c>
      <c r="F1526" s="10">
        <v>0.62351499277334854</v>
      </c>
      <c r="G1526" s="10">
        <v>0.29872944165818238</v>
      </c>
      <c r="H1526" s="6">
        <v>0.26485082253749881</v>
      </c>
      <c r="I1526" s="10">
        <v>11.23798407622866</v>
      </c>
      <c r="J1526" s="7">
        <v>1.1694810890660309E-2</v>
      </c>
      <c r="K1526" s="5">
        <v>0.13687672575555709</v>
      </c>
      <c r="L1526">
        <v>84.964274988796817</v>
      </c>
      <c r="M1526" s="10">
        <v>-0.85608458320098646</v>
      </c>
      <c r="N1526" s="24" t="s">
        <v>343</v>
      </c>
      <c r="O1526" s="24">
        <v>0</v>
      </c>
      <c r="P1526">
        <v>54.8204108492898</v>
      </c>
      <c r="Q1526" t="s">
        <v>47</v>
      </c>
      <c r="R1526" t="s">
        <v>350</v>
      </c>
      <c r="S1526" t="s">
        <v>343</v>
      </c>
      <c r="T1526" t="s">
        <v>343</v>
      </c>
    </row>
    <row r="1527" spans="2:20" x14ac:dyDescent="0.25">
      <c r="B1527">
        <v>1522</v>
      </c>
      <c r="C1527" t="s">
        <v>1866</v>
      </c>
      <c r="D1527" s="10">
        <v>0.22381164494350411</v>
      </c>
      <c r="E1527" s="10">
        <v>1.237345991581325</v>
      </c>
      <c r="F1527" s="10">
        <v>0.67915866623705579</v>
      </c>
      <c r="G1527" s="10">
        <v>0.298759750978625</v>
      </c>
      <c r="H1527" s="6">
        <v>0.24414950137267971</v>
      </c>
      <c r="I1527" s="10">
        <v>9.9128825714623385</v>
      </c>
      <c r="J1527" s="7">
        <v>4.2095901565608669E-2</v>
      </c>
      <c r="K1527" s="5">
        <v>0.16710571295077431</v>
      </c>
      <c r="L1527">
        <v>249.68129289034141</v>
      </c>
      <c r="M1527" s="10">
        <v>-0.57708122221994962</v>
      </c>
      <c r="N1527" s="24" t="s">
        <v>343</v>
      </c>
      <c r="O1527" s="24">
        <v>16.37512666680302</v>
      </c>
      <c r="P1527">
        <v>59.097548355043223</v>
      </c>
      <c r="Q1527" t="s">
        <v>47</v>
      </c>
      <c r="R1527" t="s">
        <v>350</v>
      </c>
      <c r="S1527" t="s">
        <v>343</v>
      </c>
      <c r="T1527" t="s">
        <v>343</v>
      </c>
    </row>
    <row r="1528" spans="2:20" x14ac:dyDescent="0.25">
      <c r="B1528">
        <v>1523</v>
      </c>
      <c r="C1528" t="s">
        <v>1867</v>
      </c>
      <c r="D1528" s="10">
        <v>0.25282757907637321</v>
      </c>
      <c r="E1528" s="10">
        <v>1.10347992378906</v>
      </c>
      <c r="F1528" s="10">
        <v>0.58985635856244145</v>
      </c>
      <c r="G1528" s="10">
        <v>0.42987056955709257</v>
      </c>
      <c r="H1528" s="6">
        <v>0.154875907664413</v>
      </c>
      <c r="I1528" s="10">
        <v>3.1759122373973421</v>
      </c>
      <c r="J1528" s="7">
        <v>1.0428106822759841E-2</v>
      </c>
      <c r="K1528" s="5">
        <v>0.1133011453345827</v>
      </c>
      <c r="L1528">
        <v>318.29526421682772</v>
      </c>
      <c r="M1528" s="10">
        <v>-0.46086051318678378</v>
      </c>
      <c r="N1528" s="24" t="s">
        <v>343</v>
      </c>
      <c r="O1528" s="24">
        <v>23.34836920879297</v>
      </c>
      <c r="P1528">
        <v>53.183033589259828</v>
      </c>
      <c r="Q1528" t="s">
        <v>47</v>
      </c>
      <c r="R1528" t="s">
        <v>350</v>
      </c>
      <c r="S1528" t="s">
        <v>343</v>
      </c>
      <c r="T1528" t="s">
        <v>343</v>
      </c>
    </row>
    <row r="1529" spans="2:20" x14ac:dyDescent="0.25">
      <c r="B1529">
        <v>1524</v>
      </c>
      <c r="C1529" t="s">
        <v>1868</v>
      </c>
      <c r="D1529" s="10">
        <v>0.2453764074763006</v>
      </c>
      <c r="E1529" s="10">
        <v>1.068476836612233</v>
      </c>
      <c r="F1529" s="10">
        <v>0.48839178357747659</v>
      </c>
      <c r="G1529" s="10">
        <v>0.24281761317869391</v>
      </c>
      <c r="H1529" s="6">
        <v>0.18624032108127339</v>
      </c>
      <c r="I1529" s="10">
        <v>9.5918708468078897</v>
      </c>
      <c r="J1529" s="7">
        <v>1.9846354999646449E-2</v>
      </c>
      <c r="K1529" s="5">
        <v>0.16444530213406999</v>
      </c>
      <c r="L1529">
        <v>179.28998403785329</v>
      </c>
      <c r="M1529" s="10">
        <v>-0.69631244680074755</v>
      </c>
      <c r="N1529" s="24" t="s">
        <v>343</v>
      </c>
      <c r="O1529" s="24">
        <v>9.2212531919551459</v>
      </c>
      <c r="P1529">
        <v>26.81678389044173</v>
      </c>
      <c r="Q1529" t="s">
        <v>348</v>
      </c>
      <c r="R1529" t="s">
        <v>375</v>
      </c>
      <c r="S1529" t="s">
        <v>343</v>
      </c>
      <c r="T1529" t="s">
        <v>343</v>
      </c>
    </row>
    <row r="1530" spans="2:20" x14ac:dyDescent="0.25">
      <c r="B1530">
        <v>1525</v>
      </c>
      <c r="C1530" t="s">
        <v>1869</v>
      </c>
      <c r="D1530" s="10">
        <v>0.25726481484695107</v>
      </c>
      <c r="E1530" s="10">
        <v>0.67364397240023566</v>
      </c>
      <c r="F1530" s="10">
        <v>0.47300505821312522</v>
      </c>
      <c r="G1530" s="10">
        <v>0.27993497935987072</v>
      </c>
      <c r="H1530" s="6">
        <v>0.18596742577360559</v>
      </c>
      <c r="I1530" s="10">
        <v>4.609077894145412</v>
      </c>
      <c r="J1530" s="7">
        <v>2.566637737680055E-2</v>
      </c>
      <c r="K1530" s="5">
        <v>0.1069502945749741</v>
      </c>
      <c r="L1530">
        <v>142.61705314547771</v>
      </c>
      <c r="M1530" s="10">
        <v>-0.75843032087562889</v>
      </c>
      <c r="N1530" s="24" t="s">
        <v>343</v>
      </c>
      <c r="O1530" s="24">
        <v>5.4941807474622664</v>
      </c>
      <c r="P1530">
        <v>59.934395846165842</v>
      </c>
      <c r="Q1530" t="s">
        <v>47</v>
      </c>
      <c r="R1530" t="s">
        <v>350</v>
      </c>
      <c r="S1530" t="s">
        <v>343</v>
      </c>
      <c r="T1530" t="s">
        <v>343</v>
      </c>
    </row>
    <row r="1531" spans="2:20" x14ac:dyDescent="0.25">
      <c r="B1531">
        <v>1526</v>
      </c>
      <c r="C1531" t="s">
        <v>1870</v>
      </c>
      <c r="D1531" s="10">
        <v>0.28238132184674047</v>
      </c>
      <c r="E1531" s="10">
        <v>0.71789570748004872</v>
      </c>
      <c r="F1531" s="10">
        <v>0.50753118592135449</v>
      </c>
      <c r="G1531" s="10">
        <v>0.37423760188123673</v>
      </c>
      <c r="H1531" s="6">
        <v>0.17804598672272759</v>
      </c>
      <c r="I1531" s="10">
        <v>4.5665256175697682</v>
      </c>
      <c r="J1531" s="7">
        <v>2.1168232400234091E-2</v>
      </c>
      <c r="K1531" s="5">
        <v>0.1681458882776434</v>
      </c>
      <c r="L1531">
        <v>134.60957240557599</v>
      </c>
      <c r="M1531" s="10">
        <v>-0.77199366768633226</v>
      </c>
      <c r="N1531" s="24" t="s">
        <v>343</v>
      </c>
      <c r="O1531" s="24">
        <v>4.6803799388200673</v>
      </c>
      <c r="P1531">
        <v>65.774980541853182</v>
      </c>
      <c r="Q1531" t="s">
        <v>47</v>
      </c>
      <c r="R1531" t="s">
        <v>350</v>
      </c>
      <c r="S1531" t="s">
        <v>343</v>
      </c>
      <c r="T1531" t="s">
        <v>343</v>
      </c>
    </row>
    <row r="1532" spans="2:20" x14ac:dyDescent="0.25">
      <c r="B1532">
        <v>1527</v>
      </c>
      <c r="C1532" t="s">
        <v>1871</v>
      </c>
      <c r="D1532" s="10">
        <v>0.29007771819457501</v>
      </c>
      <c r="E1532" s="10">
        <v>1.3539248817892511</v>
      </c>
      <c r="F1532" s="10">
        <v>0.46691344994433748</v>
      </c>
      <c r="G1532" s="10">
        <v>0.41975017596869729</v>
      </c>
      <c r="H1532" s="6">
        <v>0.12673204576346181</v>
      </c>
      <c r="I1532" s="10">
        <v>4.6550931282227959</v>
      </c>
      <c r="J1532" s="7">
        <v>2.931712545221446E-2</v>
      </c>
      <c r="K1532" s="5">
        <v>0.13076147066674401</v>
      </c>
      <c r="L1532">
        <v>349.73372215539149</v>
      </c>
      <c r="M1532" s="10">
        <v>-0.40760896977817762</v>
      </c>
      <c r="N1532" s="24" t="s">
        <v>343</v>
      </c>
      <c r="O1532" s="24">
        <v>26.543461813309349</v>
      </c>
      <c r="P1532">
        <v>48.16232777996494</v>
      </c>
      <c r="Q1532" t="s">
        <v>346</v>
      </c>
      <c r="R1532" t="s">
        <v>347</v>
      </c>
      <c r="S1532" t="s">
        <v>343</v>
      </c>
      <c r="T1532" t="s">
        <v>343</v>
      </c>
    </row>
    <row r="1533" spans="2:20" x14ac:dyDescent="0.25">
      <c r="B1533">
        <v>1528</v>
      </c>
      <c r="C1533" t="s">
        <v>1872</v>
      </c>
      <c r="D1533" s="10">
        <v>0.27489969219623911</v>
      </c>
      <c r="E1533" s="10">
        <v>0.37018521850772851</v>
      </c>
      <c r="F1533" s="10">
        <v>0.57348245861211233</v>
      </c>
      <c r="G1533" s="10">
        <v>0.3188360119080289</v>
      </c>
      <c r="H1533" s="6">
        <v>0.2001791061336477</v>
      </c>
      <c r="I1533" s="10">
        <v>8.3220596247152656</v>
      </c>
      <c r="J1533" s="7">
        <v>2.615645553096806E-2</v>
      </c>
      <c r="K1533" s="5">
        <v>0.14425552731556029</v>
      </c>
      <c r="L1533">
        <v>145.64849173733921</v>
      </c>
      <c r="M1533" s="10">
        <v>-0.75329556572699863</v>
      </c>
      <c r="N1533" s="24" t="s">
        <v>343</v>
      </c>
      <c r="O1533" s="24">
        <v>5.802266056380077</v>
      </c>
      <c r="P1533">
        <v>36.062148006790068</v>
      </c>
      <c r="Q1533" t="s">
        <v>348</v>
      </c>
      <c r="R1533" t="s">
        <v>353</v>
      </c>
      <c r="S1533" t="s">
        <v>343</v>
      </c>
      <c r="T1533" t="s">
        <v>343</v>
      </c>
    </row>
    <row r="1534" spans="2:20" x14ac:dyDescent="0.25">
      <c r="B1534">
        <v>1529</v>
      </c>
      <c r="C1534" t="s">
        <v>1873</v>
      </c>
      <c r="D1534" s="10">
        <v>0.31288379135278949</v>
      </c>
      <c r="E1534" s="10">
        <v>1.1511049106315721</v>
      </c>
      <c r="F1534" s="10">
        <v>0.45812321750375101</v>
      </c>
      <c r="G1534" s="10">
        <v>0.38375756089437613</v>
      </c>
      <c r="H1534" s="6">
        <v>0.13092179881872909</v>
      </c>
      <c r="I1534" s="10">
        <v>4.2707227943506254</v>
      </c>
      <c r="J1534" s="7">
        <v>1.894166825522528E-2</v>
      </c>
      <c r="K1534" s="5">
        <v>0.1157947171918703</v>
      </c>
      <c r="L1534">
        <v>348.70879143820639</v>
      </c>
      <c r="M1534" s="10">
        <v>-0.40934503274550421</v>
      </c>
      <c r="N1534" s="24" t="s">
        <v>343</v>
      </c>
      <c r="O1534" s="24">
        <v>26.439298035269751</v>
      </c>
      <c r="P1534">
        <v>16.091792603360862</v>
      </c>
      <c r="Q1534" t="s">
        <v>348</v>
      </c>
      <c r="R1534" t="s">
        <v>375</v>
      </c>
      <c r="S1534" t="s">
        <v>343</v>
      </c>
      <c r="T1534" t="s">
        <v>343</v>
      </c>
    </row>
    <row r="1535" spans="2:20" x14ac:dyDescent="0.25">
      <c r="B1535">
        <v>1530</v>
      </c>
      <c r="C1535" t="s">
        <v>1874</v>
      </c>
      <c r="D1535" s="10">
        <v>0.16291721322821789</v>
      </c>
      <c r="E1535" s="10">
        <v>0.64059665607923244</v>
      </c>
      <c r="F1535" s="10">
        <v>0.49808520240541893</v>
      </c>
      <c r="G1535" s="10">
        <v>0.36257441231645199</v>
      </c>
      <c r="H1535" s="6">
        <v>0.2402878021076916</v>
      </c>
      <c r="I1535" s="10">
        <v>4.3822132329800052</v>
      </c>
      <c r="J1535" s="7">
        <v>1.3080704581690399E-2</v>
      </c>
      <c r="K1535" s="5">
        <v>0.15964565668475</v>
      </c>
      <c r="L1535">
        <v>97.4394895160072</v>
      </c>
      <c r="M1535" s="10">
        <v>-0.83495363494564834</v>
      </c>
      <c r="N1535" s="24" t="s">
        <v>343</v>
      </c>
      <c r="O1535" s="24">
        <v>0.90278190326110064</v>
      </c>
      <c r="P1535">
        <v>60.179146704920939</v>
      </c>
      <c r="Q1535" t="s">
        <v>47</v>
      </c>
      <c r="R1535" t="s">
        <v>350</v>
      </c>
      <c r="S1535" t="s">
        <v>343</v>
      </c>
      <c r="T1535" t="s">
        <v>343</v>
      </c>
    </row>
    <row r="1536" spans="2:20" x14ac:dyDescent="0.25">
      <c r="B1536">
        <v>1531</v>
      </c>
      <c r="C1536" t="s">
        <v>1875</v>
      </c>
      <c r="D1536" s="10">
        <v>0.19132447770936739</v>
      </c>
      <c r="E1536" s="10">
        <v>0.34296008025381169</v>
      </c>
      <c r="F1536" s="10">
        <v>0.5543767154171757</v>
      </c>
      <c r="G1536" s="10">
        <v>0.25419882298604779</v>
      </c>
      <c r="H1536" s="6">
        <v>0.22369607142671721</v>
      </c>
      <c r="I1536" s="10">
        <v>5.8178478474726418</v>
      </c>
      <c r="J1536" s="7">
        <v>1.4813734470445931E-2</v>
      </c>
      <c r="K1536" s="5">
        <v>0.13206892473419249</v>
      </c>
      <c r="L1536">
        <v>63.504329262058583</v>
      </c>
      <c r="M1536" s="10">
        <v>-0.89243417877106546</v>
      </c>
      <c r="N1536" s="24" t="s">
        <v>343</v>
      </c>
      <c r="O1536" s="24">
        <v>0</v>
      </c>
      <c r="P1536">
        <v>63.573424824195762</v>
      </c>
      <c r="Q1536" t="s">
        <v>47</v>
      </c>
      <c r="R1536" t="s">
        <v>350</v>
      </c>
      <c r="S1536" t="s">
        <v>343</v>
      </c>
      <c r="T1536" t="s">
        <v>343</v>
      </c>
    </row>
    <row r="1537" spans="2:20" x14ac:dyDescent="0.25">
      <c r="B1537">
        <v>1532</v>
      </c>
      <c r="C1537" t="s">
        <v>1876</v>
      </c>
      <c r="D1537" s="10">
        <v>0.1612100599965027</v>
      </c>
      <c r="E1537" s="10">
        <v>1.1168271218167021</v>
      </c>
      <c r="F1537" s="10">
        <v>0.56321783510452561</v>
      </c>
      <c r="G1537" s="10">
        <v>0.37678504332474921</v>
      </c>
      <c r="H1537" s="6">
        <v>0.17291055099653019</v>
      </c>
      <c r="I1537" s="10">
        <v>3.009440462105363</v>
      </c>
      <c r="J1537" s="7">
        <v>2.7021202423995489E-2</v>
      </c>
      <c r="K1537" s="5">
        <v>0.1364206255746889</v>
      </c>
      <c r="L1537">
        <v>160.98879336041489</v>
      </c>
      <c r="M1537" s="10">
        <v>-0.72731163421933109</v>
      </c>
      <c r="N1537" s="24" t="s">
        <v>343</v>
      </c>
      <c r="O1537" s="24">
        <v>7.3613019468401326</v>
      </c>
      <c r="P1537">
        <v>65.880331602921842</v>
      </c>
      <c r="Q1537" t="s">
        <v>47</v>
      </c>
      <c r="R1537" t="s">
        <v>350</v>
      </c>
      <c r="S1537" t="s">
        <v>343</v>
      </c>
      <c r="T1537" t="s">
        <v>343</v>
      </c>
    </row>
    <row r="1538" spans="2:20" x14ac:dyDescent="0.25">
      <c r="B1538">
        <v>1533</v>
      </c>
      <c r="C1538" t="s">
        <v>1877</v>
      </c>
      <c r="D1538" s="10">
        <v>0.26359595426473648</v>
      </c>
      <c r="E1538" s="10">
        <v>0.66400307424621197</v>
      </c>
      <c r="F1538" s="10">
        <v>0.58700360613821068</v>
      </c>
      <c r="G1538" s="10">
        <v>0.41905876389994862</v>
      </c>
      <c r="H1538" s="6">
        <v>0.2170704573318695</v>
      </c>
      <c r="I1538" s="10">
        <v>6.0336874365310287</v>
      </c>
      <c r="J1538" s="7">
        <v>3.960809368950087E-2</v>
      </c>
      <c r="K1538" s="5">
        <v>0.16195832787064299</v>
      </c>
      <c r="L1538">
        <v>184.00815871138809</v>
      </c>
      <c r="M1538" s="10">
        <v>-0.68832063995296555</v>
      </c>
      <c r="N1538" s="24" t="s">
        <v>343</v>
      </c>
      <c r="O1538" s="24">
        <v>9.700761602822066</v>
      </c>
      <c r="P1538">
        <v>59.012055117155619</v>
      </c>
      <c r="Q1538" t="s">
        <v>47</v>
      </c>
      <c r="R1538" t="s">
        <v>350</v>
      </c>
      <c r="S1538" t="s">
        <v>343</v>
      </c>
      <c r="T1538" t="s">
        <v>343</v>
      </c>
    </row>
    <row r="1539" spans="2:20" x14ac:dyDescent="0.25">
      <c r="B1539">
        <v>1534</v>
      </c>
      <c r="C1539" t="s">
        <v>1878</v>
      </c>
      <c r="D1539" s="10">
        <v>0.30368488783199787</v>
      </c>
      <c r="E1539" s="10">
        <v>1.0943622706170759</v>
      </c>
      <c r="F1539" s="10">
        <v>0.62345989031518889</v>
      </c>
      <c r="G1539" s="10">
        <v>0.45833863046587009</v>
      </c>
      <c r="H1539" s="6">
        <v>0.15495555098386471</v>
      </c>
      <c r="I1539" s="10">
        <v>9.802485434822362</v>
      </c>
      <c r="J1539" s="7">
        <v>1.352236121726931E-2</v>
      </c>
      <c r="K1539" s="5">
        <v>0.1169918578161423</v>
      </c>
      <c r="L1539">
        <v>435.01334533745847</v>
      </c>
      <c r="M1539" s="10">
        <v>-0.2631594053426749</v>
      </c>
      <c r="N1539" s="24" t="s">
        <v>343</v>
      </c>
      <c r="O1539" s="24">
        <v>35.210435679439513</v>
      </c>
      <c r="P1539">
        <v>12.565149855282749</v>
      </c>
      <c r="Q1539" t="s">
        <v>348</v>
      </c>
      <c r="R1539" t="s">
        <v>353</v>
      </c>
      <c r="S1539" t="s">
        <v>343</v>
      </c>
      <c r="T1539" t="s">
        <v>343</v>
      </c>
    </row>
    <row r="1540" spans="2:20" x14ac:dyDescent="0.25">
      <c r="B1540">
        <v>1535</v>
      </c>
      <c r="C1540" t="s">
        <v>1879</v>
      </c>
      <c r="D1540" s="10">
        <v>0.1989571674522079</v>
      </c>
      <c r="E1540" s="10">
        <v>1.0784198214299321</v>
      </c>
      <c r="F1540" s="10">
        <v>0.45227944631302158</v>
      </c>
      <c r="G1540" s="10">
        <v>0.24652081598337899</v>
      </c>
      <c r="H1540" s="6">
        <v>0.1597875097434949</v>
      </c>
      <c r="I1540" s="10">
        <v>9.6172761665490203</v>
      </c>
      <c r="J1540" s="7">
        <v>3.3702223482122873E-2</v>
      </c>
      <c r="K1540" s="5">
        <v>0.18094084488936321</v>
      </c>
      <c r="L1540">
        <v>143.80913244642451</v>
      </c>
      <c r="M1540" s="10">
        <v>-0.75641113587727682</v>
      </c>
      <c r="N1540" s="24" t="s">
        <v>343</v>
      </c>
      <c r="O1540" s="24">
        <v>5.6153318473633931</v>
      </c>
      <c r="P1540">
        <v>52.299865583156638</v>
      </c>
      <c r="Q1540" t="s">
        <v>47</v>
      </c>
      <c r="R1540" t="s">
        <v>350</v>
      </c>
      <c r="S1540" t="s">
        <v>343</v>
      </c>
      <c r="T1540" t="s">
        <v>343</v>
      </c>
    </row>
    <row r="1541" spans="2:20" x14ac:dyDescent="0.25">
      <c r="B1541">
        <v>1536</v>
      </c>
      <c r="C1541" t="s">
        <v>1880</v>
      </c>
      <c r="D1541" s="10">
        <v>0.30832552716740907</v>
      </c>
      <c r="E1541" s="10">
        <v>0.88826556297642645</v>
      </c>
      <c r="F1541" s="10">
        <v>0.46096144756570362</v>
      </c>
      <c r="G1541" s="10">
        <v>0.38521279796845098</v>
      </c>
      <c r="H1541" s="6">
        <v>0.16712002753881081</v>
      </c>
      <c r="I1541" s="10">
        <v>13.66487012981111</v>
      </c>
      <c r="J1541" s="7">
        <v>3.7723190104596308E-2</v>
      </c>
      <c r="K1541" s="5">
        <v>0.170232208529741</v>
      </c>
      <c r="L1541">
        <v>361.63438070698589</v>
      </c>
      <c r="M1541" s="10">
        <v>-0.3874512242332262</v>
      </c>
      <c r="N1541" s="24" t="s">
        <v>343</v>
      </c>
      <c r="O1541" s="24">
        <v>27.752926546006432</v>
      </c>
      <c r="P1541">
        <v>11.785641541689641</v>
      </c>
      <c r="Q1541" t="s">
        <v>348</v>
      </c>
      <c r="R1541" t="s">
        <v>371</v>
      </c>
      <c r="S1541" t="s">
        <v>343</v>
      </c>
      <c r="T1541" t="s">
        <v>343</v>
      </c>
    </row>
    <row r="1542" spans="2:20" x14ac:dyDescent="0.25">
      <c r="B1542">
        <v>1537</v>
      </c>
      <c r="C1542" t="s">
        <v>1881</v>
      </c>
      <c r="D1542" s="10">
        <v>0.16964278244632969</v>
      </c>
      <c r="E1542" s="10">
        <v>1.1551104421316041</v>
      </c>
      <c r="F1542" s="10">
        <v>0.45582337946924301</v>
      </c>
      <c r="G1542" s="10">
        <v>0.33120090169255167</v>
      </c>
      <c r="H1542" s="6">
        <v>0.23955173999029949</v>
      </c>
      <c r="I1542" s="10">
        <v>4.3159308687775511</v>
      </c>
      <c r="J1542" s="7">
        <v>1.968702974101549E-2</v>
      </c>
      <c r="K1542" s="5">
        <v>0.15488435029812539</v>
      </c>
      <c r="L1542">
        <v>130.0464835048806</v>
      </c>
      <c r="M1542" s="10">
        <v>-0.77972278490790703</v>
      </c>
      <c r="N1542" s="24" t="s">
        <v>343</v>
      </c>
      <c r="O1542" s="24">
        <v>4.2166329055255858</v>
      </c>
      <c r="P1542">
        <v>56.855436735387997</v>
      </c>
      <c r="Q1542" t="s">
        <v>47</v>
      </c>
      <c r="R1542" t="s">
        <v>350</v>
      </c>
      <c r="S1542" t="s">
        <v>343</v>
      </c>
      <c r="T1542" t="s">
        <v>343</v>
      </c>
    </row>
    <row r="1543" spans="2:20" x14ac:dyDescent="0.25">
      <c r="B1543">
        <v>1538</v>
      </c>
      <c r="C1543" t="s">
        <v>1882</v>
      </c>
      <c r="D1543" s="10">
        <v>0.30950976428888233</v>
      </c>
      <c r="E1543" s="10">
        <v>0.93914215658836775</v>
      </c>
      <c r="F1543" s="10">
        <v>0.55001908202087668</v>
      </c>
      <c r="G1543" s="10">
        <v>0.24215333551536519</v>
      </c>
      <c r="H1543" s="6">
        <v>0.1516037020269127</v>
      </c>
      <c r="I1543" s="10">
        <v>12.521284646121369</v>
      </c>
      <c r="J1543" s="7">
        <v>3.3388382249816481E-2</v>
      </c>
      <c r="K1543" s="5">
        <v>0.11219164137283261</v>
      </c>
      <c r="L1543">
        <v>222.82292827202559</v>
      </c>
      <c r="M1543" s="10">
        <v>-0.62257484573517963</v>
      </c>
      <c r="N1543" s="24" t="s">
        <v>343</v>
      </c>
      <c r="O1543" s="24">
        <v>13.64550925588922</v>
      </c>
      <c r="P1543">
        <v>48.044543214248371</v>
      </c>
      <c r="Q1543" t="s">
        <v>346</v>
      </c>
      <c r="R1543" t="s">
        <v>347</v>
      </c>
      <c r="S1543" t="s">
        <v>343</v>
      </c>
      <c r="T1543" t="s">
        <v>343</v>
      </c>
    </row>
    <row r="1544" spans="2:20" x14ac:dyDescent="0.25">
      <c r="B1544">
        <v>1539</v>
      </c>
      <c r="C1544" t="s">
        <v>1883</v>
      </c>
      <c r="D1544" s="10">
        <v>0.2162596299583415</v>
      </c>
      <c r="E1544" s="10">
        <v>0.61530053813308672</v>
      </c>
      <c r="F1544" s="10">
        <v>0.45088046566956291</v>
      </c>
      <c r="G1544" s="10">
        <v>0.37515940761587252</v>
      </c>
      <c r="H1544" s="6">
        <v>0.2044171841229058</v>
      </c>
      <c r="I1544" s="10">
        <v>7.3030873588624727</v>
      </c>
      <c r="J1544" s="7">
        <v>3.4033028063902078E-2</v>
      </c>
      <c r="K1544" s="5">
        <v>0.16527542096802339</v>
      </c>
      <c r="L1544">
        <v>92.154142492927974</v>
      </c>
      <c r="M1544" s="10">
        <v>-0.84390613786354129</v>
      </c>
      <c r="N1544" s="24" t="s">
        <v>343</v>
      </c>
      <c r="O1544" s="24">
        <v>0.36563172818752321</v>
      </c>
      <c r="P1544">
        <v>64.312697281738991</v>
      </c>
      <c r="Q1544" t="s">
        <v>47</v>
      </c>
      <c r="R1544" t="s">
        <v>350</v>
      </c>
      <c r="S1544" t="s">
        <v>343</v>
      </c>
      <c r="T1544" t="s">
        <v>343</v>
      </c>
    </row>
    <row r="1545" spans="2:20" x14ac:dyDescent="0.25">
      <c r="B1545">
        <v>1540</v>
      </c>
      <c r="C1545" t="s">
        <v>1884</v>
      </c>
      <c r="D1545" s="10">
        <v>0.17622733255187459</v>
      </c>
      <c r="E1545" s="10">
        <v>1.107526831170861</v>
      </c>
      <c r="F1545" s="10">
        <v>0.63398112937614481</v>
      </c>
      <c r="G1545" s="10">
        <v>0.26693400568223979</v>
      </c>
      <c r="H1545" s="6">
        <v>0.15007006716322269</v>
      </c>
      <c r="I1545" s="10">
        <v>7.2573991675781029</v>
      </c>
      <c r="J1545" s="7">
        <v>3.4772745585924907E-2</v>
      </c>
      <c r="K1545" s="5">
        <v>0.101719440348505</v>
      </c>
      <c r="L1545">
        <v>173.17091532440409</v>
      </c>
      <c r="M1545" s="10">
        <v>-0.70667713624738804</v>
      </c>
      <c r="N1545" s="24" t="s">
        <v>343</v>
      </c>
      <c r="O1545" s="24">
        <v>8.5993718251567159</v>
      </c>
      <c r="P1545">
        <v>54.581694815861717</v>
      </c>
      <c r="Q1545" t="s">
        <v>47</v>
      </c>
      <c r="R1545" t="s">
        <v>350</v>
      </c>
      <c r="S1545" t="s">
        <v>343</v>
      </c>
      <c r="T1545" t="s">
        <v>343</v>
      </c>
    </row>
    <row r="1546" spans="2:20" x14ac:dyDescent="0.25">
      <c r="B1546">
        <v>1541</v>
      </c>
      <c r="C1546" t="s">
        <v>1885</v>
      </c>
      <c r="D1546" s="10">
        <v>0.23773948146981211</v>
      </c>
      <c r="E1546" s="10">
        <v>0.9480537974654959</v>
      </c>
      <c r="F1546" s="10">
        <v>0.49798004707000421</v>
      </c>
      <c r="G1546" s="10">
        <v>0.32328470704161011</v>
      </c>
      <c r="H1546" s="6">
        <v>0.16275561375936221</v>
      </c>
      <c r="I1546" s="10">
        <v>6.8369197198677796</v>
      </c>
      <c r="J1546" s="7">
        <v>4.1178318205982063E-2</v>
      </c>
      <c r="K1546" s="5">
        <v>0.17641760114572469</v>
      </c>
      <c r="L1546">
        <v>144.49944689906559</v>
      </c>
      <c r="M1546" s="10">
        <v>-0.75524185746953043</v>
      </c>
      <c r="N1546" s="24" t="s">
        <v>343</v>
      </c>
      <c r="O1546" s="24">
        <v>5.685488551828179</v>
      </c>
      <c r="P1546">
        <v>64.123332092238599</v>
      </c>
      <c r="Q1546" t="s">
        <v>47</v>
      </c>
      <c r="R1546" t="s">
        <v>350</v>
      </c>
      <c r="S1546" t="s">
        <v>343</v>
      </c>
      <c r="T1546" t="s">
        <v>343</v>
      </c>
    </row>
    <row r="1547" spans="2:20" x14ac:dyDescent="0.25">
      <c r="B1547">
        <v>1542</v>
      </c>
      <c r="C1547" t="s">
        <v>1886</v>
      </c>
      <c r="D1547" s="10">
        <v>0.20108425083528131</v>
      </c>
      <c r="E1547" s="10">
        <v>0.31400000985891258</v>
      </c>
      <c r="F1547" s="10">
        <v>0.68419524825538924</v>
      </c>
      <c r="G1547" s="10">
        <v>0.29750076034744849</v>
      </c>
      <c r="H1547" s="6">
        <v>0.1553221939479737</v>
      </c>
      <c r="I1547" s="10">
        <v>4.3721018458725434</v>
      </c>
      <c r="J1547" s="7">
        <v>2.3948412257188679E-2</v>
      </c>
      <c r="K1547" s="5">
        <v>0.12886078119657871</v>
      </c>
      <c r="L1547">
        <v>81.362752823958189</v>
      </c>
      <c r="M1547" s="10">
        <v>-0.86218496555029711</v>
      </c>
      <c r="N1547" s="24" t="s">
        <v>343</v>
      </c>
      <c r="O1547" s="24">
        <v>0</v>
      </c>
      <c r="P1547">
        <v>27.44177066453943</v>
      </c>
      <c r="Q1547" t="s">
        <v>348</v>
      </c>
      <c r="R1547" t="s">
        <v>353</v>
      </c>
      <c r="S1547" t="s">
        <v>343</v>
      </c>
      <c r="T1547" t="s">
        <v>343</v>
      </c>
    </row>
    <row r="1548" spans="2:20" x14ac:dyDescent="0.25">
      <c r="B1548">
        <v>1543</v>
      </c>
      <c r="C1548" t="s">
        <v>1887</v>
      </c>
      <c r="D1548" s="10">
        <v>0.2055796643139077</v>
      </c>
      <c r="E1548" s="10">
        <v>1.29180859554734</v>
      </c>
      <c r="F1548" s="10">
        <v>0.56646497632524895</v>
      </c>
      <c r="G1548" s="10">
        <v>0.31945594849964187</v>
      </c>
      <c r="H1548" s="6">
        <v>0.21675070066099289</v>
      </c>
      <c r="I1548" s="10">
        <v>8.2635554080884219</v>
      </c>
      <c r="J1548" s="7">
        <v>1.8529119818499921E-2</v>
      </c>
      <c r="K1548" s="5">
        <v>0.1111350973003829</v>
      </c>
      <c r="L1548">
        <v>233.37231689017659</v>
      </c>
      <c r="M1548" s="10">
        <v>-0.60470592776752607</v>
      </c>
      <c r="N1548" s="24" t="s">
        <v>343</v>
      </c>
      <c r="O1548" s="24">
        <v>14.71764433394844</v>
      </c>
      <c r="P1548">
        <v>55.874065225876507</v>
      </c>
      <c r="Q1548" t="s">
        <v>47</v>
      </c>
      <c r="R1548" t="s">
        <v>350</v>
      </c>
      <c r="S1548" t="s">
        <v>343</v>
      </c>
      <c r="T1548" t="s">
        <v>343</v>
      </c>
    </row>
    <row r="1549" spans="2:20" x14ac:dyDescent="0.25">
      <c r="B1549">
        <v>1544</v>
      </c>
      <c r="C1549" t="s">
        <v>1888</v>
      </c>
      <c r="D1549" s="10">
        <v>0.20916639438820589</v>
      </c>
      <c r="E1549" s="10">
        <v>0.90020798015674464</v>
      </c>
      <c r="F1549" s="10">
        <v>0.55604469563497239</v>
      </c>
      <c r="G1549" s="10">
        <v>0.34839302793020888</v>
      </c>
      <c r="H1549" s="6">
        <v>0.19900934166836709</v>
      </c>
      <c r="I1549" s="10">
        <v>11.66115766281715</v>
      </c>
      <c r="J1549" s="7">
        <v>2.903457037605444E-2</v>
      </c>
      <c r="K1549" s="5">
        <v>0.1156264506353387</v>
      </c>
      <c r="L1549">
        <v>348.45592328320203</v>
      </c>
      <c r="M1549" s="10">
        <v>-0.40977334954015071</v>
      </c>
      <c r="N1549" s="24" t="s">
        <v>343</v>
      </c>
      <c r="O1549" s="24">
        <v>26.413599027590958</v>
      </c>
      <c r="P1549">
        <v>62.168083610816581</v>
      </c>
      <c r="Q1549" t="s">
        <v>47</v>
      </c>
      <c r="R1549" t="s">
        <v>350</v>
      </c>
      <c r="S1549" t="s">
        <v>343</v>
      </c>
      <c r="T1549" t="s">
        <v>343</v>
      </c>
    </row>
    <row r="1550" spans="2:20" x14ac:dyDescent="0.25">
      <c r="B1550">
        <v>1545</v>
      </c>
      <c r="C1550" t="s">
        <v>1889</v>
      </c>
      <c r="D1550" s="10">
        <v>0.28848414365322622</v>
      </c>
      <c r="E1550" s="10">
        <v>1.2554899920274849</v>
      </c>
      <c r="F1550" s="10">
        <v>0.64294006008627003</v>
      </c>
      <c r="G1550" s="10">
        <v>0.3190260971476932</v>
      </c>
      <c r="H1550" s="6">
        <v>0.22819487188583301</v>
      </c>
      <c r="I1550" s="10">
        <v>12.62975647862468</v>
      </c>
      <c r="J1550" s="7">
        <v>1.218919306323954E-2</v>
      </c>
      <c r="K1550" s="5">
        <v>0.19149776785829811</v>
      </c>
      <c r="L1550">
        <v>326.02409024217877</v>
      </c>
      <c r="M1550" s="10">
        <v>-0.44776916133387712</v>
      </c>
      <c r="N1550" s="24" t="s">
        <v>343</v>
      </c>
      <c r="O1550" s="24">
        <v>24.133850319967369</v>
      </c>
      <c r="P1550">
        <v>51.285474192273057</v>
      </c>
      <c r="Q1550" t="s">
        <v>47</v>
      </c>
      <c r="R1550" t="s">
        <v>350</v>
      </c>
      <c r="S1550" t="s">
        <v>343</v>
      </c>
      <c r="T1550" t="s">
        <v>343</v>
      </c>
    </row>
    <row r="1551" spans="2:20" x14ac:dyDescent="0.25">
      <c r="B1551">
        <v>1546</v>
      </c>
      <c r="C1551" t="s">
        <v>1890</v>
      </c>
      <c r="D1551" s="10">
        <v>0.24626580426804071</v>
      </c>
      <c r="E1551" s="10">
        <v>1.2710105228804689</v>
      </c>
      <c r="F1551" s="10">
        <v>0.62542003581217764</v>
      </c>
      <c r="G1551" s="10">
        <v>0.36160101152969859</v>
      </c>
      <c r="H1551" s="6">
        <v>0.15299151559994789</v>
      </c>
      <c r="I1551" s="10">
        <v>13.591451839400991</v>
      </c>
      <c r="J1551" s="7">
        <v>2.168723255701582E-2</v>
      </c>
      <c r="K1551" s="5">
        <v>0.1735138896958289</v>
      </c>
      <c r="L1551">
        <v>255.7023597296031</v>
      </c>
      <c r="M1551" s="10">
        <v>-0.56688253172489944</v>
      </c>
      <c r="N1551" s="24" t="s">
        <v>343</v>
      </c>
      <c r="O1551" s="24">
        <v>16.98704809650603</v>
      </c>
      <c r="P1551">
        <v>49.5376935913133</v>
      </c>
      <c r="Q1551" t="s">
        <v>346</v>
      </c>
      <c r="R1551" t="s">
        <v>347</v>
      </c>
      <c r="S1551" t="s">
        <v>343</v>
      </c>
      <c r="T1551" t="s">
        <v>343</v>
      </c>
    </row>
    <row r="1552" spans="2:20" x14ac:dyDescent="0.25">
      <c r="B1552">
        <v>1547</v>
      </c>
      <c r="C1552" t="s">
        <v>1891</v>
      </c>
      <c r="D1552" s="10">
        <v>0.20980923186496059</v>
      </c>
      <c r="E1552" s="10">
        <v>0.78946332240859729</v>
      </c>
      <c r="F1552" s="10">
        <v>0.59790035064651714</v>
      </c>
      <c r="G1552" s="10">
        <v>0.29250293185122778</v>
      </c>
      <c r="H1552" s="6">
        <v>0.1213722803589056</v>
      </c>
      <c r="I1552" s="10">
        <v>11.63821734270498</v>
      </c>
      <c r="J1552" s="7">
        <v>4.0912879434984332E-2</v>
      </c>
      <c r="K1552" s="5">
        <v>0.122597837466958</v>
      </c>
      <c r="L1552">
        <v>183.70629007192099</v>
      </c>
      <c r="M1552" s="10">
        <v>-0.68883195545672504</v>
      </c>
      <c r="N1552" s="24" t="s">
        <v>343</v>
      </c>
      <c r="O1552" s="24">
        <v>9.6700826725964966</v>
      </c>
      <c r="P1552">
        <v>54.745725160469092</v>
      </c>
      <c r="Q1552" t="s">
        <v>47</v>
      </c>
      <c r="R1552" t="s">
        <v>350</v>
      </c>
      <c r="S1552" t="s">
        <v>343</v>
      </c>
      <c r="T1552" t="s">
        <v>343</v>
      </c>
    </row>
    <row r="1553" spans="2:20" x14ac:dyDescent="0.25">
      <c r="B1553">
        <v>1548</v>
      </c>
      <c r="C1553" t="s">
        <v>1892</v>
      </c>
      <c r="D1553" s="10">
        <v>0.25765340532974701</v>
      </c>
      <c r="E1553" s="10">
        <v>0.85842599609635406</v>
      </c>
      <c r="F1553" s="10">
        <v>0.68313814362509617</v>
      </c>
      <c r="G1553" s="10">
        <v>0.37977958883424401</v>
      </c>
      <c r="H1553" s="6">
        <v>0.22207643506955019</v>
      </c>
      <c r="I1553" s="10">
        <v>9.8540087622024579</v>
      </c>
      <c r="J1553" s="7">
        <v>2.862201460854746E-2</v>
      </c>
      <c r="K1553" s="5">
        <v>0.19152929312897971</v>
      </c>
      <c r="L1553">
        <v>297.66755286138232</v>
      </c>
      <c r="M1553" s="10">
        <v>-0.49580044150042041</v>
      </c>
      <c r="N1553" s="24" t="s">
        <v>343</v>
      </c>
      <c r="O1553" s="24">
        <v>21.251973509974771</v>
      </c>
      <c r="P1553">
        <v>55.492887851251147</v>
      </c>
      <c r="Q1553" t="s">
        <v>47</v>
      </c>
      <c r="R1553" t="s">
        <v>350</v>
      </c>
      <c r="S1553" t="s">
        <v>343</v>
      </c>
      <c r="T1553" t="s">
        <v>343</v>
      </c>
    </row>
    <row r="1554" spans="2:20" x14ac:dyDescent="0.25">
      <c r="B1554">
        <v>1549</v>
      </c>
      <c r="C1554" t="s">
        <v>1893</v>
      </c>
      <c r="D1554" s="10">
        <v>0.27458410787571103</v>
      </c>
      <c r="E1554" s="10">
        <v>0.75732982644316205</v>
      </c>
      <c r="F1554" s="10">
        <v>0.54978740785664004</v>
      </c>
      <c r="G1554" s="10">
        <v>0.42782786090746783</v>
      </c>
      <c r="H1554" s="6">
        <v>0.1372280937742614</v>
      </c>
      <c r="I1554" s="10">
        <v>8.4728715767659679</v>
      </c>
      <c r="J1554" s="7">
        <v>2.5283635648385729E-2</v>
      </c>
      <c r="K1554" s="5">
        <v>0.11331117871294159</v>
      </c>
      <c r="L1554">
        <v>149.10968663637789</v>
      </c>
      <c r="M1554" s="10">
        <v>-0.74743287453610152</v>
      </c>
      <c r="N1554" s="24" t="s">
        <v>343</v>
      </c>
      <c r="O1554" s="24">
        <v>6.1540275278339109</v>
      </c>
      <c r="P1554">
        <v>54.091561615793829</v>
      </c>
      <c r="Q1554" t="s">
        <v>47</v>
      </c>
      <c r="R1554" t="s">
        <v>350</v>
      </c>
      <c r="S1554" t="s">
        <v>343</v>
      </c>
      <c r="T1554" t="s">
        <v>343</v>
      </c>
    </row>
    <row r="1555" spans="2:20" x14ac:dyDescent="0.25">
      <c r="B1555">
        <v>1550</v>
      </c>
      <c r="C1555" t="s">
        <v>1894</v>
      </c>
      <c r="D1555" s="10">
        <v>0.20361984011736539</v>
      </c>
      <c r="E1555" s="10">
        <v>0.79438045283884995</v>
      </c>
      <c r="F1555" s="10">
        <v>0.6502182357007944</v>
      </c>
      <c r="G1555" s="10">
        <v>0.28929475032134672</v>
      </c>
      <c r="H1555" s="6">
        <v>0.15694578366359341</v>
      </c>
      <c r="I1555" s="10">
        <v>12.623869767615361</v>
      </c>
      <c r="J1555" s="7">
        <v>1.9298936874536089E-2</v>
      </c>
      <c r="K1555" s="5">
        <v>0.1696850851306369</v>
      </c>
      <c r="L1555">
        <v>95.993706014838509</v>
      </c>
      <c r="M1555" s="10">
        <v>-0.83740255286084575</v>
      </c>
      <c r="N1555" s="24" t="s">
        <v>343</v>
      </c>
      <c r="O1555" s="24">
        <v>0.75584682834924877</v>
      </c>
      <c r="P1555">
        <v>56.62964441727005</v>
      </c>
      <c r="Q1555" t="s">
        <v>47</v>
      </c>
      <c r="R1555" t="s">
        <v>350</v>
      </c>
      <c r="S1555" t="s">
        <v>343</v>
      </c>
      <c r="T1555" t="s">
        <v>343</v>
      </c>
    </row>
    <row r="1556" spans="2:20" x14ac:dyDescent="0.25">
      <c r="B1556">
        <v>1551</v>
      </c>
      <c r="C1556" t="s">
        <v>1895</v>
      </c>
      <c r="D1556" s="10">
        <v>0.22616785624405619</v>
      </c>
      <c r="E1556" s="10">
        <v>1.2846618748689</v>
      </c>
      <c r="F1556" s="10">
        <v>0.5388241658939128</v>
      </c>
      <c r="G1556" s="10">
        <v>0.35173298748823689</v>
      </c>
      <c r="H1556" s="6">
        <v>0.16585292286918341</v>
      </c>
      <c r="I1556" s="10">
        <v>11.134649675439761</v>
      </c>
      <c r="J1556" s="7">
        <v>1.876314896471612E-2</v>
      </c>
      <c r="K1556" s="5">
        <v>0.162390264550973</v>
      </c>
      <c r="L1556">
        <v>272.97169596329547</v>
      </c>
      <c r="M1556" s="10">
        <v>-0.53763113492027936</v>
      </c>
      <c r="N1556" s="24" t="s">
        <v>343</v>
      </c>
      <c r="O1556" s="24">
        <v>18.742131904783239</v>
      </c>
      <c r="P1556">
        <v>59.129116643506613</v>
      </c>
      <c r="Q1556" t="s">
        <v>47</v>
      </c>
      <c r="R1556" t="s">
        <v>350</v>
      </c>
      <c r="S1556" t="s">
        <v>343</v>
      </c>
      <c r="T1556" t="s">
        <v>343</v>
      </c>
    </row>
    <row r="1557" spans="2:20" x14ac:dyDescent="0.25">
      <c r="B1557">
        <v>1552</v>
      </c>
      <c r="C1557" t="s">
        <v>1896</v>
      </c>
      <c r="D1557" s="10">
        <v>0.17950177493391159</v>
      </c>
      <c r="E1557" s="10">
        <v>1.1669584153647019</v>
      </c>
      <c r="F1557" s="10">
        <v>0.65796987531698725</v>
      </c>
      <c r="G1557" s="10">
        <v>0.38271175260097551</v>
      </c>
      <c r="H1557" s="6">
        <v>0.2320203138436302</v>
      </c>
      <c r="I1557" s="10">
        <v>4.7738399356866559</v>
      </c>
      <c r="J1557" s="7">
        <v>1.8281420747611171E-2</v>
      </c>
      <c r="K1557" s="5">
        <v>0.1780402933766298</v>
      </c>
      <c r="L1557">
        <v>226.6795172567783</v>
      </c>
      <c r="M1557" s="10">
        <v>-0.61604242241683371</v>
      </c>
      <c r="N1557" s="24" t="s">
        <v>343</v>
      </c>
      <c r="O1557" s="24">
        <v>14.037454654989981</v>
      </c>
      <c r="P1557">
        <v>60.221211019176117</v>
      </c>
      <c r="Q1557" t="s">
        <v>47</v>
      </c>
      <c r="R1557" t="s">
        <v>350</v>
      </c>
      <c r="S1557" t="s">
        <v>343</v>
      </c>
      <c r="T1557" t="s">
        <v>343</v>
      </c>
    </row>
    <row r="1558" spans="2:20" x14ac:dyDescent="0.25">
      <c r="B1558">
        <v>1553</v>
      </c>
      <c r="C1558" t="s">
        <v>1897</v>
      </c>
      <c r="D1558" s="10">
        <v>0.18898389592554879</v>
      </c>
      <c r="E1558" s="10">
        <v>0.43917824394713578</v>
      </c>
      <c r="F1558" s="10">
        <v>0.50746340353115182</v>
      </c>
      <c r="G1558" s="10">
        <v>0.36421774886695157</v>
      </c>
      <c r="H1558" s="6">
        <v>0.2138837715986141</v>
      </c>
      <c r="I1558" s="10">
        <v>10.50805542075827</v>
      </c>
      <c r="J1558" s="7">
        <v>3.9023178384195861E-2</v>
      </c>
      <c r="K1558" s="5">
        <v>0.13626137846395461</v>
      </c>
      <c r="L1558">
        <v>110.2055568629129</v>
      </c>
      <c r="M1558" s="10">
        <v>-0.81333003016167915</v>
      </c>
      <c r="N1558" s="24" t="s">
        <v>343</v>
      </c>
      <c r="O1558" s="24">
        <v>2.200198190299254</v>
      </c>
      <c r="P1558">
        <v>58.44263947878386</v>
      </c>
      <c r="Q1558" t="s">
        <v>47</v>
      </c>
      <c r="R1558" t="s">
        <v>350</v>
      </c>
      <c r="S1558" t="s">
        <v>343</v>
      </c>
      <c r="T1558" t="s">
        <v>343</v>
      </c>
    </row>
    <row r="1559" spans="2:20" x14ac:dyDescent="0.25">
      <c r="B1559">
        <v>1554</v>
      </c>
      <c r="C1559" t="s">
        <v>1898</v>
      </c>
      <c r="D1559" s="10">
        <v>0.26897885663439719</v>
      </c>
      <c r="E1559" s="10">
        <v>0.97133855969410532</v>
      </c>
      <c r="F1559" s="10">
        <v>0.51520943893736848</v>
      </c>
      <c r="G1559" s="10">
        <v>0.32044287816228972</v>
      </c>
      <c r="H1559" s="6">
        <v>0.14763981547887431</v>
      </c>
      <c r="I1559" s="10">
        <v>7.7414245772301307</v>
      </c>
      <c r="J1559" s="7">
        <v>4.4475713026748333E-2</v>
      </c>
      <c r="K1559" s="5">
        <v>0.13817436853952381</v>
      </c>
      <c r="L1559">
        <v>233.87649867667889</v>
      </c>
      <c r="M1559" s="10">
        <v>-0.60385192728371662</v>
      </c>
      <c r="N1559" s="24" t="s">
        <v>343</v>
      </c>
      <c r="O1559" s="24">
        <v>14.768884362976999</v>
      </c>
      <c r="P1559">
        <v>59.676874603452141</v>
      </c>
      <c r="Q1559" t="s">
        <v>47</v>
      </c>
      <c r="R1559" t="s">
        <v>350</v>
      </c>
      <c r="S1559" t="s">
        <v>343</v>
      </c>
      <c r="T1559" t="s">
        <v>343</v>
      </c>
    </row>
    <row r="1560" spans="2:20" x14ac:dyDescent="0.25">
      <c r="B1560">
        <v>1555</v>
      </c>
      <c r="C1560" t="s">
        <v>1899</v>
      </c>
      <c r="D1560" s="10">
        <v>0.18903013563130031</v>
      </c>
      <c r="E1560" s="10">
        <v>1.3954973044249761</v>
      </c>
      <c r="F1560" s="10">
        <v>0.61624607884453797</v>
      </c>
      <c r="G1560" s="10">
        <v>0.38128393576126463</v>
      </c>
      <c r="H1560" s="6">
        <v>0.20968317159296129</v>
      </c>
      <c r="I1560" s="10">
        <v>9.5537964516399612</v>
      </c>
      <c r="J1560" s="7">
        <v>2.8717945164558931E-2</v>
      </c>
      <c r="K1560" s="5">
        <v>0.15933386675206501</v>
      </c>
      <c r="L1560">
        <v>243.21808678646349</v>
      </c>
      <c r="M1560" s="10">
        <v>-0.5880288234372868</v>
      </c>
      <c r="N1560" s="24" t="s">
        <v>343</v>
      </c>
      <c r="O1560" s="24">
        <v>15.71827059376279</v>
      </c>
      <c r="P1560">
        <v>52.517700785291687</v>
      </c>
      <c r="Q1560" t="s">
        <v>47</v>
      </c>
      <c r="R1560" t="s">
        <v>350</v>
      </c>
      <c r="S1560" t="s">
        <v>343</v>
      </c>
      <c r="T1560" t="s">
        <v>343</v>
      </c>
    </row>
    <row r="1561" spans="2:20" x14ac:dyDescent="0.25">
      <c r="B1561">
        <v>1556</v>
      </c>
      <c r="C1561" t="s">
        <v>1900</v>
      </c>
      <c r="D1561" s="10">
        <v>0.24402614138672959</v>
      </c>
      <c r="E1561" s="10">
        <v>0.95510577135573427</v>
      </c>
      <c r="F1561" s="10">
        <v>0.49530545668746712</v>
      </c>
      <c r="G1561" s="10">
        <v>0.24621416536621679</v>
      </c>
      <c r="H1561" s="6">
        <v>0.22622219926659179</v>
      </c>
      <c r="I1561" s="10">
        <v>12.88188392199172</v>
      </c>
      <c r="J1561" s="7">
        <v>1.279416960104846E-2</v>
      </c>
      <c r="K1561" s="5">
        <v>0.1378295469116961</v>
      </c>
      <c r="L1561">
        <v>224.32368215403639</v>
      </c>
      <c r="M1561" s="10">
        <v>-0.62003281709466218</v>
      </c>
      <c r="N1561" s="24" t="s">
        <v>343</v>
      </c>
      <c r="O1561" s="24">
        <v>13.79803097432027</v>
      </c>
      <c r="P1561">
        <v>15.343852886348181</v>
      </c>
      <c r="Q1561" t="s">
        <v>348</v>
      </c>
      <c r="R1561" t="s">
        <v>404</v>
      </c>
      <c r="S1561" t="s">
        <v>343</v>
      </c>
      <c r="T1561" t="s">
        <v>343</v>
      </c>
    </row>
    <row r="1562" spans="2:20" x14ac:dyDescent="0.25">
      <c r="B1562">
        <v>1557</v>
      </c>
      <c r="C1562" t="s">
        <v>1901</v>
      </c>
      <c r="D1562" s="10">
        <v>0.27344740187558919</v>
      </c>
      <c r="E1562" s="10">
        <v>1.164458788152416</v>
      </c>
      <c r="F1562" s="10">
        <v>0.49958008862661152</v>
      </c>
      <c r="G1562" s="10">
        <v>0.32137937103921532</v>
      </c>
      <c r="H1562" s="6">
        <v>0.17833458041852571</v>
      </c>
      <c r="I1562" s="10">
        <v>10.178276036072941</v>
      </c>
      <c r="J1562" s="7">
        <v>3.6286366607731657E-2</v>
      </c>
      <c r="K1562" s="5">
        <v>0.1039283348067101</v>
      </c>
      <c r="L1562">
        <v>307.75963508842239</v>
      </c>
      <c r="M1562" s="10">
        <v>-0.4787061248565615</v>
      </c>
      <c r="N1562" s="24" t="s">
        <v>343</v>
      </c>
      <c r="O1562" s="24">
        <v>22.27763250860631</v>
      </c>
      <c r="P1562">
        <v>19.402305865156869</v>
      </c>
      <c r="Q1562" t="s">
        <v>348</v>
      </c>
      <c r="R1562" t="s">
        <v>371</v>
      </c>
      <c r="S1562" t="s">
        <v>343</v>
      </c>
      <c r="T1562" t="s">
        <v>343</v>
      </c>
    </row>
    <row r="1563" spans="2:20" x14ac:dyDescent="0.25">
      <c r="B1563">
        <v>1558</v>
      </c>
      <c r="C1563" t="s">
        <v>1902</v>
      </c>
      <c r="D1563" s="10">
        <v>0.177100307695159</v>
      </c>
      <c r="E1563" s="10">
        <v>1.1459676207192879</v>
      </c>
      <c r="F1563" s="10">
        <v>0.51936823154452783</v>
      </c>
      <c r="G1563" s="10">
        <v>0.35717468722102069</v>
      </c>
      <c r="H1563" s="6">
        <v>0.15689293710417779</v>
      </c>
      <c r="I1563" s="10">
        <v>13.325967136939081</v>
      </c>
      <c r="J1563" s="7">
        <v>4.0696904819711201E-2</v>
      </c>
      <c r="K1563" s="5">
        <v>0.16932226302211531</v>
      </c>
      <c r="L1563">
        <v>321.80185458339162</v>
      </c>
      <c r="M1563" s="10">
        <v>-0.45492092958868929</v>
      </c>
      <c r="N1563" s="24" t="s">
        <v>343</v>
      </c>
      <c r="O1563" s="24">
        <v>23.704744224678642</v>
      </c>
      <c r="P1563">
        <v>55.13382177100442</v>
      </c>
      <c r="Q1563" t="s">
        <v>47</v>
      </c>
      <c r="R1563" t="s">
        <v>350</v>
      </c>
      <c r="S1563" t="s">
        <v>343</v>
      </c>
      <c r="T1563" t="s">
        <v>343</v>
      </c>
    </row>
    <row r="1564" spans="2:20" x14ac:dyDescent="0.25">
      <c r="B1564">
        <v>1559</v>
      </c>
      <c r="C1564" t="s">
        <v>1903</v>
      </c>
      <c r="D1564" s="10">
        <v>0.25076995514062461</v>
      </c>
      <c r="E1564" s="10">
        <v>0.6853492784595614</v>
      </c>
      <c r="F1564" s="10">
        <v>0.61652148011169772</v>
      </c>
      <c r="G1564" s="10">
        <v>0.24453489494389019</v>
      </c>
      <c r="H1564" s="6">
        <v>0.22184741593721841</v>
      </c>
      <c r="I1564" s="10">
        <v>12.530066427904829</v>
      </c>
      <c r="J1564" s="7">
        <v>4.2592985984632917E-2</v>
      </c>
      <c r="K1564" s="5">
        <v>0.1608898759902371</v>
      </c>
      <c r="L1564">
        <v>84.528276160951279</v>
      </c>
      <c r="M1564" s="10">
        <v>-0.85682309303987514</v>
      </c>
      <c r="N1564" s="24" t="s">
        <v>343</v>
      </c>
      <c r="O1564" s="24">
        <v>0</v>
      </c>
      <c r="P1564">
        <v>49.950195585491599</v>
      </c>
      <c r="Q1564" t="s">
        <v>346</v>
      </c>
      <c r="R1564" t="s">
        <v>347</v>
      </c>
      <c r="S1564" t="s">
        <v>343</v>
      </c>
      <c r="T1564" t="s">
        <v>343</v>
      </c>
    </row>
    <row r="1565" spans="2:20" x14ac:dyDescent="0.25">
      <c r="B1565">
        <v>1560</v>
      </c>
      <c r="C1565" t="s">
        <v>1904</v>
      </c>
      <c r="D1565" s="10">
        <v>0.20105004539221821</v>
      </c>
      <c r="E1565" s="10">
        <v>0.70903423297435464</v>
      </c>
      <c r="F1565" s="10">
        <v>0.67124090403004022</v>
      </c>
      <c r="G1565" s="10">
        <v>0.35168274253054599</v>
      </c>
      <c r="H1565" s="6">
        <v>0.2116336800212246</v>
      </c>
      <c r="I1565" s="10">
        <v>4.4179137627979248</v>
      </c>
      <c r="J1565" s="7">
        <v>3.2007137110748478E-2</v>
      </c>
      <c r="K1565" s="5">
        <v>0.1402527172118182</v>
      </c>
      <c r="L1565">
        <v>117.8751405934885</v>
      </c>
      <c r="M1565" s="10">
        <v>-0.80033902494912068</v>
      </c>
      <c r="N1565" s="24" t="s">
        <v>343</v>
      </c>
      <c r="O1565" s="24">
        <v>2.9796585030527538</v>
      </c>
      <c r="P1565">
        <v>55.699675420369502</v>
      </c>
      <c r="Q1565" t="s">
        <v>47</v>
      </c>
      <c r="R1565" t="s">
        <v>350</v>
      </c>
      <c r="S1565" t="s">
        <v>343</v>
      </c>
      <c r="T1565" t="s">
        <v>343</v>
      </c>
    </row>
    <row r="1566" spans="2:20" x14ac:dyDescent="0.25">
      <c r="B1566">
        <v>1561</v>
      </c>
      <c r="C1566" t="s">
        <v>1905</v>
      </c>
      <c r="D1566" s="10">
        <v>0.31406830003801278</v>
      </c>
      <c r="E1566" s="10">
        <v>1.096484063969444</v>
      </c>
      <c r="F1566" s="10">
        <v>0.61538758929301651</v>
      </c>
      <c r="G1566" s="10">
        <v>0.38393598136843821</v>
      </c>
      <c r="H1566" s="6">
        <v>0.13168682377062299</v>
      </c>
      <c r="I1566" s="10">
        <v>3.1281710515684931</v>
      </c>
      <c r="J1566" s="7">
        <v>2.7740829164058681E-2</v>
      </c>
      <c r="K1566" s="5">
        <v>0.1287688082836114</v>
      </c>
      <c r="L1566">
        <v>240.428592932909</v>
      </c>
      <c r="M1566" s="10">
        <v>-0.59275376425088755</v>
      </c>
      <c r="N1566" s="24" t="s">
        <v>343</v>
      </c>
      <c r="O1566" s="24">
        <v>15.434774144946751</v>
      </c>
      <c r="P1566">
        <v>52.52556094213115</v>
      </c>
      <c r="Q1566" t="s">
        <v>47</v>
      </c>
      <c r="R1566" t="s">
        <v>350</v>
      </c>
      <c r="S1566" t="s">
        <v>343</v>
      </c>
      <c r="T1566" t="s">
        <v>343</v>
      </c>
    </row>
    <row r="1567" spans="2:20" x14ac:dyDescent="0.25">
      <c r="B1567">
        <v>1562</v>
      </c>
      <c r="C1567" t="s">
        <v>1906</v>
      </c>
      <c r="D1567" s="10">
        <v>0.237367303475188</v>
      </c>
      <c r="E1567" s="10">
        <v>0.84998188476531844</v>
      </c>
      <c r="F1567" s="10">
        <v>0.65523170352947258</v>
      </c>
      <c r="G1567" s="10">
        <v>0.4070256934968699</v>
      </c>
      <c r="H1567" s="6">
        <v>0.22000194603506321</v>
      </c>
      <c r="I1567" s="10">
        <v>7.2285254951376947</v>
      </c>
      <c r="J1567" s="7">
        <v>3.1718456006324447E-2</v>
      </c>
      <c r="K1567" s="5">
        <v>0.1304689546411</v>
      </c>
      <c r="L1567">
        <v>176.31728825967409</v>
      </c>
      <c r="M1567" s="10">
        <v>-0.70134770134731717</v>
      </c>
      <c r="N1567" s="24" t="s">
        <v>343</v>
      </c>
      <c r="O1567" s="24">
        <v>8.9191379191609741</v>
      </c>
      <c r="P1567">
        <v>56.97178413512561</v>
      </c>
      <c r="Q1567" t="s">
        <v>47</v>
      </c>
      <c r="R1567" t="s">
        <v>350</v>
      </c>
      <c r="S1567" t="s">
        <v>343</v>
      </c>
      <c r="T1567" t="s">
        <v>343</v>
      </c>
    </row>
    <row r="1568" spans="2:20" x14ac:dyDescent="0.25">
      <c r="B1568">
        <v>1563</v>
      </c>
      <c r="C1568" t="s">
        <v>1907</v>
      </c>
      <c r="D1568" s="10">
        <v>0.28895880796402529</v>
      </c>
      <c r="E1568" s="10">
        <v>0.92762778004342672</v>
      </c>
      <c r="F1568" s="10">
        <v>0.58132575332056213</v>
      </c>
      <c r="G1568" s="10">
        <v>0.26494229791007468</v>
      </c>
      <c r="H1568" s="6">
        <v>0.19327768992529479</v>
      </c>
      <c r="I1568" s="10">
        <v>12.5186298719458</v>
      </c>
      <c r="J1568" s="7">
        <v>1.045327511645428E-2</v>
      </c>
      <c r="K1568" s="5">
        <v>0.17039771925262071</v>
      </c>
      <c r="L1568">
        <v>151.124898074931</v>
      </c>
      <c r="M1568" s="10">
        <v>-0.74401943995838338</v>
      </c>
      <c r="N1568" s="24" t="s">
        <v>343</v>
      </c>
      <c r="O1568" s="24">
        <v>6.3588336024969996</v>
      </c>
      <c r="P1568">
        <v>57.218546005964789</v>
      </c>
      <c r="Q1568" t="s">
        <v>47</v>
      </c>
      <c r="R1568" t="s">
        <v>350</v>
      </c>
      <c r="S1568" t="s">
        <v>343</v>
      </c>
      <c r="T1568" t="s">
        <v>343</v>
      </c>
    </row>
    <row r="1569" spans="2:20" x14ac:dyDescent="0.25">
      <c r="B1569">
        <v>1564</v>
      </c>
      <c r="C1569" t="s">
        <v>1908</v>
      </c>
      <c r="D1569" s="10">
        <v>0.24803624674500191</v>
      </c>
      <c r="E1569" s="10">
        <v>1.084196369401321</v>
      </c>
      <c r="F1569" s="10">
        <v>0.45792003754973781</v>
      </c>
      <c r="G1569" s="10">
        <v>0.4579242724761729</v>
      </c>
      <c r="H1569" s="6">
        <v>0.23300534354665911</v>
      </c>
      <c r="I1569" s="10">
        <v>5.5313859198118562</v>
      </c>
      <c r="J1569" s="7">
        <v>3.2939695635456241E-2</v>
      </c>
      <c r="K1569" s="5">
        <v>0.16927028350305659</v>
      </c>
      <c r="L1569">
        <v>185.41444734135479</v>
      </c>
      <c r="M1569" s="10">
        <v>-0.68593861981158188</v>
      </c>
      <c r="N1569" s="24" t="s">
        <v>343</v>
      </c>
      <c r="O1569" s="24">
        <v>9.8436828113050865</v>
      </c>
      <c r="P1569">
        <v>52.393455190543442</v>
      </c>
      <c r="Q1569" t="s">
        <v>47</v>
      </c>
      <c r="R1569" t="s">
        <v>350</v>
      </c>
      <c r="S1569" t="s">
        <v>343</v>
      </c>
      <c r="T1569" t="s">
        <v>343</v>
      </c>
    </row>
    <row r="1570" spans="2:20" x14ac:dyDescent="0.25">
      <c r="B1570">
        <v>1565</v>
      </c>
      <c r="C1570" t="s">
        <v>1909</v>
      </c>
      <c r="D1570" s="10">
        <v>0.16694600525677111</v>
      </c>
      <c r="E1570" s="10">
        <v>1.1553325297429551</v>
      </c>
      <c r="F1570" s="10">
        <v>0.46612121499221021</v>
      </c>
      <c r="G1570" s="10">
        <v>0.37335689429372099</v>
      </c>
      <c r="H1570" s="6">
        <v>0.14860763128197399</v>
      </c>
      <c r="I1570" s="10">
        <v>10.605399140894461</v>
      </c>
      <c r="J1570" s="7">
        <v>3.4837623763944177E-2</v>
      </c>
      <c r="K1570" s="5">
        <v>0.17779724993241869</v>
      </c>
      <c r="L1570">
        <v>214.21942763801309</v>
      </c>
      <c r="M1570" s="10">
        <v>-0.63714775158105141</v>
      </c>
      <c r="N1570" s="24" t="s">
        <v>343</v>
      </c>
      <c r="O1570" s="24">
        <v>12.771134905136909</v>
      </c>
      <c r="P1570">
        <v>22.13142936711073</v>
      </c>
      <c r="Q1570" t="s">
        <v>348</v>
      </c>
      <c r="R1570" t="s">
        <v>371</v>
      </c>
      <c r="S1570" t="s">
        <v>343</v>
      </c>
      <c r="T1570" t="s">
        <v>343</v>
      </c>
    </row>
    <row r="1571" spans="2:20" x14ac:dyDescent="0.25">
      <c r="B1571">
        <v>1566</v>
      </c>
      <c r="C1571" t="s">
        <v>1910</v>
      </c>
      <c r="D1571" s="10">
        <v>0.26130422009504362</v>
      </c>
      <c r="E1571" s="10">
        <v>0.59866823550637838</v>
      </c>
      <c r="F1571" s="10">
        <v>0.58414191437539797</v>
      </c>
      <c r="G1571" s="10">
        <v>0.31990263437471261</v>
      </c>
      <c r="H1571" s="6">
        <v>0.15873246268520649</v>
      </c>
      <c r="I1571" s="10">
        <v>8.2359490614531161</v>
      </c>
      <c r="J1571" s="7">
        <v>3.5271062167326089E-2</v>
      </c>
      <c r="K1571" s="5">
        <v>0.17240714068243029</v>
      </c>
      <c r="L1571">
        <v>95.072750918081184</v>
      </c>
      <c r="M1571" s="10">
        <v>-0.83896249833934811</v>
      </c>
      <c r="N1571" s="24" t="s">
        <v>343</v>
      </c>
      <c r="O1571" s="24">
        <v>0.66225009963911674</v>
      </c>
      <c r="P1571">
        <v>55.934968640939118</v>
      </c>
      <c r="Q1571" t="s">
        <v>47</v>
      </c>
      <c r="R1571" t="s">
        <v>350</v>
      </c>
      <c r="S1571" t="s">
        <v>343</v>
      </c>
      <c r="T1571" t="s">
        <v>343</v>
      </c>
    </row>
    <row r="1572" spans="2:20" x14ac:dyDescent="0.25">
      <c r="B1572">
        <v>1567</v>
      </c>
      <c r="C1572" t="s">
        <v>1911</v>
      </c>
      <c r="D1572" s="10">
        <v>0.31222453475306511</v>
      </c>
      <c r="E1572" s="10">
        <v>0.46147313538065921</v>
      </c>
      <c r="F1572" s="10">
        <v>0.52522825184694844</v>
      </c>
      <c r="G1572" s="10">
        <v>0.29480042798047701</v>
      </c>
      <c r="H1572" s="6">
        <v>0.2014969108646282</v>
      </c>
      <c r="I1572" s="10">
        <v>11.206855364719731</v>
      </c>
      <c r="J1572" s="7">
        <v>2.9707512331829462E-2</v>
      </c>
      <c r="K1572" s="5">
        <v>0.17200469920007619</v>
      </c>
      <c r="L1572">
        <v>98.514761154853247</v>
      </c>
      <c r="M1572" s="10">
        <v>-0.83313230279049133</v>
      </c>
      <c r="N1572" s="24" t="s">
        <v>343</v>
      </c>
      <c r="O1572" s="24">
        <v>1.0120618325705171</v>
      </c>
      <c r="P1572">
        <v>58.248317320220117</v>
      </c>
      <c r="Q1572" t="s">
        <v>47</v>
      </c>
      <c r="R1572" t="s">
        <v>350</v>
      </c>
      <c r="S1572" t="s">
        <v>343</v>
      </c>
      <c r="T1572" t="s">
        <v>343</v>
      </c>
    </row>
    <row r="1573" spans="2:20" x14ac:dyDescent="0.25">
      <c r="B1573">
        <v>1568</v>
      </c>
      <c r="C1573" t="s">
        <v>1912</v>
      </c>
      <c r="D1573" s="10">
        <v>0.25625789122341303</v>
      </c>
      <c r="E1573" s="10">
        <v>0.62097411139609771</v>
      </c>
      <c r="F1573" s="10">
        <v>0.49734769914560512</v>
      </c>
      <c r="G1573" s="10">
        <v>0.36603730957035119</v>
      </c>
      <c r="H1573" s="6">
        <v>0.19226002918382989</v>
      </c>
      <c r="I1573" s="10">
        <v>4.8147456687575296</v>
      </c>
      <c r="J1573" s="7">
        <v>3.4501552996247679E-2</v>
      </c>
      <c r="K1573" s="5">
        <v>0.123918457235266</v>
      </c>
      <c r="L1573">
        <v>117.243319890452</v>
      </c>
      <c r="M1573" s="10">
        <v>-0.80140922462812381</v>
      </c>
      <c r="N1573" s="24" t="s">
        <v>343</v>
      </c>
      <c r="O1573" s="24">
        <v>2.9154465223125778</v>
      </c>
      <c r="P1573">
        <v>58.561022048962499</v>
      </c>
      <c r="Q1573" t="s">
        <v>47</v>
      </c>
      <c r="R1573" t="s">
        <v>350</v>
      </c>
      <c r="S1573" t="s">
        <v>343</v>
      </c>
      <c r="T1573" t="s">
        <v>343</v>
      </c>
    </row>
    <row r="1574" spans="2:20" x14ac:dyDescent="0.25">
      <c r="B1574">
        <v>1569</v>
      </c>
      <c r="C1574" t="s">
        <v>1913</v>
      </c>
      <c r="D1574" s="10">
        <v>0.29107021750828638</v>
      </c>
      <c r="E1574" s="10">
        <v>0.85829215760128297</v>
      </c>
      <c r="F1574" s="10">
        <v>0.56122680109868139</v>
      </c>
      <c r="G1574" s="10">
        <v>0.43397656237664561</v>
      </c>
      <c r="H1574" s="6">
        <v>0.17795480565847449</v>
      </c>
      <c r="I1574" s="10">
        <v>5.6300014288172706</v>
      </c>
      <c r="J1574" s="7">
        <v>3.2359133675556727E-2</v>
      </c>
      <c r="K1574" s="5">
        <v>0.1096531926868826</v>
      </c>
      <c r="L1574">
        <v>302.5958209689976</v>
      </c>
      <c r="M1574" s="10">
        <v>-0.48745277115428659</v>
      </c>
      <c r="N1574" s="24" t="s">
        <v>343</v>
      </c>
      <c r="O1574" s="24">
        <v>21.7528337307428</v>
      </c>
      <c r="P1574">
        <v>49.575244811847242</v>
      </c>
      <c r="Q1574" t="s">
        <v>346</v>
      </c>
      <c r="R1574" t="s">
        <v>347</v>
      </c>
      <c r="S1574" t="s">
        <v>343</v>
      </c>
      <c r="T1574" t="s">
        <v>343</v>
      </c>
    </row>
    <row r="1575" spans="2:20" x14ac:dyDescent="0.25">
      <c r="B1575">
        <v>1570</v>
      </c>
      <c r="C1575" t="s">
        <v>1914</v>
      </c>
      <c r="D1575" s="10">
        <v>0.30147303413574522</v>
      </c>
      <c r="E1575" s="10">
        <v>0.67635544902674294</v>
      </c>
      <c r="F1575" s="10">
        <v>0.61328915263511841</v>
      </c>
      <c r="G1575" s="10">
        <v>0.35452438715110018</v>
      </c>
      <c r="H1575" s="6">
        <v>0.2319049971644683</v>
      </c>
      <c r="I1575" s="10">
        <v>5.6677691644633326</v>
      </c>
      <c r="J1575" s="7">
        <v>1.404349469448047E-2</v>
      </c>
      <c r="K1575" s="5">
        <v>0.17236646527342159</v>
      </c>
      <c r="L1575">
        <v>142.38705712007189</v>
      </c>
      <c r="M1575" s="10">
        <v>-0.7588198960689998</v>
      </c>
      <c r="N1575" s="24" t="s">
        <v>343</v>
      </c>
      <c r="O1575" s="24">
        <v>5.4708062358600102</v>
      </c>
      <c r="P1575">
        <v>57.37967486245077</v>
      </c>
      <c r="Q1575" t="s">
        <v>47</v>
      </c>
      <c r="R1575" t="s">
        <v>350</v>
      </c>
      <c r="S1575" t="s">
        <v>343</v>
      </c>
      <c r="T1575" t="s">
        <v>343</v>
      </c>
    </row>
    <row r="1576" spans="2:20" x14ac:dyDescent="0.25">
      <c r="B1576">
        <v>1571</v>
      </c>
      <c r="C1576" t="s">
        <v>1915</v>
      </c>
      <c r="D1576" s="10">
        <v>0.1964927635118292</v>
      </c>
      <c r="E1576" s="10">
        <v>0.9251990347323531</v>
      </c>
      <c r="F1576" s="10">
        <v>0.54009790641132316</v>
      </c>
      <c r="G1576" s="10">
        <v>0.38552385223309132</v>
      </c>
      <c r="H1576" s="6">
        <v>0.20471273454424241</v>
      </c>
      <c r="I1576" s="10">
        <v>9.0331239485903172</v>
      </c>
      <c r="J1576" s="7">
        <v>4.1442836929085257E-2</v>
      </c>
      <c r="K1576" s="5">
        <v>0.10936871186729651</v>
      </c>
      <c r="L1576">
        <v>318.65342015493911</v>
      </c>
      <c r="M1576" s="10">
        <v>-0.4602538563169507</v>
      </c>
      <c r="N1576" s="24" t="s">
        <v>343</v>
      </c>
      <c r="O1576" s="24">
        <v>23.38476862098296</v>
      </c>
      <c r="P1576">
        <v>61.156142270665747</v>
      </c>
      <c r="Q1576" t="s">
        <v>47</v>
      </c>
      <c r="R1576" t="s">
        <v>350</v>
      </c>
      <c r="S1576" t="s">
        <v>343</v>
      </c>
      <c r="T1576" t="s">
        <v>343</v>
      </c>
    </row>
    <row r="1577" spans="2:20" x14ac:dyDescent="0.25">
      <c r="B1577">
        <v>1572</v>
      </c>
      <c r="C1577" t="s">
        <v>1916</v>
      </c>
      <c r="D1577" s="10">
        <v>0.19392717438531629</v>
      </c>
      <c r="E1577" s="10">
        <v>0.35881229653819119</v>
      </c>
      <c r="F1577" s="10">
        <v>0.64866098686090878</v>
      </c>
      <c r="G1577" s="10">
        <v>0.31869321669892331</v>
      </c>
      <c r="H1577" s="6">
        <v>0.22654077808411779</v>
      </c>
      <c r="I1577" s="10">
        <v>6.1858690358552959</v>
      </c>
      <c r="J1577" s="7">
        <v>3.1795462769076133E-2</v>
      </c>
      <c r="K1577" s="5">
        <v>0.19330058350302309</v>
      </c>
      <c r="L1577">
        <v>27.413740807577291</v>
      </c>
      <c r="M1577" s="10">
        <v>-0.95356566115743568</v>
      </c>
      <c r="N1577" s="24" t="s">
        <v>343</v>
      </c>
      <c r="O1577" s="24">
        <v>0</v>
      </c>
      <c r="P1577">
        <v>55.827095384441442</v>
      </c>
      <c r="Q1577" t="s">
        <v>47</v>
      </c>
      <c r="R1577" t="s">
        <v>350</v>
      </c>
      <c r="S1577" t="s">
        <v>343</v>
      </c>
      <c r="T1577" t="s">
        <v>343</v>
      </c>
    </row>
    <row r="1578" spans="2:20" x14ac:dyDescent="0.25">
      <c r="B1578">
        <v>1573</v>
      </c>
      <c r="C1578" t="s">
        <v>1917</v>
      </c>
      <c r="D1578" s="10">
        <v>0.25775695821615868</v>
      </c>
      <c r="E1578" s="10">
        <v>0.86072545277514378</v>
      </c>
      <c r="F1578" s="10">
        <v>0.63201604410856227</v>
      </c>
      <c r="G1578" s="10">
        <v>0.32539350337957401</v>
      </c>
      <c r="H1578" s="6">
        <v>0.14298824434786739</v>
      </c>
      <c r="I1578" s="10">
        <v>11.92894610118157</v>
      </c>
      <c r="J1578" s="7">
        <v>3.5472802966905928E-2</v>
      </c>
      <c r="K1578" s="5">
        <v>0.18313348040775071</v>
      </c>
      <c r="L1578">
        <v>255.8243397352924</v>
      </c>
      <c r="M1578" s="10">
        <v>-0.56667591778789794</v>
      </c>
      <c r="N1578" s="24" t="s">
        <v>343</v>
      </c>
      <c r="O1578" s="24">
        <v>16.999444932726121</v>
      </c>
      <c r="P1578">
        <v>56.849610574104283</v>
      </c>
      <c r="Q1578" t="s">
        <v>47</v>
      </c>
      <c r="R1578" t="s">
        <v>350</v>
      </c>
      <c r="S1578" t="s">
        <v>343</v>
      </c>
      <c r="T1578" t="s">
        <v>343</v>
      </c>
    </row>
    <row r="1579" spans="2:20" x14ac:dyDescent="0.25">
      <c r="B1579">
        <v>1574</v>
      </c>
      <c r="C1579" t="s">
        <v>1918</v>
      </c>
      <c r="D1579" s="10">
        <v>0.22576455516907279</v>
      </c>
      <c r="E1579" s="10">
        <v>0.70478339763147857</v>
      </c>
      <c r="F1579" s="10">
        <v>0.63107786936148735</v>
      </c>
      <c r="G1579" s="10">
        <v>0.3029585232698162</v>
      </c>
      <c r="H1579" s="6">
        <v>0.22934824427183059</v>
      </c>
      <c r="I1579" s="10">
        <v>6.8147364101458647</v>
      </c>
      <c r="J1579" s="7">
        <v>2.200106319711078E-2</v>
      </c>
      <c r="K1579" s="5">
        <v>0.15067885218251281</v>
      </c>
      <c r="L1579">
        <v>90.535470787408855</v>
      </c>
      <c r="M1579" s="10">
        <v>-0.84664789977690169</v>
      </c>
      <c r="N1579" s="24" t="s">
        <v>343</v>
      </c>
      <c r="O1579" s="24">
        <v>0.2011260133859025</v>
      </c>
      <c r="P1579">
        <v>60.189370349616311</v>
      </c>
      <c r="Q1579" t="s">
        <v>47</v>
      </c>
      <c r="R1579" t="s">
        <v>350</v>
      </c>
      <c r="S1579" t="s">
        <v>343</v>
      </c>
      <c r="T1579" t="s">
        <v>343</v>
      </c>
    </row>
    <row r="1580" spans="2:20" x14ac:dyDescent="0.25">
      <c r="B1580">
        <v>1575</v>
      </c>
      <c r="C1580" t="s">
        <v>1919</v>
      </c>
      <c r="D1580" s="10">
        <v>0.29437780845867523</v>
      </c>
      <c r="E1580" s="10">
        <v>0.88813343038217063</v>
      </c>
      <c r="F1580" s="10">
        <v>0.69614931931612101</v>
      </c>
      <c r="G1580" s="10">
        <v>0.39524020476101268</v>
      </c>
      <c r="H1580" s="6">
        <v>0.18922921621504379</v>
      </c>
      <c r="I1580" s="10">
        <v>10.269362636694259</v>
      </c>
      <c r="J1580" s="7">
        <v>4.2173383068017989E-2</v>
      </c>
      <c r="K1580" s="5">
        <v>0.1334574386847053</v>
      </c>
      <c r="L1580">
        <v>439.11528296490269</v>
      </c>
      <c r="M1580" s="10">
        <v>-0.25621140203875648</v>
      </c>
      <c r="N1580" s="24" t="s">
        <v>343</v>
      </c>
      <c r="O1580" s="24">
        <v>35.627315877674611</v>
      </c>
      <c r="P1580">
        <v>51.370375572048047</v>
      </c>
      <c r="Q1580" t="s">
        <v>47</v>
      </c>
      <c r="R1580" t="s">
        <v>350</v>
      </c>
      <c r="S1580" t="s">
        <v>343</v>
      </c>
      <c r="T1580" t="s">
        <v>343</v>
      </c>
    </row>
    <row r="1581" spans="2:20" x14ac:dyDescent="0.25">
      <c r="B1581">
        <v>1576</v>
      </c>
      <c r="C1581" t="s">
        <v>1920</v>
      </c>
      <c r="D1581" s="10">
        <v>0.3040036997436818</v>
      </c>
      <c r="E1581" s="10">
        <v>0.76478669037347435</v>
      </c>
      <c r="F1581" s="10">
        <v>0.51675979411662509</v>
      </c>
      <c r="G1581" s="10">
        <v>0.3190212617516443</v>
      </c>
      <c r="H1581" s="6">
        <v>0.12506519035268801</v>
      </c>
      <c r="I1581" s="10">
        <v>13.433520747064859</v>
      </c>
      <c r="J1581" s="7">
        <v>2.7591551816604189E-2</v>
      </c>
      <c r="K1581" s="5">
        <v>0.15005008841500581</v>
      </c>
      <c r="L1581">
        <v>284.05239934219298</v>
      </c>
      <c r="M1581" s="10">
        <v>-0.51886225770205407</v>
      </c>
      <c r="N1581" s="24" t="s">
        <v>343</v>
      </c>
      <c r="O1581" s="24">
        <v>19.868264537876751</v>
      </c>
      <c r="P1581">
        <v>51.099294172997297</v>
      </c>
      <c r="Q1581" t="s">
        <v>47</v>
      </c>
      <c r="R1581" t="s">
        <v>350</v>
      </c>
      <c r="S1581" t="s">
        <v>343</v>
      </c>
      <c r="T1581" t="s">
        <v>343</v>
      </c>
    </row>
    <row r="1582" spans="2:20" x14ac:dyDescent="0.25">
      <c r="B1582">
        <v>1577</v>
      </c>
      <c r="C1582" t="s">
        <v>1921</v>
      </c>
      <c r="D1582" s="10">
        <v>0.21654742068843491</v>
      </c>
      <c r="E1582" s="10">
        <v>0.61264843570129668</v>
      </c>
      <c r="F1582" s="10">
        <v>0.60762865244863273</v>
      </c>
      <c r="G1582" s="10">
        <v>0.28195760888907262</v>
      </c>
      <c r="H1582" s="6">
        <v>0.15517373309947491</v>
      </c>
      <c r="I1582" s="10">
        <v>9.6761608944890281</v>
      </c>
      <c r="J1582" s="7">
        <v>3.3765209708053009E-2</v>
      </c>
      <c r="K1582" s="5">
        <v>0.16975867414482021</v>
      </c>
      <c r="L1582">
        <v>161.74924404234449</v>
      </c>
      <c r="M1582" s="10">
        <v>-0.72602355664955931</v>
      </c>
      <c r="N1582" s="24" t="s">
        <v>343</v>
      </c>
      <c r="O1582" s="24">
        <v>7.4385866010264436</v>
      </c>
      <c r="P1582">
        <v>69.164287556683334</v>
      </c>
      <c r="Q1582" t="s">
        <v>47</v>
      </c>
      <c r="R1582" t="s">
        <v>350</v>
      </c>
      <c r="S1582" t="s">
        <v>343</v>
      </c>
      <c r="T1582" t="s">
        <v>343</v>
      </c>
    </row>
    <row r="1583" spans="2:20" x14ac:dyDescent="0.25">
      <c r="B1583">
        <v>1578</v>
      </c>
      <c r="C1583" t="s">
        <v>1922</v>
      </c>
      <c r="D1583" s="10">
        <v>0.19789928943591709</v>
      </c>
      <c r="E1583" s="10">
        <v>1.294518696003399</v>
      </c>
      <c r="F1583" s="10">
        <v>0.66242436844168151</v>
      </c>
      <c r="G1583" s="10">
        <v>0.32126812565657242</v>
      </c>
      <c r="H1583" s="6">
        <v>0.1238634587610867</v>
      </c>
      <c r="I1583" s="10">
        <v>5.663688744352271</v>
      </c>
      <c r="J1583" s="7">
        <v>4.3326372120926472E-2</v>
      </c>
      <c r="K1583" s="5">
        <v>0.17185134796325841</v>
      </c>
      <c r="L1583">
        <v>172.63196194557671</v>
      </c>
      <c r="M1583" s="10">
        <v>-0.70759003405248821</v>
      </c>
      <c r="N1583" s="24" t="s">
        <v>343</v>
      </c>
      <c r="O1583" s="24">
        <v>8.544597956850712</v>
      </c>
      <c r="P1583">
        <v>57.0505322761529</v>
      </c>
      <c r="Q1583" t="s">
        <v>47</v>
      </c>
      <c r="R1583" t="s">
        <v>350</v>
      </c>
      <c r="S1583" t="s">
        <v>343</v>
      </c>
      <c r="T1583" t="s">
        <v>343</v>
      </c>
    </row>
    <row r="1584" spans="2:20" x14ac:dyDescent="0.25">
      <c r="B1584">
        <v>1579</v>
      </c>
      <c r="C1584" t="s">
        <v>1923</v>
      </c>
      <c r="D1584" s="10">
        <v>0.28488408243901792</v>
      </c>
      <c r="E1584" s="10">
        <v>0.5032414872634926</v>
      </c>
      <c r="F1584" s="10">
        <v>0.59067635281761688</v>
      </c>
      <c r="G1584" s="10">
        <v>0.42784198572320642</v>
      </c>
      <c r="H1584" s="6">
        <v>0.18853117829865659</v>
      </c>
      <c r="I1584" s="10">
        <v>12.13502340449025</v>
      </c>
      <c r="J1584" s="7">
        <v>4.2062896072650097E-2</v>
      </c>
      <c r="K1584" s="5">
        <v>0.1069982698717422</v>
      </c>
      <c r="L1584">
        <v>117.02095230470739</v>
      </c>
      <c r="M1584" s="10">
        <v>-0.8017858785075247</v>
      </c>
      <c r="N1584" s="24" t="s">
        <v>343</v>
      </c>
      <c r="O1584" s="24">
        <v>2.8928472895485129</v>
      </c>
      <c r="P1584">
        <v>45.024474325170623</v>
      </c>
      <c r="Q1584" t="s">
        <v>346</v>
      </c>
      <c r="R1584" t="s">
        <v>347</v>
      </c>
      <c r="S1584" t="s">
        <v>343</v>
      </c>
      <c r="T1584" t="s">
        <v>343</v>
      </c>
    </row>
    <row r="1585" spans="2:20" x14ac:dyDescent="0.25">
      <c r="B1585">
        <v>1580</v>
      </c>
      <c r="C1585" t="s">
        <v>1924</v>
      </c>
      <c r="D1585" s="10">
        <v>0.20396896568770179</v>
      </c>
      <c r="E1585" s="10">
        <v>1.0495021331386161</v>
      </c>
      <c r="F1585" s="10">
        <v>0.64527056579000208</v>
      </c>
      <c r="G1585" s="10">
        <v>0.40241544958692321</v>
      </c>
      <c r="H1585" s="6">
        <v>0.16888196408326281</v>
      </c>
      <c r="I1585" s="10">
        <v>3.1379677276651732</v>
      </c>
      <c r="J1585" s="7">
        <v>3.2567956975854767E-2</v>
      </c>
      <c r="K1585" s="5">
        <v>0.17646113901500771</v>
      </c>
      <c r="L1585">
        <v>159.66635113024131</v>
      </c>
      <c r="M1585" s="10">
        <v>-0.72955163243944354</v>
      </c>
      <c r="N1585" s="24" t="s">
        <v>343</v>
      </c>
      <c r="O1585" s="24">
        <v>7.2269020536333848</v>
      </c>
      <c r="P1585">
        <v>59.935054313291673</v>
      </c>
      <c r="Q1585" t="s">
        <v>47</v>
      </c>
      <c r="R1585" t="s">
        <v>350</v>
      </c>
      <c r="S1585" t="s">
        <v>343</v>
      </c>
      <c r="T1585" t="s">
        <v>343</v>
      </c>
    </row>
    <row r="1586" spans="2:20" x14ac:dyDescent="0.25">
      <c r="B1586">
        <v>1581</v>
      </c>
      <c r="C1586" t="s">
        <v>1925</v>
      </c>
      <c r="D1586" s="10">
        <v>0.29161829096218861</v>
      </c>
      <c r="E1586" s="10">
        <v>1.317109183840655</v>
      </c>
      <c r="F1586" s="10">
        <v>0.54775756831837719</v>
      </c>
      <c r="G1586" s="10">
        <v>0.31362098578198411</v>
      </c>
      <c r="H1586" s="6">
        <v>0.26811743398698767</v>
      </c>
      <c r="I1586" s="10">
        <v>5.8219087757414636</v>
      </c>
      <c r="J1586" s="7">
        <v>1.5800948703663571E-2</v>
      </c>
      <c r="K1586" s="5">
        <v>0.1609422227619898</v>
      </c>
      <c r="L1586">
        <v>147.35346972189629</v>
      </c>
      <c r="M1586" s="10">
        <v>-0.75040761526413591</v>
      </c>
      <c r="N1586" s="24" t="s">
        <v>343</v>
      </c>
      <c r="O1586" s="24">
        <v>5.9755430841518447</v>
      </c>
      <c r="P1586">
        <v>57.798976499825649</v>
      </c>
      <c r="Q1586" t="s">
        <v>47</v>
      </c>
      <c r="R1586" t="s">
        <v>350</v>
      </c>
      <c r="S1586" t="s">
        <v>343</v>
      </c>
      <c r="T1586" t="s">
        <v>343</v>
      </c>
    </row>
    <row r="1587" spans="2:20" x14ac:dyDescent="0.25">
      <c r="B1587">
        <v>1582</v>
      </c>
      <c r="C1587" t="s">
        <v>1926</v>
      </c>
      <c r="D1587" s="10">
        <v>0.22779812058380211</v>
      </c>
      <c r="E1587" s="10">
        <v>0.89253695565397639</v>
      </c>
      <c r="F1587" s="10">
        <v>0.59352774987024914</v>
      </c>
      <c r="G1587" s="10">
        <v>0.4394979722640745</v>
      </c>
      <c r="H1587" s="6">
        <v>0.25027561754352939</v>
      </c>
      <c r="I1587" s="10">
        <v>7.2623953740256244</v>
      </c>
      <c r="J1587" s="7">
        <v>4.3269895084076547E-2</v>
      </c>
      <c r="K1587" s="5">
        <v>0.1038550633209943</v>
      </c>
      <c r="L1587">
        <v>379.09626676100447</v>
      </c>
      <c r="M1587" s="10">
        <v>-0.35787367990777502</v>
      </c>
      <c r="N1587" s="24" t="s">
        <v>343</v>
      </c>
      <c r="O1587" s="24">
        <v>29.527579205533499</v>
      </c>
      <c r="P1587">
        <v>53.026386851987191</v>
      </c>
      <c r="Q1587" t="s">
        <v>47</v>
      </c>
      <c r="R1587" t="s">
        <v>350</v>
      </c>
      <c r="S1587" t="s">
        <v>343</v>
      </c>
      <c r="T1587" t="s">
        <v>343</v>
      </c>
    </row>
    <row r="1588" spans="2:20" x14ac:dyDescent="0.25">
      <c r="B1588">
        <v>1583</v>
      </c>
      <c r="C1588" t="s">
        <v>1927</v>
      </c>
      <c r="D1588" s="10">
        <v>0.26680798388663529</v>
      </c>
      <c r="E1588" s="10">
        <v>1.26404933743743</v>
      </c>
      <c r="F1588" s="10">
        <v>0.45447326212912542</v>
      </c>
      <c r="G1588" s="10">
        <v>0.2564631797258427</v>
      </c>
      <c r="H1588" s="6">
        <v>0.2438506290514724</v>
      </c>
      <c r="I1588" s="10">
        <v>5.1557674750465674</v>
      </c>
      <c r="J1588" s="7">
        <v>4.4444749405883867E-2</v>
      </c>
      <c r="K1588" s="5">
        <v>0.12975031455231009</v>
      </c>
      <c r="L1588">
        <v>187.88970121898129</v>
      </c>
      <c r="M1588" s="10">
        <v>-0.68174594949774736</v>
      </c>
      <c r="N1588" s="24" t="s">
        <v>343</v>
      </c>
      <c r="O1588" s="24">
        <v>10.09524303013516</v>
      </c>
      <c r="P1588">
        <v>50.208395657027467</v>
      </c>
      <c r="Q1588" t="s">
        <v>47</v>
      </c>
      <c r="R1588" t="s">
        <v>350</v>
      </c>
      <c r="S1588" t="s">
        <v>343</v>
      </c>
      <c r="T1588" t="s">
        <v>343</v>
      </c>
    </row>
    <row r="1589" spans="2:20" x14ac:dyDescent="0.25">
      <c r="B1589">
        <v>1584</v>
      </c>
      <c r="C1589" t="s">
        <v>1928</v>
      </c>
      <c r="D1589" s="10">
        <v>0.17528565021354689</v>
      </c>
      <c r="E1589" s="10">
        <v>0.43733662627661268</v>
      </c>
      <c r="F1589" s="10">
        <v>0.69629957751445137</v>
      </c>
      <c r="G1589" s="10">
        <v>0.25094583411100152</v>
      </c>
      <c r="H1589" s="6">
        <v>0.19516748235468681</v>
      </c>
      <c r="I1589" s="10">
        <v>9.6441990179291217</v>
      </c>
      <c r="J1589" s="7">
        <v>1.3618884338370539E-2</v>
      </c>
      <c r="K1589" s="5">
        <v>0.14851093002596</v>
      </c>
      <c r="L1589">
        <v>112.0106684523318</v>
      </c>
      <c r="M1589" s="10">
        <v>-0.81027246994835178</v>
      </c>
      <c r="N1589" s="24" t="s">
        <v>343</v>
      </c>
      <c r="O1589" s="24">
        <v>2.3836518030988998</v>
      </c>
      <c r="P1589">
        <v>60.752347395488108</v>
      </c>
      <c r="Q1589" t="s">
        <v>47</v>
      </c>
      <c r="R1589" t="s">
        <v>350</v>
      </c>
      <c r="S1589" t="s">
        <v>343</v>
      </c>
      <c r="T1589" t="s">
        <v>343</v>
      </c>
    </row>
    <row r="1590" spans="2:20" x14ac:dyDescent="0.25">
      <c r="B1590">
        <v>1585</v>
      </c>
      <c r="C1590" t="s">
        <v>1929</v>
      </c>
      <c r="D1590" s="10">
        <v>0.25981749194825171</v>
      </c>
      <c r="E1590" s="10">
        <v>0.84316764728204885</v>
      </c>
      <c r="F1590" s="10">
        <v>0.64800480517658843</v>
      </c>
      <c r="G1590" s="10">
        <v>0.26804347805275308</v>
      </c>
      <c r="H1590" s="6">
        <v>0.24106312490261511</v>
      </c>
      <c r="I1590" s="10">
        <v>9.1380067863427676</v>
      </c>
      <c r="J1590" s="7">
        <v>2.5760418874140621E-2</v>
      </c>
      <c r="K1590" s="5">
        <v>0.1179028917595201</v>
      </c>
      <c r="L1590">
        <v>220.29516718786141</v>
      </c>
      <c r="M1590" s="10">
        <v>-0.62685645456481764</v>
      </c>
      <c r="N1590" s="24" t="s">
        <v>343</v>
      </c>
      <c r="O1590" s="24">
        <v>13.38861272611094</v>
      </c>
      <c r="P1590">
        <v>58.188750588655353</v>
      </c>
      <c r="Q1590" t="s">
        <v>47</v>
      </c>
      <c r="R1590" t="s">
        <v>350</v>
      </c>
      <c r="S1590" t="s">
        <v>343</v>
      </c>
      <c r="T1590" t="s">
        <v>343</v>
      </c>
    </row>
    <row r="1591" spans="2:20" x14ac:dyDescent="0.25">
      <c r="B1591">
        <v>1586</v>
      </c>
      <c r="C1591" t="s">
        <v>1930</v>
      </c>
      <c r="D1591" s="10">
        <v>0.23228282859795671</v>
      </c>
      <c r="E1591" s="10">
        <v>0.80272780852903325</v>
      </c>
      <c r="F1591" s="10">
        <v>0.66589035862417689</v>
      </c>
      <c r="G1591" s="10">
        <v>0.26562004628889269</v>
      </c>
      <c r="H1591" s="6">
        <v>0.1600304471194133</v>
      </c>
      <c r="I1591" s="10">
        <v>7.4714622528264654</v>
      </c>
      <c r="J1591" s="7">
        <v>2.9188944734616178E-2</v>
      </c>
      <c r="K1591" s="5">
        <v>0.11474785024308271</v>
      </c>
      <c r="L1591">
        <v>175.84130542013921</v>
      </c>
      <c r="M1591" s="10">
        <v>-0.7021539374830329</v>
      </c>
      <c r="N1591" s="24" t="s">
        <v>343</v>
      </c>
      <c r="O1591" s="24">
        <v>8.8707637510180319</v>
      </c>
      <c r="P1591">
        <v>59.304200518549351</v>
      </c>
      <c r="Q1591" t="s">
        <v>47</v>
      </c>
      <c r="R1591" t="s">
        <v>350</v>
      </c>
      <c r="S1591" t="s">
        <v>343</v>
      </c>
      <c r="T1591" t="s">
        <v>343</v>
      </c>
    </row>
    <row r="1592" spans="2:20" x14ac:dyDescent="0.25">
      <c r="B1592">
        <v>1587</v>
      </c>
      <c r="C1592" t="s">
        <v>1931</v>
      </c>
      <c r="D1592" s="10">
        <v>0.25385735410807592</v>
      </c>
      <c r="E1592" s="10">
        <v>0.30893068774069432</v>
      </c>
      <c r="F1592" s="10">
        <v>0.62051651231716598</v>
      </c>
      <c r="G1592" s="10">
        <v>0.2593235493027149</v>
      </c>
      <c r="H1592" s="6">
        <v>0.20409742017697871</v>
      </c>
      <c r="I1592" s="10">
        <v>6.238173913198346</v>
      </c>
      <c r="J1592" s="7">
        <v>1.3222853916412329E-2</v>
      </c>
      <c r="K1592" s="5">
        <v>0.1013567106367462</v>
      </c>
      <c r="L1592">
        <v>122.4200566417385</v>
      </c>
      <c r="M1592" s="10">
        <v>-0.79264068953124445</v>
      </c>
      <c r="N1592" s="24" t="s">
        <v>343</v>
      </c>
      <c r="O1592" s="24">
        <v>3.441558628125335</v>
      </c>
      <c r="P1592">
        <v>52.235810478418557</v>
      </c>
      <c r="Q1592" t="s">
        <v>47</v>
      </c>
      <c r="R1592" t="s">
        <v>350</v>
      </c>
      <c r="S1592" t="s">
        <v>343</v>
      </c>
      <c r="T1592" t="s">
        <v>343</v>
      </c>
    </row>
    <row r="1593" spans="2:20" x14ac:dyDescent="0.25">
      <c r="B1593">
        <v>1588</v>
      </c>
      <c r="C1593" t="s">
        <v>1932</v>
      </c>
      <c r="D1593" s="10">
        <v>0.18688227323917819</v>
      </c>
      <c r="E1593" s="10">
        <v>0.78758307549526785</v>
      </c>
      <c r="F1593" s="10">
        <v>0.48837300853026189</v>
      </c>
      <c r="G1593" s="10">
        <v>0.3854953746395583</v>
      </c>
      <c r="H1593" s="6">
        <v>0.17893770919791149</v>
      </c>
      <c r="I1593" s="10">
        <v>7.7729796769822421</v>
      </c>
      <c r="J1593" s="7">
        <v>1.66387982310881E-2</v>
      </c>
      <c r="K1593" s="5">
        <v>0.1865973101778696</v>
      </c>
      <c r="L1593">
        <v>76.651734434223826</v>
      </c>
      <c r="M1593" s="10">
        <v>-0.87016465083797645</v>
      </c>
      <c r="N1593" s="24" t="s">
        <v>343</v>
      </c>
      <c r="O1593" s="24">
        <v>0</v>
      </c>
      <c r="P1593">
        <v>60.344738962401657</v>
      </c>
      <c r="Q1593" t="s">
        <v>47</v>
      </c>
      <c r="R1593" t="s">
        <v>350</v>
      </c>
      <c r="S1593" t="s">
        <v>343</v>
      </c>
      <c r="T1593" t="s">
        <v>343</v>
      </c>
    </row>
    <row r="1594" spans="2:20" x14ac:dyDescent="0.25">
      <c r="B1594">
        <v>1589</v>
      </c>
      <c r="C1594" t="s">
        <v>1933</v>
      </c>
      <c r="D1594" s="10">
        <v>0.27789979919106922</v>
      </c>
      <c r="E1594" s="10">
        <v>0.70593273202085749</v>
      </c>
      <c r="F1594" s="10">
        <v>0.44806739502868842</v>
      </c>
      <c r="G1594" s="10">
        <v>0.37218532352419331</v>
      </c>
      <c r="H1594" s="6">
        <v>0.14570128672840951</v>
      </c>
      <c r="I1594" s="10">
        <v>6.2032248238400891</v>
      </c>
      <c r="J1594" s="7">
        <v>2.8819688687778049E-2</v>
      </c>
      <c r="K1594" s="5">
        <v>0.10533025572786781</v>
      </c>
      <c r="L1594">
        <v>233.33689793616969</v>
      </c>
      <c r="M1594" s="10">
        <v>-0.60476592161234088</v>
      </c>
      <c r="N1594" s="24" t="s">
        <v>343</v>
      </c>
      <c r="O1594" s="24">
        <v>14.71404470325955</v>
      </c>
      <c r="P1594">
        <v>61.472237643864702</v>
      </c>
      <c r="Q1594" t="s">
        <v>47</v>
      </c>
      <c r="R1594" t="s">
        <v>350</v>
      </c>
      <c r="S1594" t="s">
        <v>343</v>
      </c>
      <c r="T1594" t="s">
        <v>343</v>
      </c>
    </row>
    <row r="1595" spans="2:20" x14ac:dyDescent="0.25">
      <c r="B1595">
        <v>1590</v>
      </c>
      <c r="C1595" t="s">
        <v>1934</v>
      </c>
      <c r="D1595" s="10">
        <v>0.29804753240691662</v>
      </c>
      <c r="E1595" s="10">
        <v>1.0367786005520769</v>
      </c>
      <c r="F1595" s="10">
        <v>0.66481071801136349</v>
      </c>
      <c r="G1595" s="10">
        <v>0.38247321232797732</v>
      </c>
      <c r="H1595" s="6">
        <v>0.1308920147052606</v>
      </c>
      <c r="I1595" s="10">
        <v>5.4338435910618754</v>
      </c>
      <c r="J1595" s="7">
        <v>4.3708130674772923E-2</v>
      </c>
      <c r="K1595" s="5">
        <v>0.13477108503908269</v>
      </c>
      <c r="L1595">
        <v>301.6898260484362</v>
      </c>
      <c r="M1595" s="10">
        <v>-0.48898737657082869</v>
      </c>
      <c r="N1595" s="24" t="s">
        <v>343</v>
      </c>
      <c r="O1595" s="24">
        <v>21.660757405750271</v>
      </c>
      <c r="P1595">
        <v>55.179865742449081</v>
      </c>
      <c r="Q1595" t="s">
        <v>47</v>
      </c>
      <c r="R1595" t="s">
        <v>350</v>
      </c>
      <c r="S1595" t="s">
        <v>343</v>
      </c>
      <c r="T1595" t="s">
        <v>343</v>
      </c>
    </row>
    <row r="1596" spans="2:20" x14ac:dyDescent="0.25">
      <c r="B1596">
        <v>1591</v>
      </c>
      <c r="C1596" t="s">
        <v>1935</v>
      </c>
      <c r="D1596" s="10">
        <v>0.19467836801452409</v>
      </c>
      <c r="E1596" s="10">
        <v>1.33216275643417</v>
      </c>
      <c r="F1596" s="10">
        <v>0.54304596997139198</v>
      </c>
      <c r="G1596" s="10">
        <v>0.39144053191564671</v>
      </c>
      <c r="H1596" s="6">
        <v>0.20373275744574221</v>
      </c>
      <c r="I1596" s="10">
        <v>6.8639714554028108</v>
      </c>
      <c r="J1596" s="7">
        <v>1.0973349157506531E-2</v>
      </c>
      <c r="K1596" s="5">
        <v>0.1195483055407915</v>
      </c>
      <c r="L1596">
        <v>173.30687512308481</v>
      </c>
      <c r="M1596" s="10">
        <v>-0.7064468428552817</v>
      </c>
      <c r="N1596" s="24" t="s">
        <v>343</v>
      </c>
      <c r="O1596" s="24">
        <v>8.6131894286830963</v>
      </c>
      <c r="P1596">
        <v>55.317258538905257</v>
      </c>
      <c r="Q1596" t="s">
        <v>47</v>
      </c>
      <c r="R1596" t="s">
        <v>350</v>
      </c>
      <c r="S1596" t="s">
        <v>343</v>
      </c>
      <c r="T1596" t="s">
        <v>343</v>
      </c>
    </row>
    <row r="1597" spans="2:20" x14ac:dyDescent="0.25">
      <c r="B1597">
        <v>1592</v>
      </c>
      <c r="C1597" t="s">
        <v>1936</v>
      </c>
      <c r="D1597" s="10">
        <v>0.1753143288832259</v>
      </c>
      <c r="E1597" s="10">
        <v>0.39437019708824023</v>
      </c>
      <c r="F1597" s="10">
        <v>0.50860486777037917</v>
      </c>
      <c r="G1597" s="10">
        <v>0.40651354554574959</v>
      </c>
      <c r="H1597" s="6">
        <v>0.1346458702320309</v>
      </c>
      <c r="I1597" s="10">
        <v>9.6256914014586883</v>
      </c>
      <c r="J1597" s="7">
        <v>4.1935507595490577E-2</v>
      </c>
      <c r="K1597" s="5">
        <v>0.1703981447096993</v>
      </c>
      <c r="L1597">
        <v>106.7794600536085</v>
      </c>
      <c r="M1597" s="10">
        <v>-0.81913327099872313</v>
      </c>
      <c r="N1597" s="24" t="s">
        <v>343</v>
      </c>
      <c r="O1597" s="24">
        <v>1.8520037400766109</v>
      </c>
      <c r="P1597">
        <v>59.873864890529262</v>
      </c>
      <c r="Q1597" t="s">
        <v>47</v>
      </c>
      <c r="R1597" t="s">
        <v>350</v>
      </c>
      <c r="S1597" t="s">
        <v>343</v>
      </c>
      <c r="T1597" t="s">
        <v>343</v>
      </c>
    </row>
    <row r="1598" spans="2:20" x14ac:dyDescent="0.25">
      <c r="B1598">
        <v>1593</v>
      </c>
      <c r="C1598" t="s">
        <v>1937</v>
      </c>
      <c r="D1598" s="10">
        <v>0.1637821737674138</v>
      </c>
      <c r="E1598" s="10">
        <v>0.66022402538608538</v>
      </c>
      <c r="F1598" s="10">
        <v>0.58603496929812549</v>
      </c>
      <c r="G1598" s="10">
        <v>0.2855789240470103</v>
      </c>
      <c r="H1598" s="6">
        <v>0.22770046450289741</v>
      </c>
      <c r="I1598" s="10">
        <v>10.132299423909689</v>
      </c>
      <c r="J1598" s="7">
        <v>4.1451285951728672E-2</v>
      </c>
      <c r="K1598" s="5">
        <v>0.16718254246074579</v>
      </c>
      <c r="L1598">
        <v>78.237820542784334</v>
      </c>
      <c r="M1598" s="10">
        <v>-0.8674780835316267</v>
      </c>
      <c r="N1598" s="24" t="s">
        <v>343</v>
      </c>
      <c r="O1598" s="24">
        <v>0</v>
      </c>
      <c r="P1598">
        <v>58.976241243997293</v>
      </c>
      <c r="Q1598" t="s">
        <v>47</v>
      </c>
      <c r="R1598" t="s">
        <v>350</v>
      </c>
      <c r="S1598" t="s">
        <v>343</v>
      </c>
      <c r="T1598" t="s">
        <v>343</v>
      </c>
    </row>
    <row r="1599" spans="2:20" x14ac:dyDescent="0.25">
      <c r="B1599">
        <v>1594</v>
      </c>
      <c r="C1599" t="s">
        <v>1938</v>
      </c>
      <c r="D1599" s="10">
        <v>0.26271544007092262</v>
      </c>
      <c r="E1599" s="10">
        <v>0.78847121113367702</v>
      </c>
      <c r="F1599" s="10">
        <v>0.549433615843687</v>
      </c>
      <c r="G1599" s="10">
        <v>0.37690677291165597</v>
      </c>
      <c r="H1599" s="6">
        <v>0.25822027180892337</v>
      </c>
      <c r="I1599" s="10">
        <v>6.2708187716998847</v>
      </c>
      <c r="J1599" s="7">
        <v>4.000125223152947E-2</v>
      </c>
      <c r="K1599" s="5">
        <v>0.17659112913638819</v>
      </c>
      <c r="L1599">
        <v>170.86963407453061</v>
      </c>
      <c r="M1599" s="10">
        <v>-0.71057512572933179</v>
      </c>
      <c r="N1599" s="24" t="s">
        <v>343</v>
      </c>
      <c r="O1599" s="24">
        <v>8.3654924562400907</v>
      </c>
      <c r="P1599">
        <v>60.761934391051668</v>
      </c>
      <c r="Q1599" t="s">
        <v>47</v>
      </c>
      <c r="R1599" t="s">
        <v>350</v>
      </c>
      <c r="S1599" t="s">
        <v>343</v>
      </c>
      <c r="T1599" t="s">
        <v>343</v>
      </c>
    </row>
    <row r="1600" spans="2:20" x14ac:dyDescent="0.25">
      <c r="B1600">
        <v>1595</v>
      </c>
      <c r="C1600" t="s">
        <v>1939</v>
      </c>
      <c r="D1600" s="10">
        <v>0.25713504577420487</v>
      </c>
      <c r="E1600" s="10">
        <v>0.80070391583782152</v>
      </c>
      <c r="F1600" s="10">
        <v>0.60943315887876481</v>
      </c>
      <c r="G1600" s="10">
        <v>0.36761070505400212</v>
      </c>
      <c r="H1600" s="6">
        <v>0.14431591645673411</v>
      </c>
      <c r="I1600" s="10">
        <v>13.421378399625389</v>
      </c>
      <c r="J1600" s="7">
        <v>2.321428250324855E-2</v>
      </c>
      <c r="K1600" s="5">
        <v>0.15859678861827359</v>
      </c>
      <c r="L1600">
        <v>184.85626234964809</v>
      </c>
      <c r="M1600" s="10">
        <v>-0.68688409278528784</v>
      </c>
      <c r="N1600" s="24" t="s">
        <v>343</v>
      </c>
      <c r="O1600" s="24">
        <v>9.7869544328827303</v>
      </c>
      <c r="P1600">
        <v>56.252878450839177</v>
      </c>
      <c r="Q1600" t="s">
        <v>47</v>
      </c>
      <c r="R1600" t="s">
        <v>350</v>
      </c>
      <c r="S1600" t="s">
        <v>343</v>
      </c>
      <c r="T1600" t="s">
        <v>343</v>
      </c>
    </row>
    <row r="1601" spans="2:20" x14ac:dyDescent="0.25">
      <c r="B1601">
        <v>1596</v>
      </c>
      <c r="C1601" t="s">
        <v>1940</v>
      </c>
      <c r="D1601" s="10">
        <v>0.24747158603425121</v>
      </c>
      <c r="E1601" s="10">
        <v>1.1522906929264789</v>
      </c>
      <c r="F1601" s="10">
        <v>0.56578624059417348</v>
      </c>
      <c r="G1601" s="10">
        <v>0.44760520567676421</v>
      </c>
      <c r="H1601" s="6">
        <v>0.1906407867765342</v>
      </c>
      <c r="I1601" s="10">
        <v>5.8815515290936426</v>
      </c>
      <c r="J1601" s="7">
        <v>2.7178823802280091E-2</v>
      </c>
      <c r="K1601" s="5">
        <v>0.15620705023166681</v>
      </c>
      <c r="L1601">
        <v>250.49407835919979</v>
      </c>
      <c r="M1601" s="10">
        <v>-0.57570449818464919</v>
      </c>
      <c r="N1601" s="24" t="s">
        <v>343</v>
      </c>
      <c r="O1601" s="24">
        <v>16.457730108921051</v>
      </c>
      <c r="P1601">
        <v>60.009693838940628</v>
      </c>
      <c r="Q1601" t="s">
        <v>47</v>
      </c>
      <c r="R1601" t="s">
        <v>350</v>
      </c>
      <c r="S1601" t="s">
        <v>343</v>
      </c>
      <c r="T1601" t="s">
        <v>343</v>
      </c>
    </row>
    <row r="1602" spans="2:20" x14ac:dyDescent="0.25">
      <c r="B1602">
        <v>1597</v>
      </c>
      <c r="C1602" t="s">
        <v>1941</v>
      </c>
      <c r="D1602" s="10">
        <v>0.19711153537855611</v>
      </c>
      <c r="E1602" s="10">
        <v>0.78773523241678478</v>
      </c>
      <c r="F1602" s="10">
        <v>0.62128061651447031</v>
      </c>
      <c r="G1602" s="10">
        <v>0.29112089933272273</v>
      </c>
      <c r="H1602" s="6">
        <v>0.23081618895897379</v>
      </c>
      <c r="I1602" s="10">
        <v>10.83345321196126</v>
      </c>
      <c r="J1602" s="7">
        <v>2.4125812376405539E-2</v>
      </c>
      <c r="K1602" s="5">
        <v>0.13867551796982899</v>
      </c>
      <c r="L1602">
        <v>149.9606489455264</v>
      </c>
      <c r="M1602" s="10">
        <v>-0.7459914852531645</v>
      </c>
      <c r="N1602" s="24" t="s">
        <v>343</v>
      </c>
      <c r="O1602" s="24">
        <v>6.2405108848101349</v>
      </c>
      <c r="P1602">
        <v>67.55583671698966</v>
      </c>
      <c r="Q1602" t="s">
        <v>47</v>
      </c>
      <c r="R1602" t="s">
        <v>350</v>
      </c>
      <c r="S1602" t="s">
        <v>343</v>
      </c>
      <c r="T1602" t="s">
        <v>343</v>
      </c>
    </row>
    <row r="1603" spans="2:20" x14ac:dyDescent="0.25">
      <c r="B1603">
        <v>1598</v>
      </c>
      <c r="C1603" t="s">
        <v>1942</v>
      </c>
      <c r="D1603" s="10">
        <v>0.2225449593448823</v>
      </c>
      <c r="E1603" s="10">
        <v>0.32987743159901872</v>
      </c>
      <c r="F1603" s="10">
        <v>0.66189005007237711</v>
      </c>
      <c r="G1603" s="10">
        <v>0.2529190455623529</v>
      </c>
      <c r="H1603" s="6">
        <v>0.163025949154954</v>
      </c>
      <c r="I1603" s="10">
        <v>3.8962806258780001</v>
      </c>
      <c r="J1603" s="7">
        <v>4.3165516525009003E-2</v>
      </c>
      <c r="K1603" s="5">
        <v>0.16045407651034249</v>
      </c>
      <c r="L1603">
        <v>37.302166062686119</v>
      </c>
      <c r="M1603" s="10">
        <v>-0.9368163057105432</v>
      </c>
      <c r="N1603" s="24" t="s">
        <v>343</v>
      </c>
      <c r="O1603" s="24">
        <v>0</v>
      </c>
      <c r="P1603">
        <v>54.376035693266182</v>
      </c>
      <c r="Q1603" t="s">
        <v>47</v>
      </c>
      <c r="R1603" t="s">
        <v>350</v>
      </c>
      <c r="S1603" t="s">
        <v>343</v>
      </c>
      <c r="T1603" t="s">
        <v>343</v>
      </c>
    </row>
    <row r="1604" spans="2:20" x14ac:dyDescent="0.25">
      <c r="B1604">
        <v>1599</v>
      </c>
      <c r="C1604" t="s">
        <v>1943</v>
      </c>
      <c r="D1604" s="10">
        <v>0.2551162136297877</v>
      </c>
      <c r="E1604" s="10">
        <v>1.081114504052114</v>
      </c>
      <c r="F1604" s="10">
        <v>0.49084482284850522</v>
      </c>
      <c r="G1604" s="10">
        <v>0.38376891533719948</v>
      </c>
      <c r="H1604" s="6">
        <v>0.25811467794494058</v>
      </c>
      <c r="I1604" s="10">
        <v>10.31329000708218</v>
      </c>
      <c r="J1604" s="7">
        <v>2.8247271692086708E-2</v>
      </c>
      <c r="K1604" s="5">
        <v>0.1109445305718415</v>
      </c>
      <c r="L1604">
        <v>301.71126027483359</v>
      </c>
      <c r="M1604" s="10">
        <v>-0.48895107053954501</v>
      </c>
      <c r="N1604" s="24" t="s">
        <v>343</v>
      </c>
      <c r="O1604" s="24">
        <v>21.6629357676273</v>
      </c>
      <c r="P1604">
        <v>18.035245154134099</v>
      </c>
      <c r="Q1604" t="s">
        <v>348</v>
      </c>
      <c r="R1604" t="s">
        <v>371</v>
      </c>
      <c r="S1604" t="s">
        <v>343</v>
      </c>
      <c r="T1604" t="s">
        <v>343</v>
      </c>
    </row>
    <row r="1605" spans="2:20" x14ac:dyDescent="0.25">
      <c r="B1605">
        <v>1600</v>
      </c>
      <c r="C1605" t="s">
        <v>1944</v>
      </c>
      <c r="D1605" s="10">
        <v>0.23948269741746711</v>
      </c>
      <c r="E1605" s="10">
        <v>1.2733126646602391</v>
      </c>
      <c r="F1605" s="10">
        <v>0.52565254894702651</v>
      </c>
      <c r="G1605" s="10">
        <v>0.40283802485207659</v>
      </c>
      <c r="H1605" s="6">
        <v>0.25326983383048662</v>
      </c>
      <c r="I1605" s="10">
        <v>8.0594362352477376</v>
      </c>
      <c r="J1605" s="7">
        <v>1.282144130334651E-2</v>
      </c>
      <c r="K1605" s="5">
        <v>0.16502872067420751</v>
      </c>
      <c r="L1605">
        <v>287.88799291319373</v>
      </c>
      <c r="M1605" s="10">
        <v>-0.51236539713901186</v>
      </c>
      <c r="N1605" s="24" t="s">
        <v>343</v>
      </c>
      <c r="O1605" s="24">
        <v>20.25807617165929</v>
      </c>
      <c r="P1605">
        <v>61.518975603334518</v>
      </c>
      <c r="Q1605" t="s">
        <v>47</v>
      </c>
      <c r="R1605" t="s">
        <v>350</v>
      </c>
      <c r="S1605" t="s">
        <v>343</v>
      </c>
      <c r="T1605" t="s">
        <v>343</v>
      </c>
    </row>
    <row r="1606" spans="2:20" x14ac:dyDescent="0.25">
      <c r="B1606">
        <v>1601</v>
      </c>
      <c r="C1606" t="s">
        <v>1945</v>
      </c>
      <c r="D1606" s="10">
        <v>0.31804568323438198</v>
      </c>
      <c r="E1606" s="10">
        <v>0.8652951838046401</v>
      </c>
      <c r="F1606" s="10">
        <v>0.55357205250836605</v>
      </c>
      <c r="G1606" s="10">
        <v>0.30230312127766112</v>
      </c>
      <c r="H1606" s="6">
        <v>0.13556315335945171</v>
      </c>
      <c r="I1606" s="10">
        <v>9.2601862910773498</v>
      </c>
      <c r="J1606" s="7">
        <v>1.9592094550891209E-2</v>
      </c>
      <c r="K1606" s="5">
        <v>0.1098702869969934</v>
      </c>
      <c r="L1606">
        <v>200.92941934142399</v>
      </c>
      <c r="M1606" s="10">
        <v>-0.65965882560031597</v>
      </c>
      <c r="N1606" s="24" t="s">
        <v>343</v>
      </c>
      <c r="O1606" s="24">
        <v>11.42047046398104</v>
      </c>
      <c r="P1606">
        <v>48.85040307522398</v>
      </c>
      <c r="Q1606" t="s">
        <v>346</v>
      </c>
      <c r="R1606" t="s">
        <v>347</v>
      </c>
      <c r="S1606" t="s">
        <v>343</v>
      </c>
      <c r="T1606" t="s">
        <v>343</v>
      </c>
    </row>
    <row r="1607" spans="2:20" x14ac:dyDescent="0.25">
      <c r="B1607">
        <v>1602</v>
      </c>
      <c r="C1607" t="s">
        <v>1946</v>
      </c>
      <c r="D1607" s="10">
        <v>0.1818303604090773</v>
      </c>
      <c r="E1607" s="10">
        <v>0.93921937386835586</v>
      </c>
      <c r="F1607" s="10">
        <v>0.69013519648718591</v>
      </c>
      <c r="G1607" s="10">
        <v>0.36558665480672708</v>
      </c>
      <c r="H1607" s="6">
        <v>0.12410996572977601</v>
      </c>
      <c r="I1607" s="10">
        <v>5.0247992546525193</v>
      </c>
      <c r="J1607" s="7">
        <v>2.6171162452016401E-2</v>
      </c>
      <c r="K1607" s="5">
        <v>0.18186529074060331</v>
      </c>
      <c r="L1607">
        <v>158.13910933789819</v>
      </c>
      <c r="M1607" s="10">
        <v>-0.73213852721524075</v>
      </c>
      <c r="N1607" s="24" t="s">
        <v>343</v>
      </c>
      <c r="O1607" s="24">
        <v>7.071688367085553</v>
      </c>
      <c r="P1607">
        <v>62.088506725471191</v>
      </c>
      <c r="Q1607" t="s">
        <v>47</v>
      </c>
      <c r="R1607" t="s">
        <v>350</v>
      </c>
      <c r="S1607" t="s">
        <v>343</v>
      </c>
      <c r="T1607" t="s">
        <v>343</v>
      </c>
    </row>
    <row r="1608" spans="2:20" x14ac:dyDescent="0.25">
      <c r="B1608">
        <v>1603</v>
      </c>
      <c r="C1608" t="s">
        <v>1947</v>
      </c>
      <c r="D1608" s="10">
        <v>0.271223128647615</v>
      </c>
      <c r="E1608" s="10">
        <v>0.47923008286595059</v>
      </c>
      <c r="F1608" s="10">
        <v>0.53498673952234621</v>
      </c>
      <c r="G1608" s="10">
        <v>0.2530979344175131</v>
      </c>
      <c r="H1608" s="6">
        <v>0.26646877244691031</v>
      </c>
      <c r="I1608" s="10">
        <v>7.769203654375942</v>
      </c>
      <c r="J1608" s="7">
        <v>4.3374457631122812E-2</v>
      </c>
      <c r="K1608" s="5">
        <v>0.14803986655357029</v>
      </c>
      <c r="L1608">
        <v>76.892511051345849</v>
      </c>
      <c r="M1608" s="10">
        <v>-0.86975681510686309</v>
      </c>
      <c r="N1608" s="24" t="s">
        <v>343</v>
      </c>
      <c r="O1608" s="24">
        <v>0</v>
      </c>
      <c r="P1608">
        <v>50.810124506254333</v>
      </c>
      <c r="Q1608" t="s">
        <v>47</v>
      </c>
      <c r="R1608" t="s">
        <v>350</v>
      </c>
      <c r="S1608" t="s">
        <v>343</v>
      </c>
      <c r="T1608" t="s">
        <v>343</v>
      </c>
    </row>
    <row r="1609" spans="2:20" x14ac:dyDescent="0.25">
      <c r="B1609">
        <v>1604</v>
      </c>
      <c r="C1609" t="s">
        <v>1948</v>
      </c>
      <c r="D1609" s="10">
        <v>0.22469100289668681</v>
      </c>
      <c r="E1609" s="10">
        <v>0.54271053914685274</v>
      </c>
      <c r="F1609" s="10">
        <v>0.53908596089408367</v>
      </c>
      <c r="G1609" s="10">
        <v>0.4512098650570236</v>
      </c>
      <c r="H1609" s="6">
        <v>0.26347125371566971</v>
      </c>
      <c r="I1609" s="10">
        <v>11.42905642212869</v>
      </c>
      <c r="J1609" s="7">
        <v>2.99132881717807E-2</v>
      </c>
      <c r="K1609" s="5">
        <v>0.15038390593088591</v>
      </c>
      <c r="L1609">
        <v>123.42815555512909</v>
      </c>
      <c r="M1609" s="10">
        <v>-0.79093313685319999</v>
      </c>
      <c r="N1609" s="24" t="s">
        <v>343</v>
      </c>
      <c r="O1609" s="24">
        <v>3.5440117888080001</v>
      </c>
      <c r="P1609">
        <v>56.584317392382417</v>
      </c>
      <c r="Q1609" t="s">
        <v>47</v>
      </c>
      <c r="R1609" t="s">
        <v>350</v>
      </c>
      <c r="S1609" t="s">
        <v>343</v>
      </c>
      <c r="T1609" t="s">
        <v>343</v>
      </c>
    </row>
    <row r="1610" spans="2:20" x14ac:dyDescent="0.25">
      <c r="B1610">
        <v>1605</v>
      </c>
      <c r="C1610" t="s">
        <v>1949</v>
      </c>
      <c r="D1610" s="10">
        <v>0.22851193838809841</v>
      </c>
      <c r="E1610" s="10">
        <v>0.55868726303707295</v>
      </c>
      <c r="F1610" s="10">
        <v>0.6099028559694859</v>
      </c>
      <c r="G1610" s="10">
        <v>0.2641834941258171</v>
      </c>
      <c r="H1610" s="6">
        <v>0.18334284066989451</v>
      </c>
      <c r="I1610" s="10">
        <v>11.43793316081741</v>
      </c>
      <c r="J1610" s="7">
        <v>3.4362541810880193E-2</v>
      </c>
      <c r="K1610" s="5">
        <v>0.1555614722094974</v>
      </c>
      <c r="L1610">
        <v>165.4719995790191</v>
      </c>
      <c r="M1610" s="10">
        <v>-0.71971782503739634</v>
      </c>
      <c r="N1610" s="24" t="s">
        <v>343</v>
      </c>
      <c r="O1610" s="24">
        <v>7.8169304977562177</v>
      </c>
      <c r="P1610">
        <v>63.781583132334873</v>
      </c>
      <c r="Q1610" t="s">
        <v>47</v>
      </c>
      <c r="R1610" t="s">
        <v>350</v>
      </c>
      <c r="S1610" t="s">
        <v>343</v>
      </c>
      <c r="T1610" t="s">
        <v>343</v>
      </c>
    </row>
    <row r="1611" spans="2:20" x14ac:dyDescent="0.25">
      <c r="B1611">
        <v>1606</v>
      </c>
      <c r="C1611" t="s">
        <v>1950</v>
      </c>
      <c r="D1611" s="10">
        <v>0.27481564250530821</v>
      </c>
      <c r="E1611" s="10">
        <v>0.77381617236942479</v>
      </c>
      <c r="F1611" s="10">
        <v>0.54899192457138679</v>
      </c>
      <c r="G1611" s="10">
        <v>0.25486551795343898</v>
      </c>
      <c r="H1611" s="6">
        <v>0.12758449861589591</v>
      </c>
      <c r="I1611" s="10">
        <v>5.6131155735475566</v>
      </c>
      <c r="J1611" s="7">
        <v>1.3098194656683959E-2</v>
      </c>
      <c r="K1611" s="5">
        <v>0.17372498740299139</v>
      </c>
      <c r="L1611">
        <v>127.6575204142496</v>
      </c>
      <c r="M1611" s="10">
        <v>-0.78376929291319453</v>
      </c>
      <c r="N1611" s="24" t="s">
        <v>343</v>
      </c>
      <c r="O1611" s="24">
        <v>3.9738424252083249</v>
      </c>
      <c r="P1611">
        <v>63.379927533213227</v>
      </c>
      <c r="Q1611" t="s">
        <v>47</v>
      </c>
      <c r="R1611" t="s">
        <v>350</v>
      </c>
      <c r="S1611" t="s">
        <v>343</v>
      </c>
      <c r="T1611" t="s">
        <v>343</v>
      </c>
    </row>
    <row r="1612" spans="2:20" x14ac:dyDescent="0.25">
      <c r="B1612">
        <v>1607</v>
      </c>
      <c r="C1612" t="s">
        <v>1951</v>
      </c>
      <c r="D1612" s="10">
        <v>0.27078978421189909</v>
      </c>
      <c r="E1612" s="10">
        <v>1.320959742985206</v>
      </c>
      <c r="F1612" s="10">
        <v>0.68731817386629734</v>
      </c>
      <c r="G1612" s="10">
        <v>0.2497042350888162</v>
      </c>
      <c r="H1612" s="6">
        <v>0.2128313329119042</v>
      </c>
      <c r="I1612" s="10">
        <v>6.8785920262433198</v>
      </c>
      <c r="J1612" s="7">
        <v>4.0706341607366171E-2</v>
      </c>
      <c r="K1612" s="5">
        <v>0.1454547089828559</v>
      </c>
      <c r="L1612">
        <v>279.16519507924869</v>
      </c>
      <c r="M1612" s="10">
        <v>-0.52714037269304626</v>
      </c>
      <c r="N1612" s="24" t="s">
        <v>343</v>
      </c>
      <c r="O1612" s="24">
        <v>19.371577638417229</v>
      </c>
      <c r="P1612">
        <v>18.278761817886799</v>
      </c>
      <c r="Q1612" t="s">
        <v>348</v>
      </c>
      <c r="R1612" t="s">
        <v>375</v>
      </c>
      <c r="S1612" t="s">
        <v>343</v>
      </c>
      <c r="T1612" t="s">
        <v>343</v>
      </c>
    </row>
    <row r="1613" spans="2:20" x14ac:dyDescent="0.25">
      <c r="B1613">
        <v>1608</v>
      </c>
      <c r="C1613" t="s">
        <v>1952</v>
      </c>
      <c r="D1613" s="10">
        <v>0.31860095899235008</v>
      </c>
      <c r="E1613" s="10">
        <v>0.87396324338637466</v>
      </c>
      <c r="F1613" s="10">
        <v>0.67256187772361531</v>
      </c>
      <c r="G1613" s="10">
        <v>0.33399981943073759</v>
      </c>
      <c r="H1613" s="6">
        <v>0.16401151610829839</v>
      </c>
      <c r="I1613" s="10">
        <v>3.041949109313117</v>
      </c>
      <c r="J1613" s="7">
        <v>2.8865637770482549E-2</v>
      </c>
      <c r="K1613" s="5">
        <v>0.14062086699649559</v>
      </c>
      <c r="L1613">
        <v>141.7228123087491</v>
      </c>
      <c r="M1613" s="10">
        <v>-0.75994501681993554</v>
      </c>
      <c r="N1613" s="24" t="s">
        <v>343</v>
      </c>
      <c r="O1613" s="24">
        <v>5.4032989908038616</v>
      </c>
      <c r="P1613">
        <v>51.972741932856849</v>
      </c>
      <c r="Q1613" t="s">
        <v>47</v>
      </c>
      <c r="R1613" t="s">
        <v>350</v>
      </c>
      <c r="S1613" t="s">
        <v>343</v>
      </c>
      <c r="T1613" t="s">
        <v>343</v>
      </c>
    </row>
    <row r="1614" spans="2:20" x14ac:dyDescent="0.25">
      <c r="B1614">
        <v>1609</v>
      </c>
      <c r="C1614" t="s">
        <v>1953</v>
      </c>
      <c r="D1614" s="10">
        <v>0.18054308631266</v>
      </c>
      <c r="E1614" s="10">
        <v>0.5113074097214878</v>
      </c>
      <c r="F1614" s="10">
        <v>0.57348628222167497</v>
      </c>
      <c r="G1614" s="10">
        <v>0.26137514356058178</v>
      </c>
      <c r="H1614" s="6">
        <v>0.26050844803508322</v>
      </c>
      <c r="I1614" s="10">
        <v>3.9895839177199361</v>
      </c>
      <c r="J1614" s="7">
        <v>4.2242994438921301E-2</v>
      </c>
      <c r="K1614" s="5">
        <v>0.12739167839342569</v>
      </c>
      <c r="L1614">
        <v>95.395193667577047</v>
      </c>
      <c r="M1614" s="10">
        <v>-0.83841633369904922</v>
      </c>
      <c r="N1614" s="24" t="s">
        <v>343</v>
      </c>
      <c r="O1614" s="24">
        <v>0.69501997805704718</v>
      </c>
      <c r="P1614">
        <v>59.174346997686108</v>
      </c>
      <c r="Q1614" t="s">
        <v>47</v>
      </c>
      <c r="R1614" t="s">
        <v>350</v>
      </c>
      <c r="S1614" t="s">
        <v>343</v>
      </c>
      <c r="T1614" t="s">
        <v>343</v>
      </c>
    </row>
    <row r="1615" spans="2:20" x14ac:dyDescent="0.25">
      <c r="B1615">
        <v>1610</v>
      </c>
      <c r="C1615" t="s">
        <v>1954</v>
      </c>
      <c r="D1615" s="10">
        <v>0.1766575439014666</v>
      </c>
      <c r="E1615" s="10">
        <v>0.59269650945584451</v>
      </c>
      <c r="F1615" s="10">
        <v>0.60764156082644094</v>
      </c>
      <c r="G1615" s="10">
        <v>0.40382261301022659</v>
      </c>
      <c r="H1615" s="6">
        <v>0.2391992887581455</v>
      </c>
      <c r="I1615" s="10">
        <v>4.3940338791363036</v>
      </c>
      <c r="J1615" s="7">
        <v>2.5591683988669459E-2</v>
      </c>
      <c r="K1615" s="5">
        <v>0.1121637383181712</v>
      </c>
      <c r="L1615">
        <v>127.3435915332218</v>
      </c>
      <c r="M1615" s="10">
        <v>-0.78430103646969906</v>
      </c>
      <c r="N1615" s="24" t="s">
        <v>343</v>
      </c>
      <c r="O1615" s="24">
        <v>3.941937811818057</v>
      </c>
      <c r="P1615">
        <v>54.243679396457033</v>
      </c>
      <c r="Q1615" t="s">
        <v>47</v>
      </c>
      <c r="R1615" t="s">
        <v>350</v>
      </c>
      <c r="S1615" t="s">
        <v>343</v>
      </c>
      <c r="T1615" t="s">
        <v>343</v>
      </c>
    </row>
    <row r="1616" spans="2:20" x14ac:dyDescent="0.25">
      <c r="B1616">
        <v>1611</v>
      </c>
      <c r="C1616" t="s">
        <v>1955</v>
      </c>
      <c r="D1616" s="10">
        <v>0.27589421074059861</v>
      </c>
      <c r="E1616" s="10">
        <v>0.72241653269990258</v>
      </c>
      <c r="F1616" s="10">
        <v>0.45508794608974129</v>
      </c>
      <c r="G1616" s="10">
        <v>0.43775231533780917</v>
      </c>
      <c r="H1616" s="6">
        <v>0.2174390676200165</v>
      </c>
      <c r="I1616" s="10">
        <v>6.2301645848549008</v>
      </c>
      <c r="J1616" s="7">
        <v>3.3907939893072121E-2</v>
      </c>
      <c r="K1616" s="5">
        <v>0.1180825414022232</v>
      </c>
      <c r="L1616">
        <v>180.3756932773031</v>
      </c>
      <c r="M1616" s="10">
        <v>-0.69447343507801407</v>
      </c>
      <c r="N1616" s="24" t="s">
        <v>343</v>
      </c>
      <c r="O1616" s="24">
        <v>9.3315938953191555</v>
      </c>
      <c r="P1616">
        <v>57.595883174421147</v>
      </c>
      <c r="Q1616" t="s">
        <v>47</v>
      </c>
      <c r="R1616" t="s">
        <v>350</v>
      </c>
      <c r="S1616" t="s">
        <v>343</v>
      </c>
      <c r="T1616" t="s">
        <v>343</v>
      </c>
    </row>
    <row r="1617" spans="2:20" x14ac:dyDescent="0.25">
      <c r="B1617">
        <v>1612</v>
      </c>
      <c r="C1617" t="s">
        <v>1956</v>
      </c>
      <c r="D1617" s="10">
        <v>0.25254190672102539</v>
      </c>
      <c r="E1617" s="10">
        <v>0.98558487326207933</v>
      </c>
      <c r="F1617" s="10">
        <v>0.62088993728842345</v>
      </c>
      <c r="G1617" s="10">
        <v>0.29724816511146862</v>
      </c>
      <c r="H1617" s="6">
        <v>0.16267557712702929</v>
      </c>
      <c r="I1617" s="10">
        <v>11.349170354167139</v>
      </c>
      <c r="J1617" s="7">
        <v>2.6479350780443851E-2</v>
      </c>
      <c r="K1617" s="5">
        <v>0.1000501451501541</v>
      </c>
      <c r="L1617">
        <v>229.0071654166635</v>
      </c>
      <c r="M1617" s="10">
        <v>-0.61209977175412278</v>
      </c>
      <c r="N1617" s="24" t="s">
        <v>343</v>
      </c>
      <c r="O1617" s="24">
        <v>14.274013694752631</v>
      </c>
      <c r="P1617">
        <v>57.767635120633066</v>
      </c>
      <c r="Q1617" t="s">
        <v>47</v>
      </c>
      <c r="R1617" t="s">
        <v>350</v>
      </c>
      <c r="S1617" t="s">
        <v>343</v>
      </c>
      <c r="T1617" t="s">
        <v>343</v>
      </c>
    </row>
    <row r="1618" spans="2:20" x14ac:dyDescent="0.25">
      <c r="B1618">
        <v>1613</v>
      </c>
      <c r="C1618" t="s">
        <v>1957</v>
      </c>
      <c r="D1618" s="10">
        <v>0.20386570664956891</v>
      </c>
      <c r="E1618" s="10">
        <v>0.78403646830440588</v>
      </c>
      <c r="F1618" s="10">
        <v>0.62387222696674838</v>
      </c>
      <c r="G1618" s="10">
        <v>0.37833008623530773</v>
      </c>
      <c r="H1618" s="6">
        <v>0.22519028691625759</v>
      </c>
      <c r="I1618" s="10">
        <v>8.6127514537158554</v>
      </c>
      <c r="J1618" s="7">
        <v>1.4989527533000859E-2</v>
      </c>
      <c r="K1618" s="5">
        <v>0.1825950565396384</v>
      </c>
      <c r="L1618">
        <v>165.2722523279981</v>
      </c>
      <c r="M1618" s="10">
        <v>-0.720056163814358</v>
      </c>
      <c r="N1618" s="24" t="s">
        <v>343</v>
      </c>
      <c r="O1618" s="24">
        <v>7.7966301711385242</v>
      </c>
      <c r="P1618">
        <v>59.691682710001309</v>
      </c>
      <c r="Q1618" t="s">
        <v>47</v>
      </c>
      <c r="R1618" t="s">
        <v>350</v>
      </c>
      <c r="S1618" t="s">
        <v>343</v>
      </c>
      <c r="T1618" t="s">
        <v>343</v>
      </c>
    </row>
    <row r="1619" spans="2:20" x14ac:dyDescent="0.25">
      <c r="B1619">
        <v>1614</v>
      </c>
      <c r="C1619" t="s">
        <v>1958</v>
      </c>
      <c r="D1619" s="10">
        <v>0.17270709903823789</v>
      </c>
      <c r="E1619" s="10">
        <v>0.73168932859461733</v>
      </c>
      <c r="F1619" s="10">
        <v>0.53339181686723403</v>
      </c>
      <c r="G1619" s="10">
        <v>0.24931445834259991</v>
      </c>
      <c r="H1619" s="6">
        <v>0.1633752400138806</v>
      </c>
      <c r="I1619" s="10">
        <v>11.71868950207474</v>
      </c>
      <c r="J1619" s="7">
        <v>1.9521749228436951E-2</v>
      </c>
      <c r="K1619" s="5">
        <v>0.17267104751539381</v>
      </c>
      <c r="L1619">
        <v>107.9882164148588</v>
      </c>
      <c r="M1619" s="10">
        <v>-0.81708583782094646</v>
      </c>
      <c r="N1619" s="24" t="s">
        <v>343</v>
      </c>
      <c r="O1619" s="24">
        <v>1.9748497307432089</v>
      </c>
      <c r="P1619">
        <v>58.349736555825501</v>
      </c>
      <c r="Q1619" t="s">
        <v>47</v>
      </c>
      <c r="R1619" t="s">
        <v>350</v>
      </c>
      <c r="S1619" t="s">
        <v>343</v>
      </c>
      <c r="T1619" t="s">
        <v>343</v>
      </c>
    </row>
    <row r="1620" spans="2:20" x14ac:dyDescent="0.25">
      <c r="B1620">
        <v>1615</v>
      </c>
      <c r="C1620" t="s">
        <v>1959</v>
      </c>
      <c r="D1620" s="10">
        <v>0.1737053199354289</v>
      </c>
      <c r="E1620" s="10">
        <v>0.92120146043889406</v>
      </c>
      <c r="F1620" s="10">
        <v>0.49711754974257089</v>
      </c>
      <c r="G1620" s="10">
        <v>0.32504418377241501</v>
      </c>
      <c r="H1620" s="6">
        <v>0.12564464762278141</v>
      </c>
      <c r="I1620" s="10">
        <v>11.30396278356748</v>
      </c>
      <c r="J1620" s="7">
        <v>1.2354005305441311E-2</v>
      </c>
      <c r="K1620" s="5">
        <v>0.1207748307378009</v>
      </c>
      <c r="L1620">
        <v>213.83099996315221</v>
      </c>
      <c r="M1620" s="10">
        <v>-0.6378056837617383</v>
      </c>
      <c r="N1620" s="24" t="s">
        <v>343</v>
      </c>
      <c r="O1620" s="24">
        <v>12.7316589742957</v>
      </c>
      <c r="P1620">
        <v>19.858875076348919</v>
      </c>
      <c r="Q1620" t="s">
        <v>348</v>
      </c>
      <c r="R1620" t="s">
        <v>371</v>
      </c>
      <c r="S1620" t="s">
        <v>343</v>
      </c>
      <c r="T1620" t="s">
        <v>343</v>
      </c>
    </row>
    <row r="1621" spans="2:20" x14ac:dyDescent="0.25">
      <c r="B1621">
        <v>1616</v>
      </c>
      <c r="C1621" t="s">
        <v>1960</v>
      </c>
      <c r="D1621" s="10">
        <v>0.30307053994625888</v>
      </c>
      <c r="E1621" s="10">
        <v>0.56601849444991204</v>
      </c>
      <c r="F1621" s="10">
        <v>0.67792038447242431</v>
      </c>
      <c r="G1621" s="10">
        <v>0.30444726495410018</v>
      </c>
      <c r="H1621" s="6">
        <v>0.19626518814304111</v>
      </c>
      <c r="I1621" s="10">
        <v>9.4585203045844306</v>
      </c>
      <c r="J1621" s="7">
        <v>2.5409322001912302E-2</v>
      </c>
      <c r="K1621" s="5">
        <v>0.10022705860657299</v>
      </c>
      <c r="L1621">
        <v>196.8962109741019</v>
      </c>
      <c r="M1621" s="10">
        <v>-0.66649041291506639</v>
      </c>
      <c r="N1621" s="24" t="s">
        <v>343</v>
      </c>
      <c r="O1621" s="24">
        <v>11.010575225096019</v>
      </c>
      <c r="P1621">
        <v>15.819865118540051</v>
      </c>
      <c r="Q1621" t="s">
        <v>348</v>
      </c>
      <c r="R1621" t="s">
        <v>351</v>
      </c>
      <c r="S1621" t="s">
        <v>343</v>
      </c>
      <c r="T1621" t="s">
        <v>343</v>
      </c>
    </row>
    <row r="1622" spans="2:20" x14ac:dyDescent="0.25">
      <c r="B1622">
        <v>1617</v>
      </c>
      <c r="C1622" t="s">
        <v>1961</v>
      </c>
      <c r="D1622" s="10">
        <v>0.1906987719549989</v>
      </c>
      <c r="E1622" s="10">
        <v>0.3867935998430404</v>
      </c>
      <c r="F1622" s="10">
        <v>0.5509432742093332</v>
      </c>
      <c r="G1622" s="10">
        <v>0.29029620121687888</v>
      </c>
      <c r="H1622" s="6">
        <v>0.19330268171830359</v>
      </c>
      <c r="I1622" s="10">
        <v>8.4984622131568628</v>
      </c>
      <c r="J1622" s="7">
        <v>3.2726954021147142E-2</v>
      </c>
      <c r="K1622" s="5">
        <v>0.1467510489618937</v>
      </c>
      <c r="L1622">
        <v>100.56929932131931</v>
      </c>
      <c r="M1622" s="10">
        <v>-0.82965225524585662</v>
      </c>
      <c r="N1622" s="24" t="s">
        <v>343</v>
      </c>
      <c r="O1622" s="24">
        <v>1.2208646852486069</v>
      </c>
      <c r="P1622">
        <v>65.768299892364524</v>
      </c>
      <c r="Q1622" t="s">
        <v>47</v>
      </c>
      <c r="R1622" t="s">
        <v>350</v>
      </c>
      <c r="S1622" t="s">
        <v>343</v>
      </c>
      <c r="T1622" t="s">
        <v>343</v>
      </c>
    </row>
    <row r="1623" spans="2:20" x14ac:dyDescent="0.25">
      <c r="B1623">
        <v>1618</v>
      </c>
      <c r="C1623" t="s">
        <v>1962</v>
      </c>
      <c r="D1623" s="10">
        <v>0.21173944993848329</v>
      </c>
      <c r="E1623" s="10">
        <v>0.32685574630444431</v>
      </c>
      <c r="F1623" s="10">
        <v>0.60996358724844479</v>
      </c>
      <c r="G1623" s="10">
        <v>0.38183916771831378</v>
      </c>
      <c r="H1623" s="6">
        <v>0.23445089595393501</v>
      </c>
      <c r="I1623" s="10">
        <v>13.244529477042081</v>
      </c>
      <c r="J1623" s="7">
        <v>1.8529894653337719E-2</v>
      </c>
      <c r="K1623" s="5">
        <v>0.13919445393493171</v>
      </c>
      <c r="L1623">
        <v>140.84194412378599</v>
      </c>
      <c r="M1623" s="10">
        <v>-0.76143706170586745</v>
      </c>
      <c r="N1623" s="24" t="s">
        <v>343</v>
      </c>
      <c r="O1623" s="24">
        <v>5.3137762976479479</v>
      </c>
      <c r="P1623">
        <v>53.217597514712999</v>
      </c>
      <c r="Q1623" t="s">
        <v>47</v>
      </c>
      <c r="R1623" t="s">
        <v>350</v>
      </c>
      <c r="S1623" t="s">
        <v>343</v>
      </c>
      <c r="T1623" t="s">
        <v>343</v>
      </c>
    </row>
    <row r="1624" spans="2:20" x14ac:dyDescent="0.25">
      <c r="B1624">
        <v>1619</v>
      </c>
      <c r="C1624" t="s">
        <v>1963</v>
      </c>
      <c r="D1624" s="10">
        <v>0.1962650243563181</v>
      </c>
      <c r="E1624" s="10">
        <v>0.57638507981383968</v>
      </c>
      <c r="F1624" s="10">
        <v>0.44866548669382661</v>
      </c>
      <c r="G1624" s="10">
        <v>0.268650148198878</v>
      </c>
      <c r="H1624" s="6">
        <v>0.24985108235316669</v>
      </c>
      <c r="I1624" s="10">
        <v>9.2619724487585664</v>
      </c>
      <c r="J1624" s="7">
        <v>2.716358203723114E-2</v>
      </c>
      <c r="K1624" s="5">
        <v>0.1737206290274956</v>
      </c>
      <c r="L1624">
        <v>81.701721730240649</v>
      </c>
      <c r="M1624" s="10">
        <v>-0.86161080833615067</v>
      </c>
      <c r="N1624" s="24" t="s">
        <v>343</v>
      </c>
      <c r="O1624" s="24">
        <v>0</v>
      </c>
      <c r="P1624">
        <v>56.213795438318328</v>
      </c>
      <c r="Q1624" t="s">
        <v>47</v>
      </c>
      <c r="R1624" t="s">
        <v>350</v>
      </c>
      <c r="S1624" t="s">
        <v>343</v>
      </c>
      <c r="T1624" t="s">
        <v>343</v>
      </c>
    </row>
    <row r="1625" spans="2:20" x14ac:dyDescent="0.25">
      <c r="B1625">
        <v>1620</v>
      </c>
      <c r="C1625" t="s">
        <v>1964</v>
      </c>
      <c r="D1625" s="10">
        <v>0.21679940893311</v>
      </c>
      <c r="E1625" s="10">
        <v>0.40075123755891562</v>
      </c>
      <c r="F1625" s="10">
        <v>0.54765746330997744</v>
      </c>
      <c r="G1625" s="10">
        <v>0.42935631512533751</v>
      </c>
      <c r="H1625" s="6">
        <v>0.17317027330413931</v>
      </c>
      <c r="I1625" s="10">
        <v>8.311063830772806</v>
      </c>
      <c r="J1625" s="7">
        <v>2.6064066698335709E-2</v>
      </c>
      <c r="K1625" s="5">
        <v>0.13827507313626419</v>
      </c>
      <c r="L1625">
        <v>120.6686814639897</v>
      </c>
      <c r="M1625" s="10">
        <v>-0.79560722915875748</v>
      </c>
      <c r="N1625" s="24" t="s">
        <v>343</v>
      </c>
      <c r="O1625" s="24">
        <v>3.2635662504745468</v>
      </c>
      <c r="P1625">
        <v>64.757985370661203</v>
      </c>
      <c r="Q1625" t="s">
        <v>47</v>
      </c>
      <c r="R1625" t="s">
        <v>350</v>
      </c>
      <c r="S1625" t="s">
        <v>343</v>
      </c>
      <c r="T1625" t="s">
        <v>343</v>
      </c>
    </row>
    <row r="1626" spans="2:20" x14ac:dyDescent="0.25">
      <c r="B1626">
        <v>1621</v>
      </c>
      <c r="C1626" t="s">
        <v>1965</v>
      </c>
      <c r="D1626" s="10">
        <v>0.1711078148393749</v>
      </c>
      <c r="E1626" s="10">
        <v>0.6699747023728434</v>
      </c>
      <c r="F1626" s="10">
        <v>0.65248729086360879</v>
      </c>
      <c r="G1626" s="10">
        <v>0.3862638994011216</v>
      </c>
      <c r="H1626" s="6">
        <v>0.18742095153055069</v>
      </c>
      <c r="I1626" s="10">
        <v>12.560328904938199</v>
      </c>
      <c r="J1626" s="7">
        <v>2.866971718161692E-2</v>
      </c>
      <c r="K1626" s="5">
        <v>0.1820907167147571</v>
      </c>
      <c r="L1626">
        <v>114.77371791254301</v>
      </c>
      <c r="M1626" s="10">
        <v>-0.80559232155945526</v>
      </c>
      <c r="N1626" s="24" t="s">
        <v>343</v>
      </c>
      <c r="O1626" s="24">
        <v>2.6644607064326919</v>
      </c>
      <c r="P1626">
        <v>53.173687001272157</v>
      </c>
      <c r="Q1626" t="s">
        <v>47</v>
      </c>
      <c r="R1626" t="s">
        <v>350</v>
      </c>
      <c r="S1626" t="s">
        <v>343</v>
      </c>
      <c r="T1626" t="s">
        <v>343</v>
      </c>
    </row>
    <row r="1627" spans="2:20" x14ac:dyDescent="0.25">
      <c r="B1627">
        <v>1622</v>
      </c>
      <c r="C1627" t="s">
        <v>1966</v>
      </c>
      <c r="D1627" s="10">
        <v>0.24304956654532331</v>
      </c>
      <c r="E1627" s="10">
        <v>1.150226894395731</v>
      </c>
      <c r="F1627" s="10">
        <v>0.54076976010418587</v>
      </c>
      <c r="G1627" s="10">
        <v>0.39636173931137281</v>
      </c>
      <c r="H1627" s="6">
        <v>0.19056006294667921</v>
      </c>
      <c r="I1627" s="10">
        <v>3.785825862275364</v>
      </c>
      <c r="J1627" s="7">
        <v>1.6460463345947751E-2</v>
      </c>
      <c r="K1627" s="5">
        <v>0.109104631761199</v>
      </c>
      <c r="L1627">
        <v>203.3015065696996</v>
      </c>
      <c r="M1627" s="10">
        <v>-0.65564090251221907</v>
      </c>
      <c r="N1627" s="24" t="s">
        <v>343</v>
      </c>
      <c r="O1627" s="24">
        <v>11.66154584926686</v>
      </c>
      <c r="P1627">
        <v>59.931509130398467</v>
      </c>
      <c r="Q1627" t="s">
        <v>47</v>
      </c>
      <c r="R1627" t="s">
        <v>350</v>
      </c>
      <c r="S1627" t="s">
        <v>343</v>
      </c>
      <c r="T1627" t="s">
        <v>343</v>
      </c>
    </row>
    <row r="1628" spans="2:20" x14ac:dyDescent="0.25">
      <c r="B1628">
        <v>1623</v>
      </c>
      <c r="C1628" t="s">
        <v>1967</v>
      </c>
      <c r="D1628" s="10">
        <v>0.1708180101747544</v>
      </c>
      <c r="E1628" s="10">
        <v>1.0879237635355219</v>
      </c>
      <c r="F1628" s="10">
        <v>0.59682190163558801</v>
      </c>
      <c r="G1628" s="10">
        <v>0.44577574790468699</v>
      </c>
      <c r="H1628" s="6">
        <v>0.16863361265585691</v>
      </c>
      <c r="I1628" s="10">
        <v>10.21628951469695</v>
      </c>
      <c r="J1628" s="7">
        <v>2.8689443094239871E-2</v>
      </c>
      <c r="K1628" s="5">
        <v>0.13475651819399209</v>
      </c>
      <c r="L1628">
        <v>535.78861670589936</v>
      </c>
      <c r="M1628" s="10">
        <v>-9.246277803743147E-2</v>
      </c>
      <c r="N1628" s="24" t="s">
        <v>343</v>
      </c>
      <c r="O1628" s="24">
        <v>62.86414434577604</v>
      </c>
      <c r="P1628">
        <v>25.319428720254269</v>
      </c>
      <c r="Q1628" t="s">
        <v>348</v>
      </c>
      <c r="R1628" t="s">
        <v>375</v>
      </c>
      <c r="S1628" t="s">
        <v>343</v>
      </c>
      <c r="T1628" t="s">
        <v>343</v>
      </c>
    </row>
    <row r="1629" spans="2:20" x14ac:dyDescent="0.25">
      <c r="B1629">
        <v>1624</v>
      </c>
      <c r="C1629" t="s">
        <v>1968</v>
      </c>
      <c r="D1629" s="10">
        <v>0.28805704125157777</v>
      </c>
      <c r="E1629" s="10">
        <v>0.97202038506683164</v>
      </c>
      <c r="F1629" s="10">
        <v>0.49456250812598018</v>
      </c>
      <c r="G1629" s="10">
        <v>0.44732203173055329</v>
      </c>
      <c r="H1629" s="6">
        <v>0.23150803854377849</v>
      </c>
      <c r="I1629" s="10">
        <v>4.2432997517571334</v>
      </c>
      <c r="J1629" s="7">
        <v>2.2747194487550991E-2</v>
      </c>
      <c r="K1629" s="5">
        <v>0.1887243853735294</v>
      </c>
      <c r="L1629">
        <v>86.913774841612167</v>
      </c>
      <c r="M1629" s="10">
        <v>-0.85278245317157664</v>
      </c>
      <c r="N1629" s="24" t="s">
        <v>343</v>
      </c>
      <c r="O1629" s="24">
        <v>0</v>
      </c>
      <c r="P1629">
        <v>52.397062554011242</v>
      </c>
      <c r="Q1629" t="s">
        <v>47</v>
      </c>
      <c r="R1629" t="s">
        <v>350</v>
      </c>
      <c r="S1629" t="s">
        <v>343</v>
      </c>
      <c r="T1629" t="s">
        <v>343</v>
      </c>
    </row>
    <row r="1630" spans="2:20" x14ac:dyDescent="0.25">
      <c r="B1630">
        <v>1625</v>
      </c>
      <c r="C1630" t="s">
        <v>1969</v>
      </c>
      <c r="D1630" s="10">
        <v>0.1973939331056693</v>
      </c>
      <c r="E1630" s="10">
        <v>1.237750268267426</v>
      </c>
      <c r="F1630" s="10">
        <v>0.54829666869828553</v>
      </c>
      <c r="G1630" s="10">
        <v>0.36136351124023192</v>
      </c>
      <c r="H1630" s="6">
        <v>0.1983151777809449</v>
      </c>
      <c r="I1630" s="10">
        <v>12.01803790674715</v>
      </c>
      <c r="J1630" s="7">
        <v>2.0011464713566681E-2</v>
      </c>
      <c r="K1630" s="5">
        <v>0.1011143141210535</v>
      </c>
      <c r="L1630">
        <v>598.46392965898667</v>
      </c>
      <c r="M1630" s="10">
        <v>1.3698826799913629E-2</v>
      </c>
      <c r="N1630" s="24" t="s">
        <v>345</v>
      </c>
      <c r="O1630" s="24">
        <v>93.79444581603282</v>
      </c>
      <c r="P1630">
        <v>22.925089969924731</v>
      </c>
      <c r="Q1630" t="s">
        <v>348</v>
      </c>
      <c r="R1630" t="s">
        <v>375</v>
      </c>
      <c r="S1630" t="s">
        <v>343</v>
      </c>
      <c r="T1630" t="s">
        <v>343</v>
      </c>
    </row>
    <row r="1631" spans="2:20" x14ac:dyDescent="0.25">
      <c r="B1631">
        <v>1626</v>
      </c>
      <c r="C1631" t="s">
        <v>1970</v>
      </c>
      <c r="D1631" s="10">
        <v>0.24640190633672171</v>
      </c>
      <c r="E1631" s="10">
        <v>0.6102743869987044</v>
      </c>
      <c r="F1631" s="10">
        <v>0.68118580669382844</v>
      </c>
      <c r="G1631" s="10">
        <v>0.34898355980291568</v>
      </c>
      <c r="H1631" s="6">
        <v>0.25709336615829598</v>
      </c>
      <c r="I1631" s="10">
        <v>11.719328035546029</v>
      </c>
      <c r="J1631" s="7">
        <v>3.050937049082655E-2</v>
      </c>
      <c r="K1631" s="5">
        <v>0.13712499528065791</v>
      </c>
      <c r="L1631">
        <v>172.86031054282981</v>
      </c>
      <c r="M1631" s="10">
        <v>-0.70720324932969159</v>
      </c>
      <c r="N1631" s="24" t="s">
        <v>343</v>
      </c>
      <c r="O1631" s="24">
        <v>8.5678050402185022</v>
      </c>
      <c r="P1631">
        <v>47.287843464995618</v>
      </c>
      <c r="Q1631" t="s">
        <v>346</v>
      </c>
      <c r="R1631" t="s">
        <v>347</v>
      </c>
      <c r="S1631" t="s">
        <v>343</v>
      </c>
      <c r="T1631" t="s">
        <v>343</v>
      </c>
    </row>
    <row r="1632" spans="2:20" x14ac:dyDescent="0.25">
      <c r="B1632">
        <v>1627</v>
      </c>
      <c r="C1632" t="s">
        <v>1971</v>
      </c>
      <c r="D1632" s="10">
        <v>0.30081265400983331</v>
      </c>
      <c r="E1632" s="10">
        <v>1.2735591283329619</v>
      </c>
      <c r="F1632" s="10">
        <v>0.58727745492226968</v>
      </c>
      <c r="G1632" s="10">
        <v>0.31378395380992019</v>
      </c>
      <c r="H1632" s="6">
        <v>0.2175466157843379</v>
      </c>
      <c r="I1632" s="10">
        <v>8.539600376785712</v>
      </c>
      <c r="J1632" s="7">
        <v>1.518128812255551E-2</v>
      </c>
      <c r="K1632" s="5">
        <v>0.1246718097063204</v>
      </c>
      <c r="L1632">
        <v>314.41274615905212</v>
      </c>
      <c r="M1632" s="10">
        <v>-0.46743685606251772</v>
      </c>
      <c r="N1632" s="24" t="s">
        <v>343</v>
      </c>
      <c r="O1632" s="24">
        <v>22.953788636248941</v>
      </c>
      <c r="P1632">
        <v>13.646893022206401</v>
      </c>
      <c r="Q1632" t="s">
        <v>348</v>
      </c>
      <c r="R1632" t="s">
        <v>375</v>
      </c>
      <c r="S1632" t="s">
        <v>343</v>
      </c>
      <c r="T1632" t="s">
        <v>343</v>
      </c>
    </row>
    <row r="1633" spans="2:20" x14ac:dyDescent="0.25">
      <c r="B1633">
        <v>1628</v>
      </c>
      <c r="C1633" t="s">
        <v>1972</v>
      </c>
      <c r="D1633" s="10">
        <v>0.26414037904755111</v>
      </c>
      <c r="E1633" s="10">
        <v>0.73916308663609698</v>
      </c>
      <c r="F1633" s="10">
        <v>0.67450217936416212</v>
      </c>
      <c r="G1633" s="10">
        <v>0.39742575424454307</v>
      </c>
      <c r="H1633" s="6">
        <v>0.1517844838340959</v>
      </c>
      <c r="I1633" s="10">
        <v>10.27148565094592</v>
      </c>
      <c r="J1633" s="7">
        <v>4.152305277126165E-2</v>
      </c>
      <c r="K1633" s="5">
        <v>0.15052676863209241</v>
      </c>
      <c r="L1633">
        <v>238.3866012703601</v>
      </c>
      <c r="M1633" s="10">
        <v>-0.59621256009484191</v>
      </c>
      <c r="N1633" s="24" t="s">
        <v>343</v>
      </c>
      <c r="O1633" s="24">
        <v>15.227246394309489</v>
      </c>
      <c r="P1633">
        <v>55.341328514788771</v>
      </c>
      <c r="Q1633" t="s">
        <v>47</v>
      </c>
      <c r="R1633" t="s">
        <v>350</v>
      </c>
      <c r="S1633" t="s">
        <v>343</v>
      </c>
      <c r="T1633" t="s">
        <v>343</v>
      </c>
    </row>
    <row r="1634" spans="2:20" x14ac:dyDescent="0.25">
      <c r="B1634">
        <v>1629</v>
      </c>
      <c r="C1634" t="s">
        <v>1973</v>
      </c>
      <c r="D1634" s="10">
        <v>0.24527324584821361</v>
      </c>
      <c r="E1634" s="10">
        <v>0.74098265009328912</v>
      </c>
      <c r="F1634" s="10">
        <v>0.67452501786728125</v>
      </c>
      <c r="G1634" s="10">
        <v>0.35840595513555878</v>
      </c>
      <c r="H1634" s="6">
        <v>0.14472129731205549</v>
      </c>
      <c r="I1634" s="10">
        <v>11.49883860434581</v>
      </c>
      <c r="J1634" s="7">
        <v>4.2719848454640018E-2</v>
      </c>
      <c r="K1634" s="5">
        <v>0.1264828460264697</v>
      </c>
      <c r="L1634">
        <v>190.4998967443716</v>
      </c>
      <c r="M1634" s="10">
        <v>-0.67732471037091446</v>
      </c>
      <c r="N1634" s="24" t="s">
        <v>343</v>
      </c>
      <c r="O1634" s="24">
        <v>10.360517377745129</v>
      </c>
      <c r="P1634">
        <v>52.294192281961116</v>
      </c>
      <c r="Q1634" t="s">
        <v>47</v>
      </c>
      <c r="R1634" t="s">
        <v>350</v>
      </c>
      <c r="S1634" t="s">
        <v>343</v>
      </c>
      <c r="T1634" t="s">
        <v>343</v>
      </c>
    </row>
    <row r="1635" spans="2:20" x14ac:dyDescent="0.25">
      <c r="B1635">
        <v>1630</v>
      </c>
      <c r="C1635" t="s">
        <v>1974</v>
      </c>
      <c r="D1635" s="10">
        <v>0.21189340049846009</v>
      </c>
      <c r="E1635" s="10">
        <v>0.74588677498807354</v>
      </c>
      <c r="F1635" s="10">
        <v>0.68547842811036463</v>
      </c>
      <c r="G1635" s="10">
        <v>0.44523251754282739</v>
      </c>
      <c r="H1635" s="6">
        <v>0.1758576506874438</v>
      </c>
      <c r="I1635" s="10">
        <v>8.3163425701800335</v>
      </c>
      <c r="J1635" s="7">
        <v>3.3121339142834882E-2</v>
      </c>
      <c r="K1635" s="5">
        <v>0.1826412643188399</v>
      </c>
      <c r="L1635">
        <v>231.19573445573039</v>
      </c>
      <c r="M1635" s="10">
        <v>-0.60839269809884522</v>
      </c>
      <c r="N1635" s="24" t="s">
        <v>343</v>
      </c>
      <c r="O1635" s="24">
        <v>14.49643811406929</v>
      </c>
      <c r="P1635">
        <v>23.26141254622193</v>
      </c>
      <c r="Q1635" t="s">
        <v>348</v>
      </c>
      <c r="R1635" t="s">
        <v>351</v>
      </c>
      <c r="S1635" t="s">
        <v>343</v>
      </c>
      <c r="T1635" t="s">
        <v>343</v>
      </c>
    </row>
    <row r="1636" spans="2:20" x14ac:dyDescent="0.25">
      <c r="B1636">
        <v>1631</v>
      </c>
      <c r="C1636" t="s">
        <v>1975</v>
      </c>
      <c r="D1636" s="10">
        <v>0.2132803060893117</v>
      </c>
      <c r="E1636" s="10">
        <v>0.40790380286507949</v>
      </c>
      <c r="F1636" s="10">
        <v>0.6728018316208273</v>
      </c>
      <c r="G1636" s="10">
        <v>0.29249770871677322</v>
      </c>
      <c r="H1636" s="6">
        <v>0.17203898103854601</v>
      </c>
      <c r="I1636" s="10">
        <v>12.965537051682601</v>
      </c>
      <c r="J1636" s="7">
        <v>2.0610414136130659E-2</v>
      </c>
      <c r="K1636" s="5">
        <v>0.18902813402106111</v>
      </c>
      <c r="L1636">
        <v>98.238029367826613</v>
      </c>
      <c r="M1636" s="10">
        <v>-0.83360104062738494</v>
      </c>
      <c r="N1636" s="24" t="s">
        <v>343</v>
      </c>
      <c r="O1636" s="24">
        <v>0.98393756235690688</v>
      </c>
      <c r="P1636">
        <v>53.42861746683014</v>
      </c>
      <c r="Q1636" t="s">
        <v>47</v>
      </c>
      <c r="R1636" t="s">
        <v>350</v>
      </c>
      <c r="S1636" t="s">
        <v>343</v>
      </c>
      <c r="T1636" t="s">
        <v>343</v>
      </c>
    </row>
    <row r="1637" spans="2:20" x14ac:dyDescent="0.25">
      <c r="B1637">
        <v>1632</v>
      </c>
      <c r="C1637" t="s">
        <v>1976</v>
      </c>
      <c r="D1637" s="10">
        <v>0.26711791283171038</v>
      </c>
      <c r="E1637" s="10">
        <v>1.3730395481641611</v>
      </c>
      <c r="F1637" s="10">
        <v>0.44085309354267821</v>
      </c>
      <c r="G1637" s="10">
        <v>0.30825559097510802</v>
      </c>
      <c r="H1637" s="6">
        <v>0.18106977372937649</v>
      </c>
      <c r="I1637" s="10">
        <v>7.8073301018449213</v>
      </c>
      <c r="J1637" s="7">
        <v>3.1910205450924489E-2</v>
      </c>
      <c r="K1637" s="5">
        <v>0.18066775822202441</v>
      </c>
      <c r="L1637">
        <v>146.9584864639933</v>
      </c>
      <c r="M1637" s="10">
        <v>-0.75107665151728165</v>
      </c>
      <c r="N1637" s="24" t="s">
        <v>343</v>
      </c>
      <c r="O1637" s="24">
        <v>5.9354009089631026</v>
      </c>
      <c r="P1637">
        <v>51.212968285496522</v>
      </c>
      <c r="Q1637" t="s">
        <v>47</v>
      </c>
      <c r="R1637" t="s">
        <v>350</v>
      </c>
      <c r="S1637" t="s">
        <v>343</v>
      </c>
      <c r="T1637" t="s">
        <v>343</v>
      </c>
    </row>
    <row r="1638" spans="2:20" x14ac:dyDescent="0.25">
      <c r="B1638">
        <v>1633</v>
      </c>
      <c r="C1638" t="s">
        <v>1977</v>
      </c>
      <c r="D1638" s="10">
        <v>0.31906229779538681</v>
      </c>
      <c r="E1638" s="10">
        <v>0.45235745560767499</v>
      </c>
      <c r="F1638" s="10">
        <v>0.68284387181121509</v>
      </c>
      <c r="G1638" s="10">
        <v>0.3095398984323931</v>
      </c>
      <c r="H1638" s="6">
        <v>0.14753866054566631</v>
      </c>
      <c r="I1638" s="10">
        <v>12.812247666899641</v>
      </c>
      <c r="J1638" s="7">
        <v>3.1053321328485161E-2</v>
      </c>
      <c r="K1638" s="5">
        <v>0.13786394529665519</v>
      </c>
      <c r="L1638">
        <v>132.54871933018919</v>
      </c>
      <c r="M1638" s="10">
        <v>-0.77548441164130533</v>
      </c>
      <c r="N1638" s="24" t="s">
        <v>343</v>
      </c>
      <c r="O1638" s="24">
        <v>4.4709353015216777</v>
      </c>
      <c r="P1638">
        <v>45.093010026155703</v>
      </c>
      <c r="Q1638" t="s">
        <v>346</v>
      </c>
      <c r="R1638" t="s">
        <v>347</v>
      </c>
      <c r="S1638" t="s">
        <v>343</v>
      </c>
      <c r="T1638" t="s">
        <v>343</v>
      </c>
    </row>
    <row r="1639" spans="2:20" x14ac:dyDescent="0.25">
      <c r="B1639">
        <v>1634</v>
      </c>
      <c r="C1639" t="s">
        <v>1978</v>
      </c>
      <c r="D1639" s="10">
        <v>0.26589427037590058</v>
      </c>
      <c r="E1639" s="10">
        <v>0.674974296916103</v>
      </c>
      <c r="F1639" s="10">
        <v>0.47573945416219787</v>
      </c>
      <c r="G1639" s="10">
        <v>0.41731966000247561</v>
      </c>
      <c r="H1639" s="6">
        <v>0.26673340050397337</v>
      </c>
      <c r="I1639" s="10">
        <v>9.4101845373325137</v>
      </c>
      <c r="J1639" s="7">
        <v>2.3693784357026779E-2</v>
      </c>
      <c r="K1639" s="5">
        <v>0.1940437077259389</v>
      </c>
      <c r="L1639">
        <v>192.06875860478681</v>
      </c>
      <c r="M1639" s="10">
        <v>-0.67466731808961156</v>
      </c>
      <c r="N1639" s="24" t="s">
        <v>343</v>
      </c>
      <c r="O1639" s="24">
        <v>10.51996091462331</v>
      </c>
      <c r="P1639">
        <v>21.81935325380773</v>
      </c>
      <c r="Q1639" t="s">
        <v>348</v>
      </c>
      <c r="R1639" t="s">
        <v>353</v>
      </c>
      <c r="S1639" t="s">
        <v>343</v>
      </c>
      <c r="T1639" t="s">
        <v>343</v>
      </c>
    </row>
    <row r="1640" spans="2:20" x14ac:dyDescent="0.25">
      <c r="B1640">
        <v>1635</v>
      </c>
      <c r="C1640" t="s">
        <v>1979</v>
      </c>
      <c r="D1640" s="10">
        <v>0.24924534677920401</v>
      </c>
      <c r="E1640" s="10">
        <v>0.65123035235943283</v>
      </c>
      <c r="F1640" s="10">
        <v>0.45038082528889922</v>
      </c>
      <c r="G1640" s="10">
        <v>0.26178887300527348</v>
      </c>
      <c r="H1640" s="6">
        <v>0.14185646593030929</v>
      </c>
      <c r="I1640" s="10">
        <v>7.6886759033349463</v>
      </c>
      <c r="J1640" s="7">
        <v>2.0053653658065829E-2</v>
      </c>
      <c r="K1640" s="5">
        <v>0.1698284500792982</v>
      </c>
      <c r="L1640">
        <v>146.98271750520311</v>
      </c>
      <c r="M1640" s="10">
        <v>-0.75103560814469195</v>
      </c>
      <c r="N1640" s="24" t="s">
        <v>343</v>
      </c>
      <c r="O1640" s="24">
        <v>5.9378635113184899</v>
      </c>
      <c r="P1640">
        <v>28.837350354552171</v>
      </c>
      <c r="Q1640" t="s">
        <v>348</v>
      </c>
      <c r="R1640" t="s">
        <v>353</v>
      </c>
      <c r="S1640" t="s">
        <v>343</v>
      </c>
      <c r="T1640" t="s">
        <v>343</v>
      </c>
    </row>
    <row r="1641" spans="2:20" x14ac:dyDescent="0.25">
      <c r="B1641">
        <v>1636</v>
      </c>
      <c r="C1641" t="s">
        <v>1980</v>
      </c>
      <c r="D1641" s="10">
        <v>0.2769040816382794</v>
      </c>
      <c r="E1641" s="10">
        <v>0.38214737609838062</v>
      </c>
      <c r="F1641" s="10">
        <v>0.45440101899029373</v>
      </c>
      <c r="G1641" s="10">
        <v>0.34024280661757561</v>
      </c>
      <c r="H1641" s="6">
        <v>0.21789731613364821</v>
      </c>
      <c r="I1641" s="10">
        <v>3.0450728774386282</v>
      </c>
      <c r="J1641" s="7">
        <v>1.5895853330928151E-2</v>
      </c>
      <c r="K1641" s="5">
        <v>0.13378284897971879</v>
      </c>
      <c r="L1641">
        <v>55.693998563742447</v>
      </c>
      <c r="M1641" s="10">
        <v>-0.90566358604764752</v>
      </c>
      <c r="N1641" s="24" t="s">
        <v>343</v>
      </c>
      <c r="O1641" s="24">
        <v>0</v>
      </c>
      <c r="P1641">
        <v>55.929292005410211</v>
      </c>
      <c r="Q1641" t="s">
        <v>47</v>
      </c>
      <c r="R1641" t="s">
        <v>350</v>
      </c>
      <c r="S1641" t="s">
        <v>343</v>
      </c>
      <c r="T1641" t="s">
        <v>343</v>
      </c>
    </row>
    <row r="1642" spans="2:20" x14ac:dyDescent="0.25">
      <c r="B1642">
        <v>1637</v>
      </c>
      <c r="C1642" t="s">
        <v>1981</v>
      </c>
      <c r="D1642" s="10">
        <v>0.2344328979653949</v>
      </c>
      <c r="E1642" s="10">
        <v>0.4674861431230643</v>
      </c>
      <c r="F1642" s="10">
        <v>0.53071821074587278</v>
      </c>
      <c r="G1642" s="10">
        <v>0.33406776213407041</v>
      </c>
      <c r="H1642" s="6">
        <v>0.1219603852596885</v>
      </c>
      <c r="I1642" s="10">
        <v>6.2511151261212241</v>
      </c>
      <c r="J1642" s="7">
        <v>1.7608434400897769E-2</v>
      </c>
      <c r="K1642" s="5">
        <v>0.1089008180138855</v>
      </c>
      <c r="L1642">
        <v>181.86791245016479</v>
      </c>
      <c r="M1642" s="10">
        <v>-0.6919458628219548</v>
      </c>
      <c r="N1642" s="24" t="s">
        <v>343</v>
      </c>
      <c r="O1642" s="24">
        <v>9.4832482306827117</v>
      </c>
      <c r="P1642">
        <v>60.233835684801612</v>
      </c>
      <c r="Q1642" t="s">
        <v>47</v>
      </c>
      <c r="R1642" t="s">
        <v>350</v>
      </c>
      <c r="S1642" t="s">
        <v>343</v>
      </c>
      <c r="T1642" t="s">
        <v>343</v>
      </c>
    </row>
    <row r="1643" spans="2:20" x14ac:dyDescent="0.25">
      <c r="B1643">
        <v>1638</v>
      </c>
      <c r="C1643" t="s">
        <v>1982</v>
      </c>
      <c r="D1643" s="10">
        <v>0.16962277481612559</v>
      </c>
      <c r="E1643" s="10">
        <v>0.34934416980392441</v>
      </c>
      <c r="F1643" s="10">
        <v>0.60140906216988632</v>
      </c>
      <c r="G1643" s="10">
        <v>0.2560907166230269</v>
      </c>
      <c r="H1643" s="6">
        <v>0.18104415574785199</v>
      </c>
      <c r="I1643" s="10">
        <v>12.54713641575824</v>
      </c>
      <c r="J1643" s="7">
        <v>3.2856047324199618E-2</v>
      </c>
      <c r="K1643" s="5">
        <v>0.16336940955626419</v>
      </c>
      <c r="L1643">
        <v>93.021517059390888</v>
      </c>
      <c r="M1643" s="10">
        <v>-0.84243694893360777</v>
      </c>
      <c r="N1643" s="24" t="s">
        <v>343</v>
      </c>
      <c r="O1643" s="24">
        <v>0.45378306398353629</v>
      </c>
      <c r="P1643">
        <v>59.973417921516109</v>
      </c>
      <c r="Q1643" t="s">
        <v>47</v>
      </c>
      <c r="R1643" t="s">
        <v>350</v>
      </c>
      <c r="S1643" t="s">
        <v>343</v>
      </c>
      <c r="T1643" t="s">
        <v>343</v>
      </c>
    </row>
    <row r="1644" spans="2:20" x14ac:dyDescent="0.25">
      <c r="B1644">
        <v>1639</v>
      </c>
      <c r="C1644" t="s">
        <v>1983</v>
      </c>
      <c r="D1644" s="10">
        <v>0.2499674905404656</v>
      </c>
      <c r="E1644" s="10">
        <v>0.62164494291656469</v>
      </c>
      <c r="F1644" s="10">
        <v>0.54460091109493936</v>
      </c>
      <c r="G1644" s="10">
        <v>0.33037533967975641</v>
      </c>
      <c r="H1644" s="6">
        <v>0.16637750986425551</v>
      </c>
      <c r="I1644" s="10">
        <v>7.7158406797006478</v>
      </c>
      <c r="J1644" s="7">
        <v>4.1006301587302681E-2</v>
      </c>
      <c r="K1644" s="5">
        <v>0.16921390720202431</v>
      </c>
      <c r="L1644">
        <v>153.3586670032073</v>
      </c>
      <c r="M1644" s="10">
        <v>-0.74023580517319909</v>
      </c>
      <c r="N1644" s="24" t="s">
        <v>343</v>
      </c>
      <c r="O1644" s="24">
        <v>6.5858516896080559</v>
      </c>
      <c r="P1644">
        <v>63.400030151472777</v>
      </c>
      <c r="Q1644" t="s">
        <v>47</v>
      </c>
      <c r="R1644" t="s">
        <v>350</v>
      </c>
      <c r="S1644" t="s">
        <v>343</v>
      </c>
      <c r="T1644" t="s">
        <v>343</v>
      </c>
    </row>
    <row r="1645" spans="2:20" x14ac:dyDescent="0.25">
      <c r="B1645">
        <v>1640</v>
      </c>
      <c r="C1645" t="s">
        <v>1984</v>
      </c>
      <c r="D1645" s="10">
        <v>0.3132200455208608</v>
      </c>
      <c r="E1645" s="10">
        <v>1.253322616431797</v>
      </c>
      <c r="F1645" s="10">
        <v>0.44664411400883869</v>
      </c>
      <c r="G1645" s="10">
        <v>0.35294315632247591</v>
      </c>
      <c r="H1645" s="6">
        <v>0.17730369566091281</v>
      </c>
      <c r="I1645" s="10">
        <v>7.6361537989144086</v>
      </c>
      <c r="J1645" s="7">
        <v>2.3473461922740951E-2</v>
      </c>
      <c r="K1645" s="5">
        <v>0.1116336176244038</v>
      </c>
      <c r="L1645">
        <v>234.41782597210579</v>
      </c>
      <c r="M1645" s="10">
        <v>-0.60293500845687642</v>
      </c>
      <c r="N1645" s="24" t="s">
        <v>343</v>
      </c>
      <c r="O1645" s="24">
        <v>14.823899492587421</v>
      </c>
      <c r="P1645">
        <v>55.284211094318451</v>
      </c>
      <c r="Q1645" t="s">
        <v>47</v>
      </c>
      <c r="R1645" t="s">
        <v>350</v>
      </c>
      <c r="S1645" t="s">
        <v>343</v>
      </c>
      <c r="T1645" t="s">
        <v>343</v>
      </c>
    </row>
    <row r="1646" spans="2:20" x14ac:dyDescent="0.25">
      <c r="B1646">
        <v>1641</v>
      </c>
      <c r="C1646" t="s">
        <v>1985</v>
      </c>
      <c r="D1646" s="10">
        <v>0.18804847077722561</v>
      </c>
      <c r="E1646" s="10">
        <v>0.67338642631112289</v>
      </c>
      <c r="F1646" s="10">
        <v>0.56388548488542578</v>
      </c>
      <c r="G1646" s="10">
        <v>0.25432303235108089</v>
      </c>
      <c r="H1646" s="6">
        <v>0.19471160171596699</v>
      </c>
      <c r="I1646" s="10">
        <v>8.3835174917381465</v>
      </c>
      <c r="J1646" s="7">
        <v>1.4266481957564119E-2</v>
      </c>
      <c r="K1646" s="5">
        <v>0.15222495342064449</v>
      </c>
      <c r="L1646">
        <v>107.3200050264946</v>
      </c>
      <c r="M1646" s="10">
        <v>-0.81821767729676109</v>
      </c>
      <c r="N1646" s="24" t="s">
        <v>343</v>
      </c>
      <c r="O1646" s="24">
        <v>1.9069393621943289</v>
      </c>
      <c r="P1646">
        <v>68.052176960721681</v>
      </c>
      <c r="Q1646" t="s">
        <v>47</v>
      </c>
      <c r="R1646" t="s">
        <v>350</v>
      </c>
      <c r="S1646" t="s">
        <v>343</v>
      </c>
      <c r="T1646" t="s">
        <v>343</v>
      </c>
    </row>
    <row r="1647" spans="2:20" x14ac:dyDescent="0.25">
      <c r="B1647">
        <v>1642</v>
      </c>
      <c r="C1647" t="s">
        <v>1986</v>
      </c>
      <c r="D1647" s="10">
        <v>0.2704007825313065</v>
      </c>
      <c r="E1647" s="10">
        <v>0.43606101527411711</v>
      </c>
      <c r="F1647" s="10">
        <v>0.55495399299029879</v>
      </c>
      <c r="G1647" s="10">
        <v>0.35216966825782681</v>
      </c>
      <c r="H1647" s="6">
        <v>0.21005625022864771</v>
      </c>
      <c r="I1647" s="10">
        <v>6.1493443467483573</v>
      </c>
      <c r="J1647" s="7">
        <v>1.0448220557793731E-2</v>
      </c>
      <c r="K1647" s="5">
        <v>0.19377335848511301</v>
      </c>
      <c r="L1647">
        <v>116.51476337203481</v>
      </c>
      <c r="M1647" s="10">
        <v>-0.80264327876468278</v>
      </c>
      <c r="N1647" s="24" t="s">
        <v>343</v>
      </c>
      <c r="O1647" s="24">
        <v>2.8414032741190378</v>
      </c>
      <c r="P1647">
        <v>54.604436753403228</v>
      </c>
      <c r="Q1647" t="s">
        <v>47</v>
      </c>
      <c r="R1647" t="s">
        <v>350</v>
      </c>
      <c r="S1647" t="s">
        <v>343</v>
      </c>
      <c r="T1647" t="s">
        <v>343</v>
      </c>
    </row>
    <row r="1648" spans="2:20" x14ac:dyDescent="0.25">
      <c r="B1648">
        <v>1643</v>
      </c>
      <c r="C1648" t="s">
        <v>1987</v>
      </c>
      <c r="D1648" s="10">
        <v>0.19214939018544899</v>
      </c>
      <c r="E1648" s="10">
        <v>1.0102632552223101</v>
      </c>
      <c r="F1648" s="10">
        <v>0.63678080903042811</v>
      </c>
      <c r="G1648" s="10">
        <v>0.45103233903034817</v>
      </c>
      <c r="H1648" s="6">
        <v>0.207526701719145</v>
      </c>
      <c r="I1648" s="10">
        <v>8.4070639673321708</v>
      </c>
      <c r="J1648" s="7">
        <v>2.4206697927183489E-2</v>
      </c>
      <c r="K1648" s="5">
        <v>0.13099299973741799</v>
      </c>
      <c r="L1648">
        <v>152.9360242110439</v>
      </c>
      <c r="M1648" s="10">
        <v>-0.74095169209860767</v>
      </c>
      <c r="N1648" s="24" t="s">
        <v>343</v>
      </c>
      <c r="O1648" s="24">
        <v>6.5428984740835361</v>
      </c>
      <c r="P1648">
        <v>53.625283151697673</v>
      </c>
      <c r="Q1648" t="s">
        <v>47</v>
      </c>
      <c r="R1648" t="s">
        <v>350</v>
      </c>
      <c r="S1648" t="s">
        <v>343</v>
      </c>
      <c r="T1648" t="s">
        <v>343</v>
      </c>
    </row>
    <row r="1649" spans="2:20" x14ac:dyDescent="0.25">
      <c r="B1649">
        <v>1644</v>
      </c>
      <c r="C1649" t="s">
        <v>1988</v>
      </c>
      <c r="D1649" s="10">
        <v>0.24573242951569299</v>
      </c>
      <c r="E1649" s="10">
        <v>1.396261003260401</v>
      </c>
      <c r="F1649" s="10">
        <v>0.51269935359061392</v>
      </c>
      <c r="G1649" s="10">
        <v>0.4553611510955371</v>
      </c>
      <c r="H1649" s="6">
        <v>0.214607050518167</v>
      </c>
      <c r="I1649" s="10">
        <v>7.1333942808408448</v>
      </c>
      <c r="J1649" s="7">
        <v>1.8139843291524311E-2</v>
      </c>
      <c r="K1649" s="5">
        <v>0.12868002713112209</v>
      </c>
      <c r="L1649">
        <v>395.62947284026342</v>
      </c>
      <c r="M1649" s="10">
        <v>-0.32986916572538161</v>
      </c>
      <c r="N1649" s="24" t="s">
        <v>343</v>
      </c>
      <c r="O1649" s="24">
        <v>31.20785005647711</v>
      </c>
      <c r="P1649">
        <v>51.201638299075057</v>
      </c>
      <c r="Q1649" t="s">
        <v>47</v>
      </c>
      <c r="R1649" t="s">
        <v>350</v>
      </c>
      <c r="S1649" t="s">
        <v>343</v>
      </c>
      <c r="T1649" t="s">
        <v>343</v>
      </c>
    </row>
    <row r="1650" spans="2:20" x14ac:dyDescent="0.25">
      <c r="B1650">
        <v>1645</v>
      </c>
      <c r="C1650" t="s">
        <v>1989</v>
      </c>
      <c r="D1650" s="10">
        <v>0.17546823194347511</v>
      </c>
      <c r="E1650" s="10">
        <v>0.55555616848512024</v>
      </c>
      <c r="F1650" s="10">
        <v>0.49655810518653543</v>
      </c>
      <c r="G1650" s="10">
        <v>0.35696955128975849</v>
      </c>
      <c r="H1650" s="6">
        <v>0.24668215238306859</v>
      </c>
      <c r="I1650" s="10">
        <v>13.003867834757649</v>
      </c>
      <c r="J1650" s="7">
        <v>2.1289444845309421E-2</v>
      </c>
      <c r="K1650" s="5">
        <v>0.18581370577883161</v>
      </c>
      <c r="L1650">
        <v>79.337505805355065</v>
      </c>
      <c r="M1650" s="10">
        <v>-0.86561539873932469</v>
      </c>
      <c r="N1650" s="24" t="s">
        <v>343</v>
      </c>
      <c r="O1650" s="24">
        <v>0</v>
      </c>
      <c r="P1650">
        <v>19.916795054503741</v>
      </c>
      <c r="Q1650" t="s">
        <v>348</v>
      </c>
      <c r="R1650" t="s">
        <v>371</v>
      </c>
      <c r="S1650" t="s">
        <v>343</v>
      </c>
      <c r="T1650" t="s">
        <v>343</v>
      </c>
    </row>
    <row r="1651" spans="2:20" x14ac:dyDescent="0.25">
      <c r="B1651">
        <v>1646</v>
      </c>
      <c r="C1651" t="s">
        <v>1990</v>
      </c>
      <c r="D1651" s="10">
        <v>0.2320593498013096</v>
      </c>
      <c r="E1651" s="10">
        <v>0.60752810590762629</v>
      </c>
      <c r="F1651" s="10">
        <v>0.50654412899592283</v>
      </c>
      <c r="G1651" s="10">
        <v>0.35332132517265102</v>
      </c>
      <c r="H1651" s="6">
        <v>0.2530075733421977</v>
      </c>
      <c r="I1651" s="10">
        <v>9.2036344831620944</v>
      </c>
      <c r="J1651" s="7">
        <v>1.845844560770284E-2</v>
      </c>
      <c r="K1651" s="5">
        <v>0.1111545242431803</v>
      </c>
      <c r="L1651">
        <v>229.8838470388786</v>
      </c>
      <c r="M1651" s="10">
        <v>-0.61061481821244001</v>
      </c>
      <c r="N1651" s="24" t="s">
        <v>343</v>
      </c>
      <c r="O1651" s="24">
        <v>14.363110907253599</v>
      </c>
      <c r="P1651">
        <v>60.681389382370483</v>
      </c>
      <c r="Q1651" t="s">
        <v>47</v>
      </c>
      <c r="R1651" t="s">
        <v>350</v>
      </c>
      <c r="S1651" t="s">
        <v>343</v>
      </c>
      <c r="T1651" t="s">
        <v>343</v>
      </c>
    </row>
    <row r="1652" spans="2:20" x14ac:dyDescent="0.25">
      <c r="B1652">
        <v>1647</v>
      </c>
      <c r="C1652" t="s">
        <v>1991</v>
      </c>
      <c r="D1652" s="10">
        <v>0.28098613262323929</v>
      </c>
      <c r="E1652" s="10">
        <v>1.369031759708867</v>
      </c>
      <c r="F1652" s="10">
        <v>0.51897235388376051</v>
      </c>
      <c r="G1652" s="10">
        <v>0.30281179661160612</v>
      </c>
      <c r="H1652" s="6">
        <v>0.23058754508411969</v>
      </c>
      <c r="I1652" s="10">
        <v>12.17566066056667</v>
      </c>
      <c r="J1652" s="7">
        <v>3.3245167122616659E-2</v>
      </c>
      <c r="K1652" s="5">
        <v>0.18868511282064721</v>
      </c>
      <c r="L1652">
        <v>213.7653808603979</v>
      </c>
      <c r="M1652" s="10">
        <v>-0.63791683165918245</v>
      </c>
      <c r="N1652" s="24" t="s">
        <v>343</v>
      </c>
      <c r="O1652" s="24">
        <v>12.724990100449061</v>
      </c>
      <c r="P1652">
        <v>51.146897349197673</v>
      </c>
      <c r="Q1652" t="s">
        <v>47</v>
      </c>
      <c r="R1652" t="s">
        <v>350</v>
      </c>
      <c r="S1652" t="s">
        <v>343</v>
      </c>
      <c r="T1652" t="s">
        <v>343</v>
      </c>
    </row>
    <row r="1653" spans="2:20" x14ac:dyDescent="0.25">
      <c r="B1653">
        <v>1648</v>
      </c>
      <c r="C1653" t="s">
        <v>1992</v>
      </c>
      <c r="D1653" s="10">
        <v>0.21561144387823711</v>
      </c>
      <c r="E1653" s="10">
        <v>0.49665391630553579</v>
      </c>
      <c r="F1653" s="10">
        <v>0.59578286707546324</v>
      </c>
      <c r="G1653" s="10">
        <v>0.45936540377666241</v>
      </c>
      <c r="H1653" s="6">
        <v>0.13184133643866061</v>
      </c>
      <c r="I1653" s="10">
        <v>10.55561505133975</v>
      </c>
      <c r="J1653" s="7">
        <v>3.2348000529567732E-2</v>
      </c>
      <c r="K1653" s="5">
        <v>0.17405127072598151</v>
      </c>
      <c r="L1653">
        <v>100.961462134398</v>
      </c>
      <c r="M1653" s="10">
        <v>-0.82898799635934528</v>
      </c>
      <c r="N1653" s="24" t="s">
        <v>343</v>
      </c>
      <c r="O1653" s="24">
        <v>1.2607202184392889</v>
      </c>
      <c r="P1653">
        <v>54.268670024500921</v>
      </c>
      <c r="Q1653" t="s">
        <v>47</v>
      </c>
      <c r="R1653" t="s">
        <v>350</v>
      </c>
      <c r="S1653" t="s">
        <v>343</v>
      </c>
      <c r="T1653" t="s">
        <v>343</v>
      </c>
    </row>
    <row r="1654" spans="2:20" x14ac:dyDescent="0.25">
      <c r="B1654">
        <v>1649</v>
      </c>
      <c r="C1654" t="s">
        <v>1993</v>
      </c>
      <c r="D1654" s="10">
        <v>0.26638587591795487</v>
      </c>
      <c r="E1654" s="10">
        <v>0.86233547420508017</v>
      </c>
      <c r="F1654" s="10">
        <v>0.5625966262175407</v>
      </c>
      <c r="G1654" s="10">
        <v>0.30033041762554968</v>
      </c>
      <c r="H1654" s="6">
        <v>0.26419385872649009</v>
      </c>
      <c r="I1654" s="10">
        <v>5.3386328246170773</v>
      </c>
      <c r="J1654" s="7">
        <v>4.1930658357878479E-2</v>
      </c>
      <c r="K1654" s="5">
        <v>0.13712983884862739</v>
      </c>
      <c r="L1654">
        <v>165.11907285702779</v>
      </c>
      <c r="M1654" s="10">
        <v>-0.72031562448076936</v>
      </c>
      <c r="N1654" s="24" t="s">
        <v>343</v>
      </c>
      <c r="O1654" s="24">
        <v>7.7810625311538359</v>
      </c>
      <c r="P1654">
        <v>61.974546707437241</v>
      </c>
      <c r="Q1654" t="s">
        <v>47</v>
      </c>
      <c r="R1654" t="s">
        <v>350</v>
      </c>
      <c r="S1654" t="s">
        <v>343</v>
      </c>
      <c r="T1654" t="s">
        <v>343</v>
      </c>
    </row>
    <row r="1655" spans="2:20" x14ac:dyDescent="0.25">
      <c r="B1655">
        <v>1650</v>
      </c>
      <c r="C1655" t="s">
        <v>1994</v>
      </c>
      <c r="D1655" s="10">
        <v>0.2872719937263567</v>
      </c>
      <c r="E1655" s="10">
        <v>0.56361734631770433</v>
      </c>
      <c r="F1655" s="10">
        <v>0.52759258694655509</v>
      </c>
      <c r="G1655" s="10">
        <v>0.33963828609679042</v>
      </c>
      <c r="H1655" s="6">
        <v>0.26210971295205698</v>
      </c>
      <c r="I1655" s="10">
        <v>12.544321706709781</v>
      </c>
      <c r="J1655" s="7">
        <v>3.4491072019563571E-2</v>
      </c>
      <c r="K1655" s="5">
        <v>0.1079370239334544</v>
      </c>
      <c r="L1655">
        <v>390.80911715034301</v>
      </c>
      <c r="M1655" s="10">
        <v>-0.3380340502998202</v>
      </c>
      <c r="N1655" s="24" t="s">
        <v>343</v>
      </c>
      <c r="O1655" s="24">
        <v>30.71795698201079</v>
      </c>
      <c r="P1655">
        <v>48.882326665508288</v>
      </c>
      <c r="Q1655" t="s">
        <v>346</v>
      </c>
      <c r="R1655" t="s">
        <v>347</v>
      </c>
      <c r="S1655" t="s">
        <v>343</v>
      </c>
      <c r="T1655" t="s">
        <v>343</v>
      </c>
    </row>
    <row r="1656" spans="2:20" x14ac:dyDescent="0.25">
      <c r="B1656">
        <v>1651</v>
      </c>
      <c r="C1656" t="s">
        <v>1995</v>
      </c>
      <c r="D1656" s="10">
        <v>0.30834845111671239</v>
      </c>
      <c r="E1656" s="10">
        <v>1.325587087691368</v>
      </c>
      <c r="F1656" s="10">
        <v>0.53732168115375634</v>
      </c>
      <c r="G1656" s="10">
        <v>0.2406454927165888</v>
      </c>
      <c r="H1656" s="6">
        <v>0.22675556918180309</v>
      </c>
      <c r="I1656" s="10">
        <v>3.9599787712737622</v>
      </c>
      <c r="J1656" s="7">
        <v>1.577294832081929E-2</v>
      </c>
      <c r="K1656" s="5">
        <v>0.10182158141910951</v>
      </c>
      <c r="L1656">
        <v>174.18071453771569</v>
      </c>
      <c r="M1656" s="10">
        <v>-0.70496670354274582</v>
      </c>
      <c r="N1656" s="24" t="s">
        <v>343</v>
      </c>
      <c r="O1656" s="24">
        <v>8.7019977874352463</v>
      </c>
      <c r="P1656">
        <v>54.137010083070237</v>
      </c>
      <c r="Q1656" t="s">
        <v>47</v>
      </c>
      <c r="R1656" t="s">
        <v>350</v>
      </c>
      <c r="S1656" t="s">
        <v>343</v>
      </c>
      <c r="T1656" t="s">
        <v>343</v>
      </c>
    </row>
    <row r="1657" spans="2:20" x14ac:dyDescent="0.25">
      <c r="B1657">
        <v>1652</v>
      </c>
      <c r="C1657" t="s">
        <v>1996</v>
      </c>
      <c r="D1657" s="10">
        <v>0.19754273309687259</v>
      </c>
      <c r="E1657" s="10">
        <v>1.3796731160339231</v>
      </c>
      <c r="F1657" s="10">
        <v>0.53644015164133374</v>
      </c>
      <c r="G1657" s="10">
        <v>0.31683110400001008</v>
      </c>
      <c r="H1657" s="6">
        <v>0.19761586071028861</v>
      </c>
      <c r="I1657" s="10">
        <v>7.9350164663017813</v>
      </c>
      <c r="J1657" s="7">
        <v>3.6305805025781603E-2</v>
      </c>
      <c r="K1657" s="5">
        <v>0.13570396366158921</v>
      </c>
      <c r="L1657">
        <v>324.39138391684082</v>
      </c>
      <c r="M1657" s="10">
        <v>-0.45053469556991199</v>
      </c>
      <c r="N1657" s="24" t="s">
        <v>343</v>
      </c>
      <c r="O1657" s="24">
        <v>23.967918265805281</v>
      </c>
      <c r="P1657">
        <v>61.773897859203608</v>
      </c>
      <c r="Q1657" t="s">
        <v>47</v>
      </c>
      <c r="R1657" t="s">
        <v>350</v>
      </c>
      <c r="S1657" t="s">
        <v>343</v>
      </c>
      <c r="T1657" t="s">
        <v>343</v>
      </c>
    </row>
    <row r="1658" spans="2:20" x14ac:dyDescent="0.25">
      <c r="B1658">
        <v>1653</v>
      </c>
      <c r="C1658" t="s">
        <v>1997</v>
      </c>
      <c r="D1658" s="10">
        <v>0.22389054652948931</v>
      </c>
      <c r="E1658" s="10">
        <v>1.196167630732017</v>
      </c>
      <c r="F1658" s="10">
        <v>0.6928257406246825</v>
      </c>
      <c r="G1658" s="10">
        <v>0.25571686613394118</v>
      </c>
      <c r="H1658" s="6">
        <v>0.15759275375038381</v>
      </c>
      <c r="I1658" s="10">
        <v>5.6307096808524921</v>
      </c>
      <c r="J1658" s="7">
        <v>1.6344375189335379E-2</v>
      </c>
      <c r="K1658" s="5">
        <v>0.1670085905253002</v>
      </c>
      <c r="L1658">
        <v>150.62323097664839</v>
      </c>
      <c r="M1658" s="10">
        <v>-0.74486918097663146</v>
      </c>
      <c r="N1658" s="24" t="s">
        <v>343</v>
      </c>
      <c r="O1658" s="24">
        <v>6.3078491414021087</v>
      </c>
      <c r="P1658">
        <v>56.444134437469707</v>
      </c>
      <c r="Q1658" t="s">
        <v>47</v>
      </c>
      <c r="R1658" t="s">
        <v>350</v>
      </c>
      <c r="S1658" t="s">
        <v>343</v>
      </c>
      <c r="T1658" t="s">
        <v>343</v>
      </c>
    </row>
    <row r="1659" spans="2:20" x14ac:dyDescent="0.25">
      <c r="B1659">
        <v>1654</v>
      </c>
      <c r="C1659" t="s">
        <v>1998</v>
      </c>
      <c r="D1659" s="10">
        <v>0.1843865621328668</v>
      </c>
      <c r="E1659" s="10">
        <v>0.64626219739409163</v>
      </c>
      <c r="F1659" s="10">
        <v>0.50057921689376761</v>
      </c>
      <c r="G1659" s="10">
        <v>0.40364144948472908</v>
      </c>
      <c r="H1659" s="6">
        <v>0.23345267092483141</v>
      </c>
      <c r="I1659" s="10">
        <v>8.9131096489542507</v>
      </c>
      <c r="J1659" s="7">
        <v>2.9551031008031602E-2</v>
      </c>
      <c r="K1659" s="5">
        <v>0.14631527527954569</v>
      </c>
      <c r="L1659">
        <v>109.53329811449829</v>
      </c>
      <c r="M1659" s="10">
        <v>-0.81446872519541702</v>
      </c>
      <c r="N1659" s="24" t="s">
        <v>343</v>
      </c>
      <c r="O1659" s="24">
        <v>2.1318764882749761</v>
      </c>
      <c r="P1659">
        <v>53.289061383646732</v>
      </c>
      <c r="Q1659" t="s">
        <v>47</v>
      </c>
      <c r="R1659" t="s">
        <v>350</v>
      </c>
      <c r="S1659" t="s">
        <v>343</v>
      </c>
      <c r="T1659" t="s">
        <v>343</v>
      </c>
    </row>
    <row r="1660" spans="2:20" x14ac:dyDescent="0.25">
      <c r="B1660">
        <v>1655</v>
      </c>
      <c r="C1660" t="s">
        <v>1999</v>
      </c>
      <c r="D1660" s="10">
        <v>0.31879736034534001</v>
      </c>
      <c r="E1660" s="10">
        <v>0.74383622280855544</v>
      </c>
      <c r="F1660" s="10">
        <v>0.65269600567078723</v>
      </c>
      <c r="G1660" s="10">
        <v>0.36342317966658511</v>
      </c>
      <c r="H1660" s="6">
        <v>0.25167902680744342</v>
      </c>
      <c r="I1660" s="10">
        <v>6.3005453738927626</v>
      </c>
      <c r="J1660" s="7">
        <v>1.269773733198875E-2</v>
      </c>
      <c r="K1660" s="5">
        <v>0.17017192981700599</v>
      </c>
      <c r="L1660">
        <v>65.126357554119622</v>
      </c>
      <c r="M1660" s="10">
        <v>-0.88968673135575427</v>
      </c>
      <c r="N1660" s="24" t="s">
        <v>343</v>
      </c>
      <c r="O1660" s="24">
        <v>0</v>
      </c>
      <c r="P1660">
        <v>48.569569746319587</v>
      </c>
      <c r="Q1660" t="s">
        <v>346</v>
      </c>
      <c r="R1660" t="s">
        <v>347</v>
      </c>
      <c r="S1660" t="s">
        <v>343</v>
      </c>
      <c r="T1660" t="s">
        <v>343</v>
      </c>
    </row>
    <row r="1661" spans="2:20" x14ac:dyDescent="0.25">
      <c r="B1661">
        <v>1656</v>
      </c>
      <c r="C1661" t="s">
        <v>2000</v>
      </c>
      <c r="D1661" s="10">
        <v>0.30832015486788722</v>
      </c>
      <c r="E1661" s="10">
        <v>0.56653625203306346</v>
      </c>
      <c r="F1661" s="10">
        <v>0.62413481777292856</v>
      </c>
      <c r="G1661" s="10">
        <v>0.36587781300328448</v>
      </c>
      <c r="H1661" s="6">
        <v>0.2197781401334907</v>
      </c>
      <c r="I1661" s="10">
        <v>10.95108885147086</v>
      </c>
      <c r="J1661" s="7">
        <v>1.1656376993867699E-2</v>
      </c>
      <c r="K1661" s="5">
        <v>0.1637042306289804</v>
      </c>
      <c r="L1661">
        <v>128.2211397076382</v>
      </c>
      <c r="M1661" s="10">
        <v>-0.78281461513203687</v>
      </c>
      <c r="N1661" s="24" t="s">
        <v>343</v>
      </c>
      <c r="O1661" s="24">
        <v>4.0311230920777916</v>
      </c>
      <c r="P1661">
        <v>51.722805789739461</v>
      </c>
      <c r="Q1661" t="s">
        <v>47</v>
      </c>
      <c r="R1661" t="s">
        <v>350</v>
      </c>
      <c r="S1661" t="s">
        <v>343</v>
      </c>
      <c r="T1661" t="s">
        <v>343</v>
      </c>
    </row>
    <row r="1662" spans="2:20" x14ac:dyDescent="0.25">
      <c r="B1662">
        <v>1657</v>
      </c>
      <c r="C1662" t="s">
        <v>2001</v>
      </c>
      <c r="D1662" s="10">
        <v>0.24639314084488961</v>
      </c>
      <c r="E1662" s="10">
        <v>1.27983376370989</v>
      </c>
      <c r="F1662" s="10">
        <v>0.44144820145692321</v>
      </c>
      <c r="G1662" s="10">
        <v>0.30303248289793472</v>
      </c>
      <c r="H1662" s="6">
        <v>0.21436089492926561</v>
      </c>
      <c r="I1662" s="10">
        <v>13.306105712691849</v>
      </c>
      <c r="J1662" s="7">
        <v>2.6248049741846861E-2</v>
      </c>
      <c r="K1662" s="5">
        <v>0.1544261829899948</v>
      </c>
      <c r="L1662">
        <v>167.02954814871521</v>
      </c>
      <c r="M1662" s="10">
        <v>-0.71707959559776335</v>
      </c>
      <c r="N1662" s="24" t="s">
        <v>343</v>
      </c>
      <c r="O1662" s="24">
        <v>7.9752242641341979</v>
      </c>
      <c r="P1662">
        <v>17.700646735992951</v>
      </c>
      <c r="Q1662" t="s">
        <v>348</v>
      </c>
      <c r="R1662" t="s">
        <v>371</v>
      </c>
      <c r="S1662" t="s">
        <v>343</v>
      </c>
      <c r="T1662" t="s">
        <v>343</v>
      </c>
    </row>
    <row r="1663" spans="2:20" x14ac:dyDescent="0.25">
      <c r="B1663">
        <v>1658</v>
      </c>
      <c r="C1663" t="s">
        <v>2002</v>
      </c>
      <c r="D1663" s="10">
        <v>0.29472532710022742</v>
      </c>
      <c r="E1663" s="10">
        <v>1.3060141054569741</v>
      </c>
      <c r="F1663" s="10">
        <v>0.69822581671262685</v>
      </c>
      <c r="G1663" s="10">
        <v>0.41927718385565421</v>
      </c>
      <c r="H1663" s="6">
        <v>0.14895070568558791</v>
      </c>
      <c r="I1663" s="10">
        <v>10.799989760367611</v>
      </c>
      <c r="J1663" s="7">
        <v>1.367442465048762E-2</v>
      </c>
      <c r="K1663" s="5">
        <v>0.19191241266886119</v>
      </c>
      <c r="L1663">
        <v>264.90002274854822</v>
      </c>
      <c r="M1663" s="10">
        <v>-0.55130321315691433</v>
      </c>
      <c r="N1663" s="24" t="s">
        <v>343</v>
      </c>
      <c r="O1663" s="24">
        <v>17.92180721058514</v>
      </c>
      <c r="P1663">
        <v>12.766371430659751</v>
      </c>
      <c r="Q1663" t="s">
        <v>348</v>
      </c>
      <c r="R1663" t="s">
        <v>353</v>
      </c>
      <c r="S1663" t="s">
        <v>343</v>
      </c>
      <c r="T1663" t="s">
        <v>343</v>
      </c>
    </row>
    <row r="1664" spans="2:20" x14ac:dyDescent="0.25">
      <c r="B1664">
        <v>1659</v>
      </c>
      <c r="C1664" t="s">
        <v>2003</v>
      </c>
      <c r="D1664" s="10">
        <v>0.2433532763635268</v>
      </c>
      <c r="E1664" s="10">
        <v>0.76075772847065182</v>
      </c>
      <c r="F1664" s="10">
        <v>0.63667423636472908</v>
      </c>
      <c r="G1664" s="10">
        <v>0.240719603572875</v>
      </c>
      <c r="H1664" s="6">
        <v>0.17366947843412839</v>
      </c>
      <c r="I1664" s="10">
        <v>6.9084140345338607</v>
      </c>
      <c r="J1664" s="7">
        <v>2.0733331170872841E-2</v>
      </c>
      <c r="K1664" s="5">
        <v>0.16919652126357959</v>
      </c>
      <c r="L1664">
        <v>52.604047849272817</v>
      </c>
      <c r="M1664" s="10">
        <v>-0.91089745104584752</v>
      </c>
      <c r="N1664" s="24" t="s">
        <v>343</v>
      </c>
      <c r="O1664" s="24">
        <v>0</v>
      </c>
      <c r="P1664">
        <v>50.639482738644162</v>
      </c>
      <c r="Q1664" t="s">
        <v>47</v>
      </c>
      <c r="R1664" t="s">
        <v>350</v>
      </c>
      <c r="S1664" t="s">
        <v>343</v>
      </c>
      <c r="T1664" t="s">
        <v>343</v>
      </c>
    </row>
    <row r="1665" spans="2:20" x14ac:dyDescent="0.25">
      <c r="B1665">
        <v>1660</v>
      </c>
      <c r="C1665" t="s">
        <v>2004</v>
      </c>
      <c r="D1665" s="10">
        <v>0.25977371008044159</v>
      </c>
      <c r="E1665" s="10">
        <v>1.0221863768933019</v>
      </c>
      <c r="F1665" s="10">
        <v>0.6174368924512057</v>
      </c>
      <c r="G1665" s="10">
        <v>0.31339225941612231</v>
      </c>
      <c r="H1665" s="6">
        <v>0.22847043330487679</v>
      </c>
      <c r="I1665" s="10">
        <v>9.6007695782374913</v>
      </c>
      <c r="J1665" s="7">
        <v>2.185916824096746E-2</v>
      </c>
      <c r="K1665" s="5">
        <v>0.18688827767223701</v>
      </c>
      <c r="L1665">
        <v>209.33414652978001</v>
      </c>
      <c r="M1665" s="10">
        <v>-0.64542260906632287</v>
      </c>
      <c r="N1665" s="24" t="s">
        <v>343</v>
      </c>
      <c r="O1665" s="24">
        <v>12.27464345602063</v>
      </c>
      <c r="P1665">
        <v>57.380739455139683</v>
      </c>
      <c r="Q1665" t="s">
        <v>47</v>
      </c>
      <c r="R1665" t="s">
        <v>350</v>
      </c>
      <c r="S1665" t="s">
        <v>343</v>
      </c>
      <c r="T1665" t="s">
        <v>343</v>
      </c>
    </row>
    <row r="1666" spans="2:20" x14ac:dyDescent="0.25">
      <c r="B1666">
        <v>1661</v>
      </c>
      <c r="C1666" t="s">
        <v>2005</v>
      </c>
      <c r="D1666" s="10">
        <v>0.17425990913856271</v>
      </c>
      <c r="E1666" s="10">
        <v>0.48210849775216319</v>
      </c>
      <c r="F1666" s="10">
        <v>0.54538442399592568</v>
      </c>
      <c r="G1666" s="10">
        <v>0.3850894479009509</v>
      </c>
      <c r="H1666" s="6">
        <v>0.1225348108276835</v>
      </c>
      <c r="I1666" s="10">
        <v>12.77378700977933</v>
      </c>
      <c r="J1666" s="7">
        <v>3.6929942166649708E-2</v>
      </c>
      <c r="K1666" s="5">
        <v>0.1230052536104027</v>
      </c>
      <c r="L1666">
        <v>373.35701684274488</v>
      </c>
      <c r="M1666" s="10">
        <v>-0.36759501919077292</v>
      </c>
      <c r="N1666" s="24" t="s">
        <v>343</v>
      </c>
      <c r="O1666" s="24">
        <v>28.944298848553629</v>
      </c>
      <c r="P1666">
        <v>53.520513595598757</v>
      </c>
      <c r="Q1666" t="s">
        <v>47</v>
      </c>
      <c r="R1666" t="s">
        <v>350</v>
      </c>
      <c r="S1666" t="s">
        <v>343</v>
      </c>
      <c r="T1666" t="s">
        <v>343</v>
      </c>
    </row>
    <row r="1667" spans="2:20" x14ac:dyDescent="0.25">
      <c r="B1667">
        <v>1662</v>
      </c>
      <c r="C1667" t="s">
        <v>2006</v>
      </c>
      <c r="D1667" s="10">
        <v>0.28084326727948927</v>
      </c>
      <c r="E1667" s="10">
        <v>0.77842949039974985</v>
      </c>
      <c r="F1667" s="10">
        <v>0.58435280311771531</v>
      </c>
      <c r="G1667" s="10">
        <v>0.4397429582317226</v>
      </c>
      <c r="H1667" s="6">
        <v>0.2161896415783329</v>
      </c>
      <c r="I1667" s="10">
        <v>5.9703122876559611</v>
      </c>
      <c r="J1667" s="7">
        <v>2.1643803681289379E-2</v>
      </c>
      <c r="K1667" s="5">
        <v>0.1677957645438341</v>
      </c>
      <c r="L1667">
        <v>187.14120118436171</v>
      </c>
      <c r="M1667" s="10">
        <v>-0.68301378464929285</v>
      </c>
      <c r="N1667" s="24" t="s">
        <v>343</v>
      </c>
      <c r="O1667" s="24">
        <v>10.019172921042429</v>
      </c>
      <c r="P1667">
        <v>59.040486783798222</v>
      </c>
      <c r="Q1667" t="s">
        <v>47</v>
      </c>
      <c r="R1667" t="s">
        <v>350</v>
      </c>
      <c r="S1667" t="s">
        <v>343</v>
      </c>
      <c r="T1667" t="s">
        <v>343</v>
      </c>
    </row>
    <row r="1668" spans="2:20" x14ac:dyDescent="0.25">
      <c r="B1668">
        <v>1663</v>
      </c>
      <c r="C1668" t="s">
        <v>2007</v>
      </c>
      <c r="D1668" s="10">
        <v>0.18043415738163759</v>
      </c>
      <c r="E1668" s="10">
        <v>0.99464901734084732</v>
      </c>
      <c r="F1668" s="10">
        <v>0.50585043287354226</v>
      </c>
      <c r="G1668" s="10">
        <v>0.29161551052355128</v>
      </c>
      <c r="H1668" s="6">
        <v>0.2350005451515372</v>
      </c>
      <c r="I1668" s="10">
        <v>4.3002524011209777</v>
      </c>
      <c r="J1668" s="7">
        <v>2.7300506472264108E-2</v>
      </c>
      <c r="K1668" s="5">
        <v>0.15679127202444021</v>
      </c>
      <c r="L1668">
        <v>99.100558710820223</v>
      </c>
      <c r="M1668" s="10">
        <v>-0.83214005870392738</v>
      </c>
      <c r="N1668" s="24" t="s">
        <v>343</v>
      </c>
      <c r="O1668" s="24">
        <v>1.0715964777643521</v>
      </c>
      <c r="P1668">
        <v>61.974080224725583</v>
      </c>
      <c r="Q1668" t="s">
        <v>47</v>
      </c>
      <c r="R1668" t="s">
        <v>350</v>
      </c>
      <c r="S1668" t="s">
        <v>343</v>
      </c>
      <c r="T1668" t="s">
        <v>343</v>
      </c>
    </row>
    <row r="1669" spans="2:20" x14ac:dyDescent="0.25">
      <c r="B1669">
        <v>1664</v>
      </c>
      <c r="C1669" t="s">
        <v>2008</v>
      </c>
      <c r="D1669" s="10">
        <v>0.29217082084040458</v>
      </c>
      <c r="E1669" s="10">
        <v>0.72394343036982145</v>
      </c>
      <c r="F1669" s="10">
        <v>0.44922568533788132</v>
      </c>
      <c r="G1669" s="10">
        <v>0.359042011380032</v>
      </c>
      <c r="H1669" s="6">
        <v>0.17020567294061731</v>
      </c>
      <c r="I1669" s="10">
        <v>4.4384038747209109</v>
      </c>
      <c r="J1669" s="7">
        <v>3.7040507550017497E-2</v>
      </c>
      <c r="K1669" s="5">
        <v>0.18780812919969109</v>
      </c>
      <c r="L1669">
        <v>101.4589415612335</v>
      </c>
      <c r="M1669" s="10">
        <v>-0.82814534856329913</v>
      </c>
      <c r="N1669" s="24" t="s">
        <v>343</v>
      </c>
      <c r="O1669" s="24">
        <v>1.311279086202056</v>
      </c>
      <c r="P1669">
        <v>23.462609898322999</v>
      </c>
      <c r="Q1669" t="s">
        <v>348</v>
      </c>
      <c r="R1669" t="s">
        <v>353</v>
      </c>
      <c r="S1669" t="s">
        <v>343</v>
      </c>
      <c r="T1669" t="s">
        <v>343</v>
      </c>
    </row>
    <row r="1670" spans="2:20" x14ac:dyDescent="0.25">
      <c r="B1670">
        <v>1665</v>
      </c>
      <c r="C1670" t="s">
        <v>2009</v>
      </c>
      <c r="D1670" s="10">
        <v>0.28512449402726181</v>
      </c>
      <c r="E1670" s="10">
        <v>0.6933594782551058</v>
      </c>
      <c r="F1670" s="10">
        <v>0.65736563119595293</v>
      </c>
      <c r="G1670" s="10">
        <v>0.35835811251733057</v>
      </c>
      <c r="H1670" s="6">
        <v>0.13142516538011839</v>
      </c>
      <c r="I1670" s="10">
        <v>8.4433831137768252</v>
      </c>
      <c r="J1670" s="7">
        <v>1.7171440739745868E-2</v>
      </c>
      <c r="K1670" s="5">
        <v>0.14849303667431549</v>
      </c>
      <c r="L1670">
        <v>240.88200601255011</v>
      </c>
      <c r="M1670" s="10">
        <v>-0.59198575755222205</v>
      </c>
      <c r="N1670" s="24" t="s">
        <v>343</v>
      </c>
      <c r="O1670" s="24">
        <v>15.480854546866681</v>
      </c>
      <c r="P1670">
        <v>59.686378455686651</v>
      </c>
      <c r="Q1670" t="s">
        <v>47</v>
      </c>
      <c r="R1670" t="s">
        <v>350</v>
      </c>
      <c r="S1670" t="s">
        <v>343</v>
      </c>
      <c r="T1670" t="s">
        <v>343</v>
      </c>
    </row>
    <row r="1671" spans="2:20" x14ac:dyDescent="0.25">
      <c r="B1671">
        <v>1666</v>
      </c>
      <c r="C1671" t="s">
        <v>2010</v>
      </c>
      <c r="D1671" s="10">
        <v>0.27339915163887618</v>
      </c>
      <c r="E1671" s="10">
        <v>0.30109889149363689</v>
      </c>
      <c r="F1671" s="10">
        <v>0.67308596835710466</v>
      </c>
      <c r="G1671" s="10">
        <v>0.43231836118961398</v>
      </c>
      <c r="H1671" s="6">
        <v>0.24286790683259979</v>
      </c>
      <c r="I1671" s="10">
        <v>11.053498872428269</v>
      </c>
      <c r="J1671" s="7">
        <v>3.8171408728328873E-2</v>
      </c>
      <c r="K1671" s="5">
        <v>0.12656593100776939</v>
      </c>
      <c r="L1671">
        <v>134.65513462206269</v>
      </c>
      <c r="M1671" s="10">
        <v>-0.77191649283399766</v>
      </c>
      <c r="N1671" s="24" t="s">
        <v>343</v>
      </c>
      <c r="O1671" s="24">
        <v>4.6850104299601369</v>
      </c>
      <c r="P1671">
        <v>54.937652294261262</v>
      </c>
      <c r="Q1671" t="s">
        <v>47</v>
      </c>
      <c r="R1671" t="s">
        <v>350</v>
      </c>
      <c r="S1671" t="s">
        <v>343</v>
      </c>
      <c r="T1671" t="s">
        <v>343</v>
      </c>
    </row>
    <row r="1672" spans="2:20" x14ac:dyDescent="0.25">
      <c r="B1672">
        <v>1667</v>
      </c>
      <c r="C1672" t="s">
        <v>2011</v>
      </c>
      <c r="D1672" s="10">
        <v>0.16578566088396191</v>
      </c>
      <c r="E1672" s="10">
        <v>1.1847228101548251</v>
      </c>
      <c r="F1672" s="10">
        <v>0.48224236551970229</v>
      </c>
      <c r="G1672" s="10">
        <v>0.25111371570316532</v>
      </c>
      <c r="H1672" s="6">
        <v>0.1412755244227534</v>
      </c>
      <c r="I1672" s="10">
        <v>10.22983516295047</v>
      </c>
      <c r="J1672" s="7">
        <v>3.9112817893668821E-2</v>
      </c>
      <c r="K1672" s="5">
        <v>0.13655970123596151</v>
      </c>
      <c r="L1672">
        <v>238.82535706973059</v>
      </c>
      <c r="M1672" s="10">
        <v>-0.59546938040258057</v>
      </c>
      <c r="N1672" s="24" t="s">
        <v>343</v>
      </c>
      <c r="O1672" s="24">
        <v>15.271837175845169</v>
      </c>
      <c r="P1672">
        <v>23.89160684047798</v>
      </c>
      <c r="Q1672" t="s">
        <v>348</v>
      </c>
      <c r="R1672" t="s">
        <v>371</v>
      </c>
      <c r="S1672" t="s">
        <v>343</v>
      </c>
      <c r="T1672" t="s">
        <v>343</v>
      </c>
    </row>
    <row r="1673" spans="2:20" x14ac:dyDescent="0.25">
      <c r="B1673">
        <v>1668</v>
      </c>
      <c r="C1673" t="s">
        <v>2012</v>
      </c>
      <c r="D1673" s="10">
        <v>0.20850053695125259</v>
      </c>
      <c r="E1673" s="10">
        <v>1.2782713732235931</v>
      </c>
      <c r="F1673" s="10">
        <v>0.64463458491989056</v>
      </c>
      <c r="G1673" s="10">
        <v>0.33338462343555558</v>
      </c>
      <c r="H1673" s="6">
        <v>0.175620165895466</v>
      </c>
      <c r="I1673" s="10">
        <v>7.9927845053314996</v>
      </c>
      <c r="J1673" s="7">
        <v>4.4609637830921443E-2</v>
      </c>
      <c r="K1673" s="5">
        <v>0.1207888315154948</v>
      </c>
      <c r="L1673">
        <v>422.16655935928702</v>
      </c>
      <c r="M1673" s="10">
        <v>-0.2849197341258024</v>
      </c>
      <c r="N1673" s="24" t="s">
        <v>343</v>
      </c>
      <c r="O1673" s="24">
        <v>33.904815952451862</v>
      </c>
      <c r="P1673">
        <v>58.075488078304637</v>
      </c>
      <c r="Q1673" t="s">
        <v>47</v>
      </c>
      <c r="R1673" t="s">
        <v>350</v>
      </c>
      <c r="S1673" t="s">
        <v>343</v>
      </c>
      <c r="T1673" t="s">
        <v>343</v>
      </c>
    </row>
    <row r="1674" spans="2:20" x14ac:dyDescent="0.25">
      <c r="B1674">
        <v>1669</v>
      </c>
      <c r="C1674" t="s">
        <v>2013</v>
      </c>
      <c r="D1674" s="10">
        <v>0.20209801118573489</v>
      </c>
      <c r="E1674" s="10">
        <v>1.366409882500415</v>
      </c>
      <c r="F1674" s="10">
        <v>0.63269969505427126</v>
      </c>
      <c r="G1674" s="10">
        <v>0.28014244845422492</v>
      </c>
      <c r="H1674" s="6">
        <v>0.22608811576016699</v>
      </c>
      <c r="I1674" s="10">
        <v>11.022278441995001</v>
      </c>
      <c r="J1674" s="7">
        <v>2.554166876025071E-2</v>
      </c>
      <c r="K1674" s="5">
        <v>0.1208974349418777</v>
      </c>
      <c r="L1674">
        <v>309.1058881081118</v>
      </c>
      <c r="M1674" s="10">
        <v>-0.4764257951006603</v>
      </c>
      <c r="N1674" s="24" t="s">
        <v>343</v>
      </c>
      <c r="O1674" s="24">
        <v>22.41445229396038</v>
      </c>
      <c r="P1674">
        <v>57.721490297529051</v>
      </c>
      <c r="Q1674" t="s">
        <v>47</v>
      </c>
      <c r="R1674" t="s">
        <v>350</v>
      </c>
      <c r="S1674" t="s">
        <v>343</v>
      </c>
      <c r="T1674" t="s">
        <v>343</v>
      </c>
    </row>
    <row r="1675" spans="2:20" x14ac:dyDescent="0.25">
      <c r="B1675">
        <v>1670</v>
      </c>
      <c r="C1675" t="s">
        <v>2014</v>
      </c>
      <c r="D1675" s="10">
        <v>0.2176218251954431</v>
      </c>
      <c r="E1675" s="10">
        <v>1.091198523576137</v>
      </c>
      <c r="F1675" s="10">
        <v>0.48637750050338352</v>
      </c>
      <c r="G1675" s="10">
        <v>0.24473717206569159</v>
      </c>
      <c r="H1675" s="6">
        <v>0.24254789814771499</v>
      </c>
      <c r="I1675" s="10">
        <v>9.9736695175511869</v>
      </c>
      <c r="J1675" s="7">
        <v>2.297272650311526E-2</v>
      </c>
      <c r="K1675" s="5">
        <v>0.14469005067253279</v>
      </c>
      <c r="L1675">
        <v>136.30254069262841</v>
      </c>
      <c r="M1675" s="10">
        <v>-0.76912605966295078</v>
      </c>
      <c r="N1675" s="24" t="s">
        <v>343</v>
      </c>
      <c r="O1675" s="24">
        <v>4.8524364202229506</v>
      </c>
      <c r="P1675">
        <v>16.8944697295161</v>
      </c>
      <c r="Q1675" t="s">
        <v>348</v>
      </c>
      <c r="R1675" t="s">
        <v>375</v>
      </c>
      <c r="S1675" t="s">
        <v>343</v>
      </c>
      <c r="T1675" t="s">
        <v>343</v>
      </c>
    </row>
    <row r="1676" spans="2:20" x14ac:dyDescent="0.25">
      <c r="B1676">
        <v>1671</v>
      </c>
      <c r="C1676" t="s">
        <v>2015</v>
      </c>
      <c r="D1676" s="10">
        <v>0.1740228394822142</v>
      </c>
      <c r="E1676" s="10">
        <v>0.90367154360687296</v>
      </c>
      <c r="F1676" s="10">
        <v>0.54967548866944638</v>
      </c>
      <c r="G1676" s="10">
        <v>0.27234680691450619</v>
      </c>
      <c r="H1676" s="6">
        <v>0.2493572877732774</v>
      </c>
      <c r="I1676" s="10">
        <v>9.910538311609324</v>
      </c>
      <c r="J1676" s="7">
        <v>3.4570184470132381E-2</v>
      </c>
      <c r="K1676" s="5">
        <v>0.18479403935283231</v>
      </c>
      <c r="L1676">
        <v>164.58950926568289</v>
      </c>
      <c r="M1676" s="10">
        <v>-0.72121261754026433</v>
      </c>
      <c r="N1676" s="24" t="s">
        <v>343</v>
      </c>
      <c r="O1676" s="24">
        <v>7.7272429475841449</v>
      </c>
      <c r="P1676">
        <v>55.438902155841689</v>
      </c>
      <c r="Q1676" t="s">
        <v>47</v>
      </c>
      <c r="R1676" t="s">
        <v>350</v>
      </c>
      <c r="S1676" t="s">
        <v>343</v>
      </c>
      <c r="T1676" t="s">
        <v>343</v>
      </c>
    </row>
    <row r="1677" spans="2:20" x14ac:dyDescent="0.25">
      <c r="B1677">
        <v>1672</v>
      </c>
      <c r="C1677" t="s">
        <v>2016</v>
      </c>
      <c r="D1677" s="10">
        <v>0.30991325168497008</v>
      </c>
      <c r="E1677" s="10">
        <v>0.59621297178958033</v>
      </c>
      <c r="F1677" s="10">
        <v>0.54991705941686686</v>
      </c>
      <c r="G1677" s="10">
        <v>0.45482354802660391</v>
      </c>
      <c r="H1677" s="6">
        <v>0.1995625787416673</v>
      </c>
      <c r="I1677" s="10">
        <v>5.2261403702362532</v>
      </c>
      <c r="J1677" s="7">
        <v>1.203528910447741E-2</v>
      </c>
      <c r="K1677" s="5">
        <v>0.1182275875718193</v>
      </c>
      <c r="L1677">
        <v>237.38033828982881</v>
      </c>
      <c r="M1677" s="10">
        <v>-0.59791700300654438</v>
      </c>
      <c r="N1677" s="24" t="s">
        <v>343</v>
      </c>
      <c r="O1677" s="24">
        <v>15.12497981960734</v>
      </c>
      <c r="P1677">
        <v>54.806924922112159</v>
      </c>
      <c r="Q1677" t="s">
        <v>47</v>
      </c>
      <c r="R1677" t="s">
        <v>350</v>
      </c>
      <c r="S1677" t="s">
        <v>343</v>
      </c>
      <c r="T1677" t="s">
        <v>343</v>
      </c>
    </row>
    <row r="1678" spans="2:20" x14ac:dyDescent="0.25">
      <c r="B1678">
        <v>1673</v>
      </c>
      <c r="C1678" t="s">
        <v>2017</v>
      </c>
      <c r="D1678" s="10">
        <v>0.24860835851398019</v>
      </c>
      <c r="E1678" s="10">
        <v>1.3992294235598479</v>
      </c>
      <c r="F1678" s="10">
        <v>0.63759070715936461</v>
      </c>
      <c r="G1678" s="10">
        <v>0.28726667209445889</v>
      </c>
      <c r="H1678" s="6">
        <v>0.19138075446837979</v>
      </c>
      <c r="I1678" s="10">
        <v>6.4384177632891006</v>
      </c>
      <c r="J1678" s="7">
        <v>1.1391302903544939E-2</v>
      </c>
      <c r="K1678" s="5">
        <v>0.127347651151791</v>
      </c>
      <c r="L1678">
        <v>110.5419277062786</v>
      </c>
      <c r="M1678" s="10">
        <v>-0.81276027363602898</v>
      </c>
      <c r="N1678" s="24" t="s">
        <v>343</v>
      </c>
      <c r="O1678" s="24">
        <v>2.2343835818382658</v>
      </c>
      <c r="P1678">
        <v>47.789980815667477</v>
      </c>
      <c r="Q1678" t="s">
        <v>346</v>
      </c>
      <c r="R1678" t="s">
        <v>347</v>
      </c>
      <c r="S1678" t="s">
        <v>343</v>
      </c>
      <c r="T1678" t="s">
        <v>343</v>
      </c>
    </row>
    <row r="1679" spans="2:20" x14ac:dyDescent="0.25">
      <c r="B1679">
        <v>1674</v>
      </c>
      <c r="C1679" t="s">
        <v>2018</v>
      </c>
      <c r="D1679" s="10">
        <v>0.20888388970528379</v>
      </c>
      <c r="E1679" s="10">
        <v>0.94872813998531602</v>
      </c>
      <c r="F1679" s="10">
        <v>0.65779183550177445</v>
      </c>
      <c r="G1679" s="10">
        <v>0.44570677013387611</v>
      </c>
      <c r="H1679" s="6">
        <v>0.24724759155270451</v>
      </c>
      <c r="I1679" s="10">
        <v>6.7886675781813119</v>
      </c>
      <c r="J1679" s="7">
        <v>2.1724680221299739E-2</v>
      </c>
      <c r="K1679" s="5">
        <v>0.18103387216489619</v>
      </c>
      <c r="L1679">
        <v>268.0176847087024</v>
      </c>
      <c r="M1679" s="10">
        <v>-0.54602240989585926</v>
      </c>
      <c r="N1679" s="24" t="s">
        <v>343</v>
      </c>
      <c r="O1679" s="24">
        <v>18.238655406248441</v>
      </c>
      <c r="P1679">
        <v>20.40928223108919</v>
      </c>
      <c r="Q1679" t="s">
        <v>348</v>
      </c>
      <c r="R1679" t="s">
        <v>353</v>
      </c>
      <c r="S1679" t="s">
        <v>343</v>
      </c>
      <c r="T1679" t="s">
        <v>343</v>
      </c>
    </row>
    <row r="1680" spans="2:20" x14ac:dyDescent="0.25">
      <c r="B1680">
        <v>1675</v>
      </c>
      <c r="C1680" t="s">
        <v>2019</v>
      </c>
      <c r="D1680" s="10">
        <v>0.22351704273188541</v>
      </c>
      <c r="E1680" s="10">
        <v>1.0492694795634909</v>
      </c>
      <c r="F1680" s="10">
        <v>0.46464153156175653</v>
      </c>
      <c r="G1680" s="10">
        <v>0.28515595537880722</v>
      </c>
      <c r="H1680" s="6">
        <v>0.2044615642571207</v>
      </c>
      <c r="I1680" s="10">
        <v>11.890098341122849</v>
      </c>
      <c r="J1680" s="7">
        <v>3.5533028086181098E-2</v>
      </c>
      <c r="K1680" s="5">
        <v>0.13222934636824901</v>
      </c>
      <c r="L1680">
        <v>173.09625679456369</v>
      </c>
      <c r="M1680" s="10">
        <v>-0.70680359543792437</v>
      </c>
      <c r="N1680" s="24" t="s">
        <v>343</v>
      </c>
      <c r="O1680" s="24">
        <v>8.5917842737245351</v>
      </c>
      <c r="P1680">
        <v>24.099027476993012</v>
      </c>
      <c r="Q1680" t="s">
        <v>348</v>
      </c>
      <c r="R1680" t="s">
        <v>371</v>
      </c>
      <c r="S1680" t="s">
        <v>343</v>
      </c>
      <c r="T1680" t="s">
        <v>343</v>
      </c>
    </row>
    <row r="1681" spans="2:20" x14ac:dyDescent="0.25">
      <c r="B1681">
        <v>1676</v>
      </c>
      <c r="C1681" t="s">
        <v>2020</v>
      </c>
      <c r="D1681" s="10">
        <v>0.23155240648077369</v>
      </c>
      <c r="E1681" s="10">
        <v>1.0506467781508491</v>
      </c>
      <c r="F1681" s="10">
        <v>0.5863720010750928</v>
      </c>
      <c r="G1681" s="10">
        <v>0.44488495002458661</v>
      </c>
      <c r="H1681" s="6">
        <v>0.20679760926228469</v>
      </c>
      <c r="I1681" s="10">
        <v>11.52621540061897</v>
      </c>
      <c r="J1681" s="7">
        <v>1.4075905528733629E-2</v>
      </c>
      <c r="K1681" s="5">
        <v>0.19142927318902289</v>
      </c>
      <c r="L1681">
        <v>367.08301035044548</v>
      </c>
      <c r="M1681" s="10">
        <v>-0.37822214758630202</v>
      </c>
      <c r="N1681" s="24" t="s">
        <v>343</v>
      </c>
      <c r="O1681" s="24">
        <v>28.30667114482188</v>
      </c>
      <c r="P1681">
        <v>23.069063026534469</v>
      </c>
      <c r="Q1681" t="s">
        <v>348</v>
      </c>
      <c r="R1681" t="s">
        <v>375</v>
      </c>
      <c r="S1681" t="s">
        <v>343</v>
      </c>
      <c r="T1681" t="s">
        <v>343</v>
      </c>
    </row>
    <row r="1682" spans="2:20" x14ac:dyDescent="0.25">
      <c r="B1682">
        <v>1677</v>
      </c>
      <c r="C1682" t="s">
        <v>2021</v>
      </c>
      <c r="D1682" s="10">
        <v>0.25609509333769881</v>
      </c>
      <c r="E1682" s="10">
        <v>1.2297769753329</v>
      </c>
      <c r="F1682" s="10">
        <v>0.63805460920151014</v>
      </c>
      <c r="G1682" s="10">
        <v>0.38401660574406921</v>
      </c>
      <c r="H1682" s="6">
        <v>0.1850960051990701</v>
      </c>
      <c r="I1682" s="10">
        <v>5.7794003315639477</v>
      </c>
      <c r="J1682" s="7">
        <v>3.2244139687435253E-2</v>
      </c>
      <c r="K1682" s="5">
        <v>0.12554742626403639</v>
      </c>
      <c r="L1682">
        <v>251.05070321645391</v>
      </c>
      <c r="M1682" s="10">
        <v>-0.57476166782044058</v>
      </c>
      <c r="N1682" s="24" t="s">
        <v>343</v>
      </c>
      <c r="O1682" s="24">
        <v>16.514299930773561</v>
      </c>
      <c r="P1682">
        <v>55.275830423459027</v>
      </c>
      <c r="Q1682" t="s">
        <v>47</v>
      </c>
      <c r="R1682" t="s">
        <v>350</v>
      </c>
      <c r="S1682" t="s">
        <v>343</v>
      </c>
      <c r="T1682" t="s">
        <v>343</v>
      </c>
    </row>
    <row r="1683" spans="2:20" x14ac:dyDescent="0.25">
      <c r="B1683">
        <v>1678</v>
      </c>
      <c r="C1683" t="s">
        <v>2022</v>
      </c>
      <c r="D1683" s="10">
        <v>0.24250870843143971</v>
      </c>
      <c r="E1683" s="10">
        <v>0.31063979273161108</v>
      </c>
      <c r="F1683" s="10">
        <v>0.64440955445694115</v>
      </c>
      <c r="G1683" s="10">
        <v>0.2649080870504239</v>
      </c>
      <c r="H1683" s="6">
        <v>0.1759220957881559</v>
      </c>
      <c r="I1683" s="10">
        <v>3.6066750174097781</v>
      </c>
      <c r="J1683" s="7">
        <v>1.943268428548749E-2</v>
      </c>
      <c r="K1683" s="5">
        <v>0.14200362506136491</v>
      </c>
      <c r="L1683">
        <v>53.009277616405093</v>
      </c>
      <c r="M1683" s="10">
        <v>-0.91021105890228016</v>
      </c>
      <c r="N1683" s="24" t="s">
        <v>343</v>
      </c>
      <c r="O1683" s="24">
        <v>0</v>
      </c>
      <c r="P1683">
        <v>64.622837326761626</v>
      </c>
      <c r="Q1683" t="s">
        <v>47</v>
      </c>
      <c r="R1683" t="s">
        <v>350</v>
      </c>
      <c r="S1683" t="s">
        <v>343</v>
      </c>
      <c r="T1683" t="s">
        <v>343</v>
      </c>
    </row>
    <row r="1684" spans="2:20" x14ac:dyDescent="0.25">
      <c r="B1684">
        <v>1679</v>
      </c>
      <c r="C1684" t="s">
        <v>2023</v>
      </c>
      <c r="D1684" s="10">
        <v>0.30710271571430681</v>
      </c>
      <c r="E1684" s="10">
        <v>0.54227163447450899</v>
      </c>
      <c r="F1684" s="10">
        <v>0.4784783163519063</v>
      </c>
      <c r="G1684" s="10">
        <v>0.3680213341278471</v>
      </c>
      <c r="H1684" s="6">
        <v>0.1920811285934744</v>
      </c>
      <c r="I1684" s="10">
        <v>11.445621901271011</v>
      </c>
      <c r="J1684" s="7">
        <v>3.2808613543992497E-2</v>
      </c>
      <c r="K1684" s="5">
        <v>0.1090829442233104</v>
      </c>
      <c r="L1684">
        <v>321.45983145025639</v>
      </c>
      <c r="M1684" s="10">
        <v>-0.45550026015752598</v>
      </c>
      <c r="N1684" s="24" t="s">
        <v>343</v>
      </c>
      <c r="O1684" s="24">
        <v>23.669984390548439</v>
      </c>
      <c r="P1684">
        <v>17.693695700024751</v>
      </c>
      <c r="Q1684" t="s">
        <v>348</v>
      </c>
      <c r="R1684" t="s">
        <v>371</v>
      </c>
      <c r="S1684" t="s">
        <v>343</v>
      </c>
      <c r="T1684" t="s">
        <v>343</v>
      </c>
    </row>
    <row r="1685" spans="2:20" x14ac:dyDescent="0.25">
      <c r="B1685">
        <v>1680</v>
      </c>
      <c r="C1685" t="s">
        <v>2024</v>
      </c>
      <c r="D1685" s="10">
        <v>0.23951415726493289</v>
      </c>
      <c r="E1685" s="10">
        <v>1.0320874001870151</v>
      </c>
      <c r="F1685" s="10">
        <v>0.57663133721920645</v>
      </c>
      <c r="G1685" s="10">
        <v>0.31007308825886132</v>
      </c>
      <c r="H1685" s="6">
        <v>0.17472712405441909</v>
      </c>
      <c r="I1685" s="10">
        <v>7.5085279667375016</v>
      </c>
      <c r="J1685" s="7">
        <v>2.599416433612638E-2</v>
      </c>
      <c r="K1685" s="5">
        <v>0.19425670055336719</v>
      </c>
      <c r="L1685">
        <v>125.00391239741769</v>
      </c>
      <c r="M1685" s="10">
        <v>-0.78826406561400242</v>
      </c>
      <c r="N1685" s="24" t="s">
        <v>343</v>
      </c>
      <c r="O1685" s="24">
        <v>3.7041560631598571</v>
      </c>
      <c r="P1685">
        <v>64.957404297914636</v>
      </c>
      <c r="Q1685" t="s">
        <v>47</v>
      </c>
      <c r="R1685" t="s">
        <v>350</v>
      </c>
      <c r="S1685" t="s">
        <v>343</v>
      </c>
      <c r="T1685" t="s">
        <v>343</v>
      </c>
    </row>
    <row r="1686" spans="2:20" x14ac:dyDescent="0.25">
      <c r="B1686">
        <v>1681</v>
      </c>
      <c r="C1686" t="s">
        <v>2025</v>
      </c>
      <c r="D1686" s="10">
        <v>0.31874528237173011</v>
      </c>
      <c r="E1686" s="10">
        <v>1.284660310507024</v>
      </c>
      <c r="F1686" s="10">
        <v>0.66296526365430275</v>
      </c>
      <c r="G1686" s="10">
        <v>0.32429369431517552</v>
      </c>
      <c r="H1686" s="6">
        <v>0.1715319674953858</v>
      </c>
      <c r="I1686" s="10">
        <v>5.4178348588931264</v>
      </c>
      <c r="J1686" s="7">
        <v>1.4030308635314541E-2</v>
      </c>
      <c r="K1686" s="5">
        <v>0.18456349426318391</v>
      </c>
      <c r="L1686">
        <v>213.42314688675791</v>
      </c>
      <c r="M1686" s="10">
        <v>-0.63849651935693164</v>
      </c>
      <c r="N1686" s="24" t="s">
        <v>343</v>
      </c>
      <c r="O1686" s="24">
        <v>12.6902088385841</v>
      </c>
      <c r="P1686">
        <v>51.738759898016689</v>
      </c>
      <c r="Q1686" t="s">
        <v>47</v>
      </c>
      <c r="R1686" t="s">
        <v>350</v>
      </c>
      <c r="S1686" t="s">
        <v>343</v>
      </c>
      <c r="T1686" t="s">
        <v>343</v>
      </c>
    </row>
    <row r="1687" spans="2:20" x14ac:dyDescent="0.25">
      <c r="B1687">
        <v>1682</v>
      </c>
      <c r="C1687" t="s">
        <v>2026</v>
      </c>
      <c r="D1687" s="10">
        <v>0.29622799323921528</v>
      </c>
      <c r="E1687" s="10">
        <v>1.053872660113492</v>
      </c>
      <c r="F1687" s="10">
        <v>0.52281482991217387</v>
      </c>
      <c r="G1687" s="10">
        <v>0.33683761072369411</v>
      </c>
      <c r="H1687" s="6">
        <v>0.26904965130118408</v>
      </c>
      <c r="I1687" s="10">
        <v>4.2871855762820497</v>
      </c>
      <c r="J1687" s="7">
        <v>1.8654898516704051E-2</v>
      </c>
      <c r="K1687" s="5">
        <v>0.17766841402323191</v>
      </c>
      <c r="L1687">
        <v>98.948765059978214</v>
      </c>
      <c r="M1687" s="10">
        <v>-0.83239717202045083</v>
      </c>
      <c r="N1687" s="24" t="s">
        <v>343</v>
      </c>
      <c r="O1687" s="24">
        <v>1.056169678772946</v>
      </c>
      <c r="P1687">
        <v>52.619003932803551</v>
      </c>
      <c r="Q1687" t="s">
        <v>47</v>
      </c>
      <c r="R1687" t="s">
        <v>350</v>
      </c>
      <c r="S1687" t="s">
        <v>343</v>
      </c>
      <c r="T1687" t="s">
        <v>343</v>
      </c>
    </row>
    <row r="1688" spans="2:20" x14ac:dyDescent="0.25">
      <c r="B1688">
        <v>1683</v>
      </c>
      <c r="C1688" t="s">
        <v>2027</v>
      </c>
      <c r="D1688" s="10">
        <v>0.19336168229717371</v>
      </c>
      <c r="E1688" s="10">
        <v>0.75484042064304813</v>
      </c>
      <c r="F1688" s="10">
        <v>0.55053039371706725</v>
      </c>
      <c r="G1688" s="10">
        <v>0.33299554495667361</v>
      </c>
      <c r="H1688" s="6">
        <v>0.17043202411077721</v>
      </c>
      <c r="I1688" s="10">
        <v>3.14096115647351</v>
      </c>
      <c r="J1688" s="7">
        <v>1.7689981386257641E-2</v>
      </c>
      <c r="K1688" s="5">
        <v>0.1149475347032894</v>
      </c>
      <c r="L1688">
        <v>121.7433493683963</v>
      </c>
      <c r="M1688" s="10">
        <v>-0.79378691962979819</v>
      </c>
      <c r="N1688" s="24" t="s">
        <v>343</v>
      </c>
      <c r="O1688" s="24">
        <v>3.372784822212104</v>
      </c>
      <c r="P1688">
        <v>58.495238873978387</v>
      </c>
      <c r="Q1688" t="s">
        <v>47</v>
      </c>
      <c r="R1688" t="s">
        <v>350</v>
      </c>
      <c r="S1688" t="s">
        <v>343</v>
      </c>
      <c r="T1688" t="s">
        <v>343</v>
      </c>
    </row>
    <row r="1689" spans="2:20" x14ac:dyDescent="0.25">
      <c r="B1689">
        <v>1684</v>
      </c>
      <c r="C1689" t="s">
        <v>2028</v>
      </c>
      <c r="D1689" s="10">
        <v>0.30889523434302663</v>
      </c>
      <c r="E1689" s="10">
        <v>0.69771104545728768</v>
      </c>
      <c r="F1689" s="10">
        <v>0.64913321294744641</v>
      </c>
      <c r="G1689" s="10">
        <v>0.38610395590626628</v>
      </c>
      <c r="H1689" s="6">
        <v>0.15845756212990009</v>
      </c>
      <c r="I1689" s="10">
        <v>7.7050259829527477</v>
      </c>
      <c r="J1689" s="7">
        <v>1.5760460744813951E-2</v>
      </c>
      <c r="K1689" s="5">
        <v>0.1920890154955518</v>
      </c>
      <c r="L1689">
        <v>175.05263559320511</v>
      </c>
      <c r="M1689" s="10">
        <v>-0.70348981361302976</v>
      </c>
      <c r="N1689" s="24" t="s">
        <v>343</v>
      </c>
      <c r="O1689" s="24">
        <v>8.7906111832182177</v>
      </c>
      <c r="P1689">
        <v>57.140427702065203</v>
      </c>
      <c r="Q1689" t="s">
        <v>47</v>
      </c>
      <c r="R1689" t="s">
        <v>350</v>
      </c>
      <c r="S1689" t="s">
        <v>343</v>
      </c>
      <c r="T1689" t="s">
        <v>343</v>
      </c>
    </row>
    <row r="1690" spans="2:20" x14ac:dyDescent="0.25">
      <c r="B1690">
        <v>1685</v>
      </c>
      <c r="C1690" t="s">
        <v>2029</v>
      </c>
      <c r="D1690" s="10">
        <v>0.17861862366167619</v>
      </c>
      <c r="E1690" s="10">
        <v>1.1117428091116519</v>
      </c>
      <c r="F1690" s="10">
        <v>0.46322307550777819</v>
      </c>
      <c r="G1690" s="10">
        <v>0.4090409750899679</v>
      </c>
      <c r="H1690" s="6">
        <v>0.17308861347639401</v>
      </c>
      <c r="I1690" s="10">
        <v>6.7374019582550799</v>
      </c>
      <c r="J1690" s="7">
        <v>2.6392090694167199E-2</v>
      </c>
      <c r="K1690" s="5">
        <v>0.1882693721395928</v>
      </c>
      <c r="L1690">
        <v>199.21147699180619</v>
      </c>
      <c r="M1690" s="10">
        <v>-0.66256873555146345</v>
      </c>
      <c r="N1690" s="24" t="s">
        <v>343</v>
      </c>
      <c r="O1690" s="24">
        <v>11.24587586691219</v>
      </c>
      <c r="P1690">
        <v>56.413204601682082</v>
      </c>
      <c r="Q1690" t="s">
        <v>47</v>
      </c>
      <c r="R1690" t="s">
        <v>350</v>
      </c>
      <c r="S1690" t="s">
        <v>343</v>
      </c>
      <c r="T1690" t="s">
        <v>343</v>
      </c>
    </row>
    <row r="1691" spans="2:20" x14ac:dyDescent="0.25">
      <c r="B1691">
        <v>1686</v>
      </c>
      <c r="C1691" t="s">
        <v>2030</v>
      </c>
      <c r="D1691" s="10">
        <v>0.29079195335859059</v>
      </c>
      <c r="E1691" s="10">
        <v>1.1153614668509131</v>
      </c>
      <c r="F1691" s="10">
        <v>0.6634682553711343</v>
      </c>
      <c r="G1691" s="10">
        <v>0.31241909162424669</v>
      </c>
      <c r="H1691" s="6">
        <v>0.2086172010954159</v>
      </c>
      <c r="I1691" s="10">
        <v>10.661171657780111</v>
      </c>
      <c r="J1691" s="7">
        <v>4.3413293876094848E-2</v>
      </c>
      <c r="K1691" s="5">
        <v>0.14138878698976429</v>
      </c>
      <c r="L1691">
        <v>222.96912025274159</v>
      </c>
      <c r="M1691" s="10">
        <v>-0.62232722072054625</v>
      </c>
      <c r="N1691" s="24" t="s">
        <v>343</v>
      </c>
      <c r="O1691" s="24">
        <v>13.660366756767219</v>
      </c>
      <c r="P1691">
        <v>49.75639984045673</v>
      </c>
      <c r="Q1691" t="s">
        <v>346</v>
      </c>
      <c r="R1691" t="s">
        <v>347</v>
      </c>
      <c r="S1691" t="s">
        <v>343</v>
      </c>
      <c r="T1691" t="s">
        <v>343</v>
      </c>
    </row>
    <row r="1692" spans="2:20" x14ac:dyDescent="0.25">
      <c r="B1692">
        <v>1687</v>
      </c>
      <c r="C1692" t="s">
        <v>2031</v>
      </c>
      <c r="D1692" s="10">
        <v>0.22089972695625279</v>
      </c>
      <c r="E1692" s="10">
        <v>0.96776379175625937</v>
      </c>
      <c r="F1692" s="10">
        <v>0.52090074635001038</v>
      </c>
      <c r="G1692" s="10">
        <v>0.44336007157085178</v>
      </c>
      <c r="H1692" s="6">
        <v>0.25664857299347482</v>
      </c>
      <c r="I1692" s="10">
        <v>13.74331975406149</v>
      </c>
      <c r="J1692" s="7">
        <v>3.3033108010184553E-2</v>
      </c>
      <c r="K1692" s="5">
        <v>0.16475551782163361</v>
      </c>
      <c r="L1692">
        <v>214.64139351009291</v>
      </c>
      <c r="M1692" s="10">
        <v>-0.63643301124620677</v>
      </c>
      <c r="N1692" s="24" t="s">
        <v>343</v>
      </c>
      <c r="O1692" s="24">
        <v>12.814019325227591</v>
      </c>
      <c r="P1692">
        <v>48.022767134066576</v>
      </c>
      <c r="Q1692" t="s">
        <v>346</v>
      </c>
      <c r="R1692" t="s">
        <v>347</v>
      </c>
      <c r="S1692" t="s">
        <v>343</v>
      </c>
      <c r="T1692" t="s">
        <v>343</v>
      </c>
    </row>
    <row r="1693" spans="2:20" x14ac:dyDescent="0.25">
      <c r="B1693">
        <v>1688</v>
      </c>
      <c r="C1693" t="s">
        <v>2032</v>
      </c>
      <c r="D1693" s="10">
        <v>0.3004758912712111</v>
      </c>
      <c r="E1693" s="10">
        <v>0.6206137265070707</v>
      </c>
      <c r="F1693" s="10">
        <v>0.44037708231369299</v>
      </c>
      <c r="G1693" s="10">
        <v>0.44646258908415282</v>
      </c>
      <c r="H1693" s="6">
        <v>0.2381796375296642</v>
      </c>
      <c r="I1693" s="10">
        <v>5.2746088157776931</v>
      </c>
      <c r="J1693" s="7">
        <v>3.9260071102433777E-2</v>
      </c>
      <c r="K1693" s="5">
        <v>0.19428355063074451</v>
      </c>
      <c r="L1693">
        <v>139.64902580042809</v>
      </c>
      <c r="M1693" s="10">
        <v>-0.7634576678692917</v>
      </c>
      <c r="N1693" s="24" t="s">
        <v>343</v>
      </c>
      <c r="O1693" s="24">
        <v>5.1925399278424962</v>
      </c>
      <c r="P1693">
        <v>48.836998274187799</v>
      </c>
      <c r="Q1693" t="s">
        <v>346</v>
      </c>
      <c r="R1693" t="s">
        <v>347</v>
      </c>
      <c r="S1693" t="s">
        <v>343</v>
      </c>
      <c r="T1693" t="s">
        <v>343</v>
      </c>
    </row>
    <row r="1694" spans="2:20" x14ac:dyDescent="0.25">
      <c r="B1694">
        <v>1689</v>
      </c>
      <c r="C1694" t="s">
        <v>2033</v>
      </c>
      <c r="D1694" s="10">
        <v>0.29888907041719198</v>
      </c>
      <c r="E1694" s="10">
        <v>1.317670300229598</v>
      </c>
      <c r="F1694" s="10">
        <v>0.50088137771465313</v>
      </c>
      <c r="G1694" s="10">
        <v>0.2489518961732515</v>
      </c>
      <c r="H1694" s="6">
        <v>0.2463361708613552</v>
      </c>
      <c r="I1694" s="10">
        <v>5.6733975441133113</v>
      </c>
      <c r="J1694" s="7">
        <v>4.4337806616101573E-2</v>
      </c>
      <c r="K1694" s="5">
        <v>0.13892579585246029</v>
      </c>
      <c r="L1694">
        <v>165.31493145559301</v>
      </c>
      <c r="M1694" s="10">
        <v>-0.71998387243733808</v>
      </c>
      <c r="N1694" s="24" t="s">
        <v>343</v>
      </c>
      <c r="O1694" s="24">
        <v>7.8009676537597201</v>
      </c>
      <c r="P1694">
        <v>56.090364646499857</v>
      </c>
      <c r="Q1694" t="s">
        <v>47</v>
      </c>
      <c r="R1694" t="s">
        <v>350</v>
      </c>
      <c r="S1694" t="s">
        <v>343</v>
      </c>
      <c r="T1694" t="s">
        <v>343</v>
      </c>
    </row>
    <row r="1695" spans="2:20" x14ac:dyDescent="0.25">
      <c r="B1695">
        <v>1690</v>
      </c>
      <c r="C1695" t="s">
        <v>2034</v>
      </c>
      <c r="D1695" s="10">
        <v>0.28894806401881939</v>
      </c>
      <c r="E1695" s="10">
        <v>0.90706793633050298</v>
      </c>
      <c r="F1695" s="10">
        <v>0.46327016663283171</v>
      </c>
      <c r="G1695" s="10">
        <v>0.24327993355426411</v>
      </c>
      <c r="H1695" s="6">
        <v>0.24885129160257871</v>
      </c>
      <c r="I1695" s="10">
        <v>6.7103283455083611</v>
      </c>
      <c r="J1695" s="7">
        <v>2.892179321177487E-2</v>
      </c>
      <c r="K1695" s="5">
        <v>0.11073934046013791</v>
      </c>
      <c r="L1695">
        <v>96.030388587266998</v>
      </c>
      <c r="M1695" s="10">
        <v>-0.83734041865560471</v>
      </c>
      <c r="N1695" s="24" t="s">
        <v>343</v>
      </c>
      <c r="O1695" s="24">
        <v>0.75957488066372036</v>
      </c>
      <c r="P1695">
        <v>54.822953079564968</v>
      </c>
      <c r="Q1695" t="s">
        <v>47</v>
      </c>
      <c r="R1695" t="s">
        <v>350</v>
      </c>
      <c r="S1695" t="s">
        <v>343</v>
      </c>
      <c r="T1695" t="s">
        <v>343</v>
      </c>
    </row>
    <row r="1696" spans="2:20" x14ac:dyDescent="0.25">
      <c r="B1696">
        <v>1691</v>
      </c>
      <c r="C1696" t="s">
        <v>2035</v>
      </c>
      <c r="D1696" s="10">
        <v>0.28640486980912983</v>
      </c>
      <c r="E1696" s="10">
        <v>1.169541591873164</v>
      </c>
      <c r="F1696" s="10">
        <v>0.46402007581902349</v>
      </c>
      <c r="G1696" s="10">
        <v>0.33351459263323341</v>
      </c>
      <c r="H1696" s="6">
        <v>0.25807925946703009</v>
      </c>
      <c r="I1696" s="10">
        <v>8.1253139837163584</v>
      </c>
      <c r="J1696" s="7">
        <v>1.8332452649023129E-2</v>
      </c>
      <c r="K1696" s="5">
        <v>0.18243900830780471</v>
      </c>
      <c r="L1696">
        <v>203.0571962197134</v>
      </c>
      <c r="M1696" s="10">
        <v>-0.65605472380182839</v>
      </c>
      <c r="N1696" s="24" t="s">
        <v>343</v>
      </c>
      <c r="O1696" s="24">
        <v>11.6367165718903</v>
      </c>
      <c r="P1696">
        <v>50.804665404302398</v>
      </c>
      <c r="Q1696" t="s">
        <v>47</v>
      </c>
      <c r="R1696" t="s">
        <v>350</v>
      </c>
      <c r="S1696" t="s">
        <v>343</v>
      </c>
      <c r="T1696" t="s">
        <v>343</v>
      </c>
    </row>
    <row r="1697" spans="2:20" x14ac:dyDescent="0.25">
      <c r="B1697">
        <v>1692</v>
      </c>
      <c r="C1697" t="s">
        <v>2036</v>
      </c>
      <c r="D1697" s="10">
        <v>0.2087486622556865</v>
      </c>
      <c r="E1697" s="10">
        <v>0.53573908837801476</v>
      </c>
      <c r="F1697" s="10">
        <v>0.6201372908770737</v>
      </c>
      <c r="G1697" s="10">
        <v>0.3699419552172849</v>
      </c>
      <c r="H1697" s="6">
        <v>0.15526068493633199</v>
      </c>
      <c r="I1697" s="10">
        <v>10.674685648745889</v>
      </c>
      <c r="J1697" s="7">
        <v>4.2473385246525518E-2</v>
      </c>
      <c r="K1697" s="5">
        <v>0.14526608625203721</v>
      </c>
      <c r="L1697">
        <v>178.67683039127911</v>
      </c>
      <c r="M1697" s="10">
        <v>-0.69735102757625833</v>
      </c>
      <c r="N1697" s="24" t="s">
        <v>343</v>
      </c>
      <c r="O1697" s="24">
        <v>9.1589383454245024</v>
      </c>
      <c r="P1697">
        <v>61.120714292697862</v>
      </c>
      <c r="Q1697" t="s">
        <v>47</v>
      </c>
      <c r="R1697" t="s">
        <v>350</v>
      </c>
      <c r="S1697" t="s">
        <v>343</v>
      </c>
      <c r="T1697" t="s">
        <v>343</v>
      </c>
    </row>
    <row r="1698" spans="2:20" x14ac:dyDescent="0.25">
      <c r="B1698">
        <v>1693</v>
      </c>
      <c r="C1698" t="s">
        <v>2037</v>
      </c>
      <c r="D1698" s="10">
        <v>0.17294708528820041</v>
      </c>
      <c r="E1698" s="10">
        <v>0.67844486747620059</v>
      </c>
      <c r="F1698" s="10">
        <v>0.49563384726615678</v>
      </c>
      <c r="G1698" s="10">
        <v>0.30113904443945361</v>
      </c>
      <c r="H1698" s="6">
        <v>0.18875490465561531</v>
      </c>
      <c r="I1698" s="10">
        <v>6.872346740224673</v>
      </c>
      <c r="J1698" s="7">
        <v>3.4464439617511528E-2</v>
      </c>
      <c r="K1698" s="5">
        <v>0.19376209823063051</v>
      </c>
      <c r="L1698">
        <v>86.762759329632047</v>
      </c>
      <c r="M1698" s="10">
        <v>-0.85303824844968157</v>
      </c>
      <c r="N1698" s="24" t="s">
        <v>343</v>
      </c>
      <c r="O1698" s="24">
        <v>0</v>
      </c>
      <c r="P1698">
        <v>62.900133489891438</v>
      </c>
      <c r="Q1698" t="s">
        <v>47</v>
      </c>
      <c r="R1698" t="s">
        <v>350</v>
      </c>
      <c r="S1698" t="s">
        <v>343</v>
      </c>
      <c r="T1698" t="s">
        <v>343</v>
      </c>
    </row>
    <row r="1699" spans="2:20" x14ac:dyDescent="0.25">
      <c r="B1699">
        <v>1694</v>
      </c>
      <c r="C1699" t="s">
        <v>2038</v>
      </c>
      <c r="D1699" s="10">
        <v>0.22447682860242579</v>
      </c>
      <c r="E1699" s="10">
        <v>1.2620374680260771</v>
      </c>
      <c r="F1699" s="10">
        <v>0.68303301437401542</v>
      </c>
      <c r="G1699" s="10">
        <v>0.29707102523887041</v>
      </c>
      <c r="H1699" s="6">
        <v>0.177779649986467</v>
      </c>
      <c r="I1699" s="10">
        <v>4.1462059726785698</v>
      </c>
      <c r="J1699" s="7">
        <v>4.3562944119145589E-2</v>
      </c>
      <c r="K1699" s="5">
        <v>0.15233482173845669</v>
      </c>
      <c r="L1699">
        <v>154.9114795744284</v>
      </c>
      <c r="M1699" s="10">
        <v>-0.73760559773098289</v>
      </c>
      <c r="N1699" s="24" t="s">
        <v>343</v>
      </c>
      <c r="O1699" s="24">
        <v>6.7436641361410281</v>
      </c>
      <c r="P1699">
        <v>55.26819231218645</v>
      </c>
      <c r="Q1699" t="s">
        <v>47</v>
      </c>
      <c r="R1699" t="s">
        <v>350</v>
      </c>
      <c r="S1699" t="s">
        <v>343</v>
      </c>
      <c r="T1699" t="s">
        <v>343</v>
      </c>
    </row>
    <row r="1700" spans="2:20" x14ac:dyDescent="0.25">
      <c r="B1700">
        <v>1695</v>
      </c>
      <c r="C1700" t="s">
        <v>2039</v>
      </c>
      <c r="D1700" s="10">
        <v>0.1877639223978414</v>
      </c>
      <c r="E1700" s="10">
        <v>0.3551177329339652</v>
      </c>
      <c r="F1700" s="10">
        <v>0.57427558211373908</v>
      </c>
      <c r="G1700" s="10">
        <v>0.38923344253602199</v>
      </c>
      <c r="H1700" s="6">
        <v>0.1772815491920251</v>
      </c>
      <c r="I1700" s="10">
        <v>11.033758009725149</v>
      </c>
      <c r="J1700" s="7">
        <v>3.2786118657943328E-2</v>
      </c>
      <c r="K1700" s="5">
        <v>0.10280037234097419</v>
      </c>
      <c r="L1700">
        <v>140.63835535358481</v>
      </c>
      <c r="M1700" s="10">
        <v>-0.7617819073803932</v>
      </c>
      <c r="N1700" s="24" t="s">
        <v>343</v>
      </c>
      <c r="O1700" s="24">
        <v>5.2930855571764113</v>
      </c>
      <c r="P1700">
        <v>58.538674272617151</v>
      </c>
      <c r="Q1700" t="s">
        <v>47</v>
      </c>
      <c r="R1700" t="s">
        <v>350</v>
      </c>
      <c r="S1700" t="s">
        <v>343</v>
      </c>
      <c r="T1700" t="s">
        <v>343</v>
      </c>
    </row>
    <row r="1701" spans="2:20" x14ac:dyDescent="0.25">
      <c r="B1701">
        <v>1696</v>
      </c>
      <c r="C1701" t="s">
        <v>2040</v>
      </c>
      <c r="D1701" s="10">
        <v>0.2711921742243939</v>
      </c>
      <c r="E1701" s="10">
        <v>0.86354684238232826</v>
      </c>
      <c r="F1701" s="10">
        <v>0.55962554706827883</v>
      </c>
      <c r="G1701" s="10">
        <v>0.37237494262422532</v>
      </c>
      <c r="H1701" s="6">
        <v>0.21784254775532769</v>
      </c>
      <c r="I1701" s="10">
        <v>11.741058458196379</v>
      </c>
      <c r="J1701" s="7">
        <v>3.7130075351024507E-2</v>
      </c>
      <c r="K1701" s="5">
        <v>0.14671406154241609</v>
      </c>
      <c r="L1701">
        <v>324.55835753175688</v>
      </c>
      <c r="M1701" s="10">
        <v>-0.45025186990714661</v>
      </c>
      <c r="N1701" s="24" t="s">
        <v>343</v>
      </c>
      <c r="O1701" s="24">
        <v>23.984887805571201</v>
      </c>
      <c r="P1701">
        <v>56.012773512231732</v>
      </c>
      <c r="Q1701" t="s">
        <v>47</v>
      </c>
      <c r="R1701" t="s">
        <v>350</v>
      </c>
      <c r="S1701" t="s">
        <v>343</v>
      </c>
      <c r="T1701" t="s">
        <v>343</v>
      </c>
    </row>
    <row r="1702" spans="2:20" x14ac:dyDescent="0.25">
      <c r="B1702">
        <v>1697</v>
      </c>
      <c r="C1702" t="s">
        <v>2041</v>
      </c>
      <c r="D1702" s="10">
        <v>0.21537595624604569</v>
      </c>
      <c r="E1702" s="10">
        <v>0.82987602782840986</v>
      </c>
      <c r="F1702" s="10">
        <v>0.55291371473723938</v>
      </c>
      <c r="G1702" s="10">
        <v>0.27677231249848411</v>
      </c>
      <c r="H1702" s="6">
        <v>0.18027045904766151</v>
      </c>
      <c r="I1702" s="10">
        <v>5.7241352114670558</v>
      </c>
      <c r="J1702" s="7">
        <v>4.1172266817260737E-2</v>
      </c>
      <c r="K1702" s="5">
        <v>0.1682159022862513</v>
      </c>
      <c r="L1702">
        <v>61.649195462206713</v>
      </c>
      <c r="M1702" s="10">
        <v>-0.8955764683281624</v>
      </c>
      <c r="N1702" s="24" t="s">
        <v>343</v>
      </c>
      <c r="O1702" s="24">
        <v>0</v>
      </c>
      <c r="P1702">
        <v>60.581007742828668</v>
      </c>
      <c r="Q1702" t="s">
        <v>47</v>
      </c>
      <c r="R1702" t="s">
        <v>350</v>
      </c>
      <c r="S1702" t="s">
        <v>343</v>
      </c>
      <c r="T1702" t="s">
        <v>343</v>
      </c>
    </row>
    <row r="1703" spans="2:20" x14ac:dyDescent="0.25">
      <c r="B1703">
        <v>1698</v>
      </c>
      <c r="C1703" t="s">
        <v>2042</v>
      </c>
      <c r="D1703" s="10">
        <v>0.3160976321375864</v>
      </c>
      <c r="E1703" s="10">
        <v>1.12635320779889</v>
      </c>
      <c r="F1703" s="10">
        <v>0.62007278631462426</v>
      </c>
      <c r="G1703" s="10">
        <v>0.43459021191833502</v>
      </c>
      <c r="H1703" s="6">
        <v>0.21244954588758061</v>
      </c>
      <c r="I1703" s="10">
        <v>4.5043186811653726</v>
      </c>
      <c r="J1703" s="7">
        <v>3.6573725903202847E-2</v>
      </c>
      <c r="K1703" s="5">
        <v>0.1024728526792926</v>
      </c>
      <c r="L1703">
        <v>357.19413078397201</v>
      </c>
      <c r="M1703" s="10">
        <v>-0.3949722725614393</v>
      </c>
      <c r="N1703" s="24" t="s">
        <v>343</v>
      </c>
      <c r="O1703" s="24">
        <v>27.301663646313639</v>
      </c>
      <c r="P1703">
        <v>7.9289344238254458</v>
      </c>
      <c r="Q1703" t="s">
        <v>348</v>
      </c>
      <c r="R1703" t="s">
        <v>375</v>
      </c>
      <c r="S1703" t="s">
        <v>343</v>
      </c>
      <c r="T1703" t="s">
        <v>343</v>
      </c>
    </row>
    <row r="1704" spans="2:20" x14ac:dyDescent="0.25">
      <c r="B1704">
        <v>1699</v>
      </c>
      <c r="C1704" t="s">
        <v>2043</v>
      </c>
      <c r="D1704" s="10">
        <v>0.26255553237525309</v>
      </c>
      <c r="E1704" s="10">
        <v>0.61008314765926563</v>
      </c>
      <c r="F1704" s="10">
        <v>0.55758831825613819</v>
      </c>
      <c r="G1704" s="10">
        <v>0.38959473543543538</v>
      </c>
      <c r="H1704" s="6">
        <v>0.1773419045591712</v>
      </c>
      <c r="I1704" s="10">
        <v>8.8058115661232534</v>
      </c>
      <c r="J1704" s="7">
        <v>2.9692602020445279E-2</v>
      </c>
      <c r="K1704" s="5">
        <v>0.13927762786443071</v>
      </c>
      <c r="L1704">
        <v>203.29408775904281</v>
      </c>
      <c r="M1704" s="10">
        <v>-0.65565346874935782</v>
      </c>
      <c r="N1704" s="24" t="s">
        <v>343</v>
      </c>
      <c r="O1704" s="24">
        <v>11.66079187503853</v>
      </c>
      <c r="P1704">
        <v>52.023235576835063</v>
      </c>
      <c r="Q1704" t="s">
        <v>47</v>
      </c>
      <c r="R1704" t="s">
        <v>350</v>
      </c>
      <c r="S1704" t="s">
        <v>343</v>
      </c>
      <c r="T1704" t="s">
        <v>343</v>
      </c>
    </row>
    <row r="1705" spans="2:20" x14ac:dyDescent="0.25">
      <c r="B1705">
        <v>1700</v>
      </c>
      <c r="C1705" t="s">
        <v>2044</v>
      </c>
      <c r="D1705" s="10">
        <v>0.29159689018149781</v>
      </c>
      <c r="E1705" s="10">
        <v>0.54097350404555944</v>
      </c>
      <c r="F1705" s="10">
        <v>0.47343609261854991</v>
      </c>
      <c r="G1705" s="10">
        <v>0.31976677481718191</v>
      </c>
      <c r="H1705" s="6">
        <v>0.1666692274086635</v>
      </c>
      <c r="I1705" s="10">
        <v>5.2914573095848114</v>
      </c>
      <c r="J1705" s="7">
        <v>2.6517232629151542E-2</v>
      </c>
      <c r="K1705" s="5">
        <v>0.1147782190428998</v>
      </c>
      <c r="L1705">
        <v>105.9225259417011</v>
      </c>
      <c r="M1705" s="10">
        <v>-0.82058477552695819</v>
      </c>
      <c r="N1705" s="24" t="s">
        <v>343</v>
      </c>
      <c r="O1705" s="24">
        <v>1.764913468382503</v>
      </c>
      <c r="P1705">
        <v>60.241147750777962</v>
      </c>
      <c r="Q1705" t="s">
        <v>47</v>
      </c>
      <c r="R1705" t="s">
        <v>350</v>
      </c>
      <c r="S1705" t="s">
        <v>343</v>
      </c>
      <c r="T1705" t="s">
        <v>343</v>
      </c>
    </row>
    <row r="1706" spans="2:20" x14ac:dyDescent="0.25">
      <c r="B1706">
        <v>1701</v>
      </c>
      <c r="C1706" t="s">
        <v>2045</v>
      </c>
      <c r="D1706" s="10">
        <v>0.18120394763869571</v>
      </c>
      <c r="E1706" s="10">
        <v>1.318746122650557</v>
      </c>
      <c r="F1706" s="10">
        <v>0.66884476696659667</v>
      </c>
      <c r="G1706" s="10">
        <v>0.39039743179805297</v>
      </c>
      <c r="H1706" s="6">
        <v>0.17296157676647711</v>
      </c>
      <c r="I1706" s="10">
        <v>7.1157977668349144</v>
      </c>
      <c r="J1706" s="7">
        <v>3.8818206721949577E-2</v>
      </c>
      <c r="K1706" s="5">
        <v>0.16109419799702909</v>
      </c>
      <c r="L1706">
        <v>237.0823631858712</v>
      </c>
      <c r="M1706" s="10">
        <v>-0.59842172350568856</v>
      </c>
      <c r="N1706" s="24" t="s">
        <v>343</v>
      </c>
      <c r="O1706" s="24">
        <v>15.094696589658691</v>
      </c>
      <c r="P1706">
        <v>58.576979684169942</v>
      </c>
      <c r="Q1706" t="s">
        <v>47</v>
      </c>
      <c r="R1706" t="s">
        <v>350</v>
      </c>
      <c r="S1706" t="s">
        <v>343</v>
      </c>
      <c r="T1706" t="s">
        <v>343</v>
      </c>
    </row>
    <row r="1707" spans="2:20" x14ac:dyDescent="0.25">
      <c r="B1707">
        <v>1702</v>
      </c>
      <c r="C1707" t="s">
        <v>2046</v>
      </c>
      <c r="D1707" s="10">
        <v>0.29792231716361961</v>
      </c>
      <c r="E1707" s="10">
        <v>0.92888061715431114</v>
      </c>
      <c r="F1707" s="10">
        <v>0.5513827907206712</v>
      </c>
      <c r="G1707" s="10">
        <v>0.26478367908891948</v>
      </c>
      <c r="H1707" s="6">
        <v>0.240563558402064</v>
      </c>
      <c r="I1707" s="10">
        <v>11.55097342141736</v>
      </c>
      <c r="J1707" s="7">
        <v>3.7019503448724088E-2</v>
      </c>
      <c r="K1707" s="5">
        <v>0.19094785563391389</v>
      </c>
      <c r="L1707">
        <v>89.829040239862309</v>
      </c>
      <c r="M1707" s="10">
        <v>-0.84784447618155079</v>
      </c>
      <c r="N1707" s="24" t="s">
        <v>343</v>
      </c>
      <c r="O1707" s="24">
        <v>0.12933142910695489</v>
      </c>
      <c r="P1707">
        <v>49.39788332355981</v>
      </c>
      <c r="Q1707" t="s">
        <v>346</v>
      </c>
      <c r="R1707" t="s">
        <v>347</v>
      </c>
      <c r="S1707" t="s">
        <v>343</v>
      </c>
      <c r="T1707" t="s">
        <v>343</v>
      </c>
    </row>
    <row r="1708" spans="2:20" x14ac:dyDescent="0.25">
      <c r="B1708">
        <v>1703</v>
      </c>
      <c r="C1708" t="s">
        <v>2047</v>
      </c>
      <c r="D1708" s="10">
        <v>0.30764115048214308</v>
      </c>
      <c r="E1708" s="10">
        <v>0.41515852511201989</v>
      </c>
      <c r="F1708" s="10">
        <v>0.45924118968187072</v>
      </c>
      <c r="G1708" s="10">
        <v>0.34301634740629228</v>
      </c>
      <c r="H1708" s="6">
        <v>0.21015765543433371</v>
      </c>
      <c r="I1708" s="10">
        <v>5.4156774750304768</v>
      </c>
      <c r="J1708" s="7">
        <v>2.2825078837585579E-2</v>
      </c>
      <c r="K1708" s="5">
        <v>0.1593355659327528</v>
      </c>
      <c r="L1708">
        <v>78.081317598396723</v>
      </c>
      <c r="M1708" s="10">
        <v>-0.86774317361183728</v>
      </c>
      <c r="N1708" s="24" t="s">
        <v>343</v>
      </c>
      <c r="O1708" s="24">
        <v>0</v>
      </c>
      <c r="P1708">
        <v>62.235621288046048</v>
      </c>
      <c r="Q1708" t="s">
        <v>47</v>
      </c>
      <c r="R1708" t="s">
        <v>350</v>
      </c>
      <c r="S1708" t="s">
        <v>343</v>
      </c>
      <c r="T1708" t="s">
        <v>343</v>
      </c>
    </row>
    <row r="1709" spans="2:20" x14ac:dyDescent="0.25">
      <c r="B1709">
        <v>1704</v>
      </c>
      <c r="C1709" t="s">
        <v>2048</v>
      </c>
      <c r="D1709" s="10">
        <v>0.2379299070110297</v>
      </c>
      <c r="E1709" s="10">
        <v>0.51233977843575318</v>
      </c>
      <c r="F1709" s="10">
        <v>0.5776351567494179</v>
      </c>
      <c r="G1709" s="10">
        <v>0.27717657010310298</v>
      </c>
      <c r="H1709" s="6">
        <v>0.26609965995249218</v>
      </c>
      <c r="I1709" s="10">
        <v>11.86885187230582</v>
      </c>
      <c r="J1709" s="7">
        <v>2.7441618856975381E-2</v>
      </c>
      <c r="K1709" s="5">
        <v>0.1660133821066595</v>
      </c>
      <c r="L1709">
        <v>139.22468033521551</v>
      </c>
      <c r="M1709" s="10">
        <v>-0.76417643884098407</v>
      </c>
      <c r="N1709" s="24" t="s">
        <v>343</v>
      </c>
      <c r="O1709" s="24">
        <v>5.1494136695409622</v>
      </c>
      <c r="P1709">
        <v>59.936415957088997</v>
      </c>
      <c r="Q1709" t="s">
        <v>47</v>
      </c>
      <c r="R1709" t="s">
        <v>350</v>
      </c>
      <c r="S1709" t="s">
        <v>343</v>
      </c>
      <c r="T1709" t="s">
        <v>343</v>
      </c>
    </row>
    <row r="1710" spans="2:20" x14ac:dyDescent="0.25">
      <c r="B1710">
        <v>1705</v>
      </c>
      <c r="C1710" t="s">
        <v>2049</v>
      </c>
      <c r="D1710" s="10">
        <v>0.25700047004015641</v>
      </c>
      <c r="E1710" s="10">
        <v>1.3987086654656731</v>
      </c>
      <c r="F1710" s="10">
        <v>0.60831018319848285</v>
      </c>
      <c r="G1710" s="10">
        <v>0.24911487414825609</v>
      </c>
      <c r="H1710" s="6">
        <v>0.2448984339569599</v>
      </c>
      <c r="I1710" s="10">
        <v>10.414219865979421</v>
      </c>
      <c r="J1710" s="7">
        <v>3.2224676455999232E-2</v>
      </c>
      <c r="K1710" s="5">
        <v>0.13767347554043291</v>
      </c>
      <c r="L1710">
        <v>151.9833452730644</v>
      </c>
      <c r="M1710" s="10">
        <v>-0.74256537251255861</v>
      </c>
      <c r="N1710" s="24" t="s">
        <v>343</v>
      </c>
      <c r="O1710" s="24">
        <v>6.4460776492464902</v>
      </c>
      <c r="P1710">
        <v>50.982339636238009</v>
      </c>
      <c r="Q1710" t="s">
        <v>47</v>
      </c>
      <c r="R1710" t="s">
        <v>350</v>
      </c>
      <c r="S1710" t="s">
        <v>343</v>
      </c>
      <c r="T1710" t="s">
        <v>343</v>
      </c>
    </row>
    <row r="1711" spans="2:20" x14ac:dyDescent="0.25">
      <c r="B1711">
        <v>1706</v>
      </c>
      <c r="C1711" t="s">
        <v>2050</v>
      </c>
      <c r="D1711" s="10">
        <v>0.28236956814447928</v>
      </c>
      <c r="E1711" s="10">
        <v>0.51516989587741158</v>
      </c>
      <c r="F1711" s="10">
        <v>0.5116514406810172</v>
      </c>
      <c r="G1711" s="10">
        <v>0.31443177946342588</v>
      </c>
      <c r="H1711" s="6">
        <v>0.1928670912501062</v>
      </c>
      <c r="I1711" s="10">
        <v>5.4169845011169091</v>
      </c>
      <c r="J1711" s="7">
        <v>1.099295766682516E-2</v>
      </c>
      <c r="K1711" s="5">
        <v>0.15349838255043211</v>
      </c>
      <c r="L1711">
        <v>79.662804768451039</v>
      </c>
      <c r="M1711" s="10">
        <v>-0.86506439614600628</v>
      </c>
      <c r="N1711" s="24" t="s">
        <v>343</v>
      </c>
      <c r="O1711" s="24">
        <v>0</v>
      </c>
      <c r="P1711">
        <v>57.664489292309533</v>
      </c>
      <c r="Q1711" t="s">
        <v>47</v>
      </c>
      <c r="R1711" t="s">
        <v>350</v>
      </c>
      <c r="S1711" t="s">
        <v>343</v>
      </c>
      <c r="T1711" t="s">
        <v>343</v>
      </c>
    </row>
    <row r="1712" spans="2:20" x14ac:dyDescent="0.25">
      <c r="B1712">
        <v>1707</v>
      </c>
      <c r="C1712" t="s">
        <v>2051</v>
      </c>
      <c r="D1712" s="10">
        <v>0.18797418036166599</v>
      </c>
      <c r="E1712" s="10">
        <v>0.97152306248904652</v>
      </c>
      <c r="F1712" s="10">
        <v>0.64808850599519896</v>
      </c>
      <c r="G1712" s="10">
        <v>0.27316180636577231</v>
      </c>
      <c r="H1712" s="6">
        <v>0.15635645026411141</v>
      </c>
      <c r="I1712" s="10">
        <v>8.7904506115069161</v>
      </c>
      <c r="J1712" s="7">
        <v>1.8664904497607621E-2</v>
      </c>
      <c r="K1712" s="5">
        <v>0.15166648242015671</v>
      </c>
      <c r="L1712">
        <v>130.222602858751</v>
      </c>
      <c r="M1712" s="10">
        <v>-0.77942446787734365</v>
      </c>
      <c r="N1712" s="24" t="s">
        <v>343</v>
      </c>
      <c r="O1712" s="24">
        <v>4.2345319273593773</v>
      </c>
      <c r="P1712">
        <v>61.023368034476491</v>
      </c>
      <c r="Q1712" t="s">
        <v>47</v>
      </c>
      <c r="R1712" t="s">
        <v>350</v>
      </c>
      <c r="S1712" t="s">
        <v>343</v>
      </c>
      <c r="T1712" t="s">
        <v>343</v>
      </c>
    </row>
    <row r="1713" spans="2:20" x14ac:dyDescent="0.25">
      <c r="B1713">
        <v>1708</v>
      </c>
      <c r="C1713" t="s">
        <v>2052</v>
      </c>
      <c r="D1713" s="10">
        <v>0.2404105722341508</v>
      </c>
      <c r="E1713" s="10">
        <v>0.76214088689517978</v>
      </c>
      <c r="F1713" s="10">
        <v>0.61414171996971456</v>
      </c>
      <c r="G1713" s="10">
        <v>0.37937395052984152</v>
      </c>
      <c r="H1713" s="6">
        <v>0.22108636671827181</v>
      </c>
      <c r="I1713" s="10">
        <v>9.7547783875689387</v>
      </c>
      <c r="J1713" s="7">
        <v>1.8757503827497451E-2</v>
      </c>
      <c r="K1713" s="5">
        <v>0.1721626028004547</v>
      </c>
      <c r="L1713">
        <v>108.8873792644745</v>
      </c>
      <c r="M1713" s="10">
        <v>-0.8155628048016017</v>
      </c>
      <c r="N1713" s="24" t="s">
        <v>343</v>
      </c>
      <c r="O1713" s="24">
        <v>2.066231711903896</v>
      </c>
      <c r="P1713">
        <v>64.860899223700187</v>
      </c>
      <c r="Q1713" t="s">
        <v>47</v>
      </c>
      <c r="R1713" t="s">
        <v>350</v>
      </c>
      <c r="S1713" t="s">
        <v>343</v>
      </c>
      <c r="T1713" t="s">
        <v>343</v>
      </c>
    </row>
    <row r="1714" spans="2:20" x14ac:dyDescent="0.25">
      <c r="B1714">
        <v>1709</v>
      </c>
      <c r="C1714" t="s">
        <v>2053</v>
      </c>
      <c r="D1714" s="10">
        <v>0.22378608444357009</v>
      </c>
      <c r="E1714" s="10">
        <v>1.274159004334819</v>
      </c>
      <c r="F1714" s="10">
        <v>0.6090887040087527</v>
      </c>
      <c r="G1714" s="10">
        <v>0.38829493668389631</v>
      </c>
      <c r="H1714" s="6">
        <v>0.22899690409679041</v>
      </c>
      <c r="I1714" s="10">
        <v>5.2030364159500779</v>
      </c>
      <c r="J1714" s="7">
        <v>4.0913104581845917E-2</v>
      </c>
      <c r="K1714" s="5">
        <v>0.18140660646692799</v>
      </c>
      <c r="L1714">
        <v>166.80814693131231</v>
      </c>
      <c r="M1714" s="10">
        <v>-0.71745461260916665</v>
      </c>
      <c r="N1714" s="24" t="s">
        <v>343</v>
      </c>
      <c r="O1714" s="24">
        <v>7.9527232434500057</v>
      </c>
      <c r="P1714">
        <v>59.631383332722471</v>
      </c>
      <c r="Q1714" t="s">
        <v>47</v>
      </c>
      <c r="R1714" t="s">
        <v>350</v>
      </c>
      <c r="S1714" t="s">
        <v>343</v>
      </c>
      <c r="T1714" t="s">
        <v>343</v>
      </c>
    </row>
    <row r="1715" spans="2:20" x14ac:dyDescent="0.25">
      <c r="B1715">
        <v>1710</v>
      </c>
      <c r="C1715" t="s">
        <v>2054</v>
      </c>
      <c r="D1715" s="10">
        <v>0.18341983874595991</v>
      </c>
      <c r="E1715" s="10">
        <v>1.1306854515248601</v>
      </c>
      <c r="F1715" s="10">
        <v>0.54941448774562651</v>
      </c>
      <c r="G1715" s="10">
        <v>0.27271230736985269</v>
      </c>
      <c r="H1715" s="6">
        <v>0.18962639696879391</v>
      </c>
      <c r="I1715" s="10">
        <v>4.5944426939376859</v>
      </c>
      <c r="J1715" s="7">
        <v>2.1602071372370201E-2</v>
      </c>
      <c r="K1715" s="5">
        <v>0.16297416470689449</v>
      </c>
      <c r="L1715">
        <v>134.49678170131969</v>
      </c>
      <c r="M1715" s="10">
        <v>-0.77218471646790821</v>
      </c>
      <c r="N1715" s="24" t="s">
        <v>343</v>
      </c>
      <c r="O1715" s="24">
        <v>4.6689170119255152</v>
      </c>
      <c r="P1715">
        <v>29.104808712352082</v>
      </c>
      <c r="Q1715" t="s">
        <v>348</v>
      </c>
      <c r="R1715" t="s">
        <v>375</v>
      </c>
      <c r="S1715" t="s">
        <v>343</v>
      </c>
      <c r="T1715" t="s">
        <v>343</v>
      </c>
    </row>
    <row r="1716" spans="2:20" x14ac:dyDescent="0.25">
      <c r="B1716">
        <v>1711</v>
      </c>
      <c r="C1716" t="s">
        <v>2055</v>
      </c>
      <c r="D1716" s="10">
        <v>0.21880550756664499</v>
      </c>
      <c r="E1716" s="10">
        <v>0.9566465358879972</v>
      </c>
      <c r="F1716" s="10">
        <v>0.69009797836693476</v>
      </c>
      <c r="G1716" s="10">
        <v>0.2454148612327538</v>
      </c>
      <c r="H1716" s="6">
        <v>0.15448831986160361</v>
      </c>
      <c r="I1716" s="10">
        <v>8.842847278688911</v>
      </c>
      <c r="J1716" s="7">
        <v>2.9080018572926979E-2</v>
      </c>
      <c r="K1716" s="5">
        <v>0.19308183618278441</v>
      </c>
      <c r="L1716">
        <v>130.36471937473149</v>
      </c>
      <c r="M1716" s="10">
        <v>-0.77918374602531748</v>
      </c>
      <c r="N1716" s="24" t="s">
        <v>343</v>
      </c>
      <c r="O1716" s="24">
        <v>4.248975238480952</v>
      </c>
      <c r="P1716">
        <v>55.830906432332952</v>
      </c>
      <c r="Q1716" t="s">
        <v>47</v>
      </c>
      <c r="R1716" t="s">
        <v>350</v>
      </c>
      <c r="S1716" t="s">
        <v>343</v>
      </c>
      <c r="T1716" t="s">
        <v>343</v>
      </c>
    </row>
    <row r="1717" spans="2:20" x14ac:dyDescent="0.25">
      <c r="B1717">
        <v>1712</v>
      </c>
      <c r="C1717" t="s">
        <v>2056</v>
      </c>
      <c r="D1717" s="10">
        <v>0.17090756950167901</v>
      </c>
      <c r="E1717" s="10">
        <v>0.31181287997778068</v>
      </c>
      <c r="F1717" s="10">
        <v>0.51128918366680431</v>
      </c>
      <c r="G1717" s="10">
        <v>0.41441832355973529</v>
      </c>
      <c r="H1717" s="6">
        <v>0.20358574767948981</v>
      </c>
      <c r="I1717" s="10">
        <v>10.63225282749227</v>
      </c>
      <c r="J1717" s="7">
        <v>3.9105526345147981E-2</v>
      </c>
      <c r="K1717" s="5">
        <v>0.17868739728982749</v>
      </c>
      <c r="L1717">
        <v>195.0977027566492</v>
      </c>
      <c r="M1717" s="10">
        <v>-0.66953678810940886</v>
      </c>
      <c r="N1717" s="24" t="s">
        <v>343</v>
      </c>
      <c r="O1717" s="24">
        <v>10.827792713435469</v>
      </c>
      <c r="P1717">
        <v>60.902490552795179</v>
      </c>
      <c r="Q1717" t="s">
        <v>47</v>
      </c>
      <c r="R1717" t="s">
        <v>350</v>
      </c>
      <c r="S1717" t="s">
        <v>343</v>
      </c>
      <c r="T1717" t="s">
        <v>343</v>
      </c>
    </row>
    <row r="1718" spans="2:20" x14ac:dyDescent="0.25">
      <c r="B1718">
        <v>1713</v>
      </c>
      <c r="C1718" t="s">
        <v>2057</v>
      </c>
      <c r="D1718" s="10">
        <v>0.16412990511191791</v>
      </c>
      <c r="E1718" s="10">
        <v>1.267774728242806</v>
      </c>
      <c r="F1718" s="10">
        <v>0.59020343026401767</v>
      </c>
      <c r="G1718" s="10">
        <v>0.2404525445602837</v>
      </c>
      <c r="H1718" s="6">
        <v>0.158074387853917</v>
      </c>
      <c r="I1718" s="10">
        <v>8.1157572407870298</v>
      </c>
      <c r="J1718" s="7">
        <v>1.9089283439016759E-2</v>
      </c>
      <c r="K1718" s="5">
        <v>0.1118414411471079</v>
      </c>
      <c r="L1718">
        <v>225.4009499521477</v>
      </c>
      <c r="M1718" s="10">
        <v>-0.6182081037761552</v>
      </c>
      <c r="N1718" s="24" t="s">
        <v>343</v>
      </c>
      <c r="O1718" s="24">
        <v>13.90751377343069</v>
      </c>
      <c r="P1718">
        <v>59.463586482625757</v>
      </c>
      <c r="Q1718" t="s">
        <v>47</v>
      </c>
      <c r="R1718" t="s">
        <v>350</v>
      </c>
      <c r="S1718" t="s">
        <v>343</v>
      </c>
      <c r="T1718" t="s">
        <v>343</v>
      </c>
    </row>
    <row r="1719" spans="2:20" x14ac:dyDescent="0.25">
      <c r="B1719">
        <v>1714</v>
      </c>
      <c r="C1719" t="s">
        <v>2058</v>
      </c>
      <c r="D1719" s="10">
        <v>0.18162660626477159</v>
      </c>
      <c r="E1719" s="10">
        <v>0.78913421792258776</v>
      </c>
      <c r="F1719" s="10">
        <v>0.52035434094288058</v>
      </c>
      <c r="G1719" s="10">
        <v>0.31566087962043349</v>
      </c>
      <c r="H1719" s="6">
        <v>0.26099974764456568</v>
      </c>
      <c r="I1719" s="10">
        <v>3.7704317338511242</v>
      </c>
      <c r="J1719" s="7">
        <v>1.4331497711340249E-2</v>
      </c>
      <c r="K1719" s="5">
        <v>0.14821016284668631</v>
      </c>
      <c r="L1719">
        <v>67.395050510328545</v>
      </c>
      <c r="M1719" s="10">
        <v>-0.88584394104859465</v>
      </c>
      <c r="N1719" s="24" t="s">
        <v>343</v>
      </c>
      <c r="O1719" s="24">
        <v>0</v>
      </c>
      <c r="P1719">
        <v>59.973003141052203</v>
      </c>
      <c r="Q1719" t="s">
        <v>47</v>
      </c>
      <c r="R1719" t="s">
        <v>350</v>
      </c>
      <c r="S1719" t="s">
        <v>343</v>
      </c>
      <c r="T1719" t="s">
        <v>343</v>
      </c>
    </row>
    <row r="1720" spans="2:20" x14ac:dyDescent="0.25">
      <c r="B1720">
        <v>1715</v>
      </c>
      <c r="C1720" t="s">
        <v>2059</v>
      </c>
      <c r="D1720" s="10">
        <v>0.31409841785426779</v>
      </c>
      <c r="E1720" s="10">
        <v>1.3247354183204341</v>
      </c>
      <c r="F1720" s="10">
        <v>0.63364923577260401</v>
      </c>
      <c r="G1720" s="10">
        <v>0.34880832557004737</v>
      </c>
      <c r="H1720" s="6">
        <v>0.21433263720505791</v>
      </c>
      <c r="I1720" s="10">
        <v>13.17733977366478</v>
      </c>
      <c r="J1720" s="7">
        <v>4.3192593227795652E-2</v>
      </c>
      <c r="K1720" s="5">
        <v>0.1858074274759082</v>
      </c>
      <c r="L1720">
        <v>431.78143687770182</v>
      </c>
      <c r="M1720" s="10">
        <v>-0.26863372326162932</v>
      </c>
      <c r="N1720" s="24" t="s">
        <v>343</v>
      </c>
      <c r="O1720" s="24">
        <v>34.881976604302253</v>
      </c>
      <c r="P1720">
        <v>43.019731738014343</v>
      </c>
      <c r="Q1720" t="s">
        <v>346</v>
      </c>
      <c r="R1720" t="s">
        <v>347</v>
      </c>
      <c r="S1720" t="s">
        <v>343</v>
      </c>
      <c r="T1720" t="s">
        <v>343</v>
      </c>
    </row>
    <row r="1721" spans="2:20" x14ac:dyDescent="0.25">
      <c r="B1721">
        <v>1716</v>
      </c>
      <c r="C1721" t="s">
        <v>2060</v>
      </c>
      <c r="D1721" s="10">
        <v>0.24792472574320271</v>
      </c>
      <c r="E1721" s="10">
        <v>0.84509291413962129</v>
      </c>
      <c r="F1721" s="10">
        <v>0.45242578580623161</v>
      </c>
      <c r="G1721" s="10">
        <v>0.42010128147845532</v>
      </c>
      <c r="H1721" s="6">
        <v>0.1637896442503822</v>
      </c>
      <c r="I1721" s="10">
        <v>10.644619904399621</v>
      </c>
      <c r="J1721" s="7">
        <v>3.46639027611957E-2</v>
      </c>
      <c r="K1721" s="5">
        <v>0.1896738125294653</v>
      </c>
      <c r="L1721">
        <v>249.86002206893059</v>
      </c>
      <c r="M1721" s="10">
        <v>-0.57677848457834435</v>
      </c>
      <c r="N1721" s="24" t="s">
        <v>343</v>
      </c>
      <c r="O1721" s="24">
        <v>16.39329092529934</v>
      </c>
      <c r="P1721">
        <v>19.489052158656989</v>
      </c>
      <c r="Q1721" t="s">
        <v>348</v>
      </c>
      <c r="R1721" t="s">
        <v>371</v>
      </c>
      <c r="S1721" t="s">
        <v>343</v>
      </c>
      <c r="T1721" t="s">
        <v>343</v>
      </c>
    </row>
    <row r="1722" spans="2:20" x14ac:dyDescent="0.25">
      <c r="B1722">
        <v>1717</v>
      </c>
      <c r="C1722" t="s">
        <v>2061</v>
      </c>
      <c r="D1722" s="10">
        <v>0.3145315457845152</v>
      </c>
      <c r="E1722" s="10">
        <v>1.0636469381009981</v>
      </c>
      <c r="F1722" s="10">
        <v>0.4519324056475128</v>
      </c>
      <c r="G1722" s="10">
        <v>0.42448290140415101</v>
      </c>
      <c r="H1722" s="6">
        <v>0.15235960325017869</v>
      </c>
      <c r="I1722" s="10">
        <v>9.8331591436558448</v>
      </c>
      <c r="J1722" s="7">
        <v>1.6196881798804949E-2</v>
      </c>
      <c r="K1722" s="5">
        <v>0.13611956415107779</v>
      </c>
      <c r="L1722">
        <v>328.81293488874178</v>
      </c>
      <c r="M1722" s="10">
        <v>-0.44304532016944959</v>
      </c>
      <c r="N1722" s="24" t="s">
        <v>343</v>
      </c>
      <c r="O1722" s="24">
        <v>24.417280789833018</v>
      </c>
      <c r="P1722">
        <v>13.09290550793337</v>
      </c>
      <c r="Q1722" t="s">
        <v>348</v>
      </c>
      <c r="R1722" t="s">
        <v>353</v>
      </c>
      <c r="S1722" t="s">
        <v>343</v>
      </c>
      <c r="T1722" t="s">
        <v>343</v>
      </c>
    </row>
    <row r="1723" spans="2:20" x14ac:dyDescent="0.25">
      <c r="B1723">
        <v>1718</v>
      </c>
      <c r="C1723" t="s">
        <v>2062</v>
      </c>
      <c r="D1723" s="10">
        <v>0.22919966053282109</v>
      </c>
      <c r="E1723" s="10">
        <v>0.37622191441330632</v>
      </c>
      <c r="F1723" s="10">
        <v>0.65082385207488569</v>
      </c>
      <c r="G1723" s="10">
        <v>0.39948667693430018</v>
      </c>
      <c r="H1723" s="6">
        <v>0.2275084925077682</v>
      </c>
      <c r="I1723" s="10">
        <v>10.07989713123745</v>
      </c>
      <c r="J1723" s="7">
        <v>3.8689904390443078E-2</v>
      </c>
      <c r="K1723" s="5">
        <v>0.1689418858440698</v>
      </c>
      <c r="L1723">
        <v>114.77043064341569</v>
      </c>
      <c r="M1723" s="10">
        <v>-0.80559788964918067</v>
      </c>
      <c r="N1723" s="24" t="s">
        <v>343</v>
      </c>
      <c r="O1723" s="24">
        <v>2.664126621049157</v>
      </c>
      <c r="P1723">
        <v>53.353265862564569</v>
      </c>
      <c r="Q1723" t="s">
        <v>47</v>
      </c>
      <c r="R1723" t="s">
        <v>350</v>
      </c>
      <c r="S1723" t="s">
        <v>343</v>
      </c>
      <c r="T1723" t="s">
        <v>343</v>
      </c>
    </row>
    <row r="1724" spans="2:20" x14ac:dyDescent="0.25">
      <c r="B1724">
        <v>1719</v>
      </c>
      <c r="C1724" t="s">
        <v>2063</v>
      </c>
      <c r="D1724" s="10">
        <v>0.20989058129364149</v>
      </c>
      <c r="E1724" s="10">
        <v>1.1196668188794641</v>
      </c>
      <c r="F1724" s="10">
        <v>0.55290972187655441</v>
      </c>
      <c r="G1724" s="10">
        <v>0.29438347695877748</v>
      </c>
      <c r="H1724" s="6">
        <v>0.22616899203626301</v>
      </c>
      <c r="I1724" s="10">
        <v>7.384661609988763</v>
      </c>
      <c r="J1724" s="7">
        <v>3.7549431466745477E-2</v>
      </c>
      <c r="K1724" s="5">
        <v>0.13900182094602601</v>
      </c>
      <c r="L1724">
        <v>242.63457564213019</v>
      </c>
      <c r="M1724" s="10">
        <v>-0.58901719472103697</v>
      </c>
      <c r="N1724" s="24" t="s">
        <v>343</v>
      </c>
      <c r="O1724" s="24">
        <v>15.658968316737781</v>
      </c>
      <c r="P1724">
        <v>24.746556016481691</v>
      </c>
      <c r="Q1724" t="s">
        <v>348</v>
      </c>
      <c r="R1724" t="s">
        <v>375</v>
      </c>
      <c r="S1724" t="s">
        <v>343</v>
      </c>
      <c r="T1724" t="s">
        <v>343</v>
      </c>
    </row>
    <row r="1725" spans="2:20" x14ac:dyDescent="0.25">
      <c r="B1725">
        <v>1720</v>
      </c>
      <c r="C1725" t="s">
        <v>2064</v>
      </c>
      <c r="D1725" s="10">
        <v>0.24098269805443909</v>
      </c>
      <c r="E1725" s="10">
        <v>0.67179563444311508</v>
      </c>
      <c r="F1725" s="10">
        <v>0.52870681419609245</v>
      </c>
      <c r="G1725" s="10">
        <v>0.3984411255502176</v>
      </c>
      <c r="H1725" s="6">
        <v>0.20956983472628621</v>
      </c>
      <c r="I1725" s="10">
        <v>13.82840549236712</v>
      </c>
      <c r="J1725" s="7">
        <v>3.9313938411641998E-2</v>
      </c>
      <c r="K1725" s="5">
        <v>0.111747673607046</v>
      </c>
      <c r="L1725">
        <v>242.6767552029728</v>
      </c>
      <c r="M1725" s="10">
        <v>-0.58894574952739698</v>
      </c>
      <c r="N1725" s="24" t="s">
        <v>343</v>
      </c>
      <c r="O1725" s="24">
        <v>15.663255028356181</v>
      </c>
      <c r="P1725">
        <v>53.154822781118654</v>
      </c>
      <c r="Q1725" t="s">
        <v>47</v>
      </c>
      <c r="R1725" t="s">
        <v>350</v>
      </c>
      <c r="S1725" t="s">
        <v>343</v>
      </c>
      <c r="T1725" t="s">
        <v>343</v>
      </c>
    </row>
    <row r="1726" spans="2:20" x14ac:dyDescent="0.25">
      <c r="B1726">
        <v>1721</v>
      </c>
      <c r="C1726" t="s">
        <v>2065</v>
      </c>
      <c r="D1726" s="10">
        <v>0.2303218701812656</v>
      </c>
      <c r="E1726" s="10">
        <v>0.68649491576495891</v>
      </c>
      <c r="F1726" s="10">
        <v>0.59795698416558796</v>
      </c>
      <c r="G1726" s="10">
        <v>0.29423862353292718</v>
      </c>
      <c r="H1726" s="6">
        <v>0.2121451537768832</v>
      </c>
      <c r="I1726" s="10">
        <v>4.4594713289036312</v>
      </c>
      <c r="J1726" s="7">
        <v>1.9667440182898021E-2</v>
      </c>
      <c r="K1726" s="5">
        <v>0.1840380739676297</v>
      </c>
      <c r="L1726">
        <v>76.60154271887906</v>
      </c>
      <c r="M1726" s="10">
        <v>-0.87024966729500686</v>
      </c>
      <c r="N1726" s="24" t="s">
        <v>343</v>
      </c>
      <c r="O1726" s="24">
        <v>0</v>
      </c>
      <c r="P1726">
        <v>64.070325284786634</v>
      </c>
      <c r="Q1726" t="s">
        <v>47</v>
      </c>
      <c r="R1726" t="s">
        <v>350</v>
      </c>
      <c r="S1726" t="s">
        <v>343</v>
      </c>
      <c r="T1726" t="s">
        <v>343</v>
      </c>
    </row>
    <row r="1727" spans="2:20" x14ac:dyDescent="0.25">
      <c r="B1727">
        <v>1722</v>
      </c>
      <c r="C1727" t="s">
        <v>2066</v>
      </c>
      <c r="D1727" s="10">
        <v>0.176906349481879</v>
      </c>
      <c r="E1727" s="10">
        <v>0.43052142918032887</v>
      </c>
      <c r="F1727" s="10">
        <v>0.62249382940593312</v>
      </c>
      <c r="G1727" s="10">
        <v>0.28721380218097442</v>
      </c>
      <c r="H1727" s="6">
        <v>0.21058035042384349</v>
      </c>
      <c r="I1727" s="10">
        <v>11.130555152315489</v>
      </c>
      <c r="J1727" s="7">
        <v>2.5700288568613981E-2</v>
      </c>
      <c r="K1727" s="5">
        <v>0.18853554665766931</v>
      </c>
      <c r="L1727">
        <v>75.460607523394188</v>
      </c>
      <c r="M1727" s="10">
        <v>-0.87218222264512923</v>
      </c>
      <c r="N1727" s="24" t="s">
        <v>343</v>
      </c>
      <c r="O1727" s="24">
        <v>0</v>
      </c>
      <c r="P1727">
        <v>59.679344601537181</v>
      </c>
      <c r="Q1727" t="s">
        <v>47</v>
      </c>
      <c r="R1727" t="s">
        <v>350</v>
      </c>
      <c r="S1727" t="s">
        <v>343</v>
      </c>
      <c r="T1727" t="s">
        <v>343</v>
      </c>
    </row>
    <row r="1728" spans="2:20" x14ac:dyDescent="0.25">
      <c r="B1728">
        <v>1723</v>
      </c>
      <c r="C1728" t="s">
        <v>2067</v>
      </c>
      <c r="D1728" s="10">
        <v>0.262532210350433</v>
      </c>
      <c r="E1728" s="10">
        <v>0.46154286350422252</v>
      </c>
      <c r="F1728" s="10">
        <v>0.49231235017954572</v>
      </c>
      <c r="G1728" s="10">
        <v>0.36036814993071709</v>
      </c>
      <c r="H1728" s="6">
        <v>0.17401551702157761</v>
      </c>
      <c r="I1728" s="10">
        <v>7.6296355629380876</v>
      </c>
      <c r="J1728" s="7">
        <v>3.427858101298397E-2</v>
      </c>
      <c r="K1728" s="5">
        <v>0.1479513004702516</v>
      </c>
      <c r="L1728">
        <v>131.9309532050809</v>
      </c>
      <c r="M1728" s="10">
        <v>-0.77653080519190065</v>
      </c>
      <c r="N1728" s="24" t="s">
        <v>343</v>
      </c>
      <c r="O1728" s="24">
        <v>4.4081516884859582</v>
      </c>
      <c r="P1728">
        <v>55.229390397851091</v>
      </c>
      <c r="Q1728" t="s">
        <v>47</v>
      </c>
      <c r="R1728" t="s">
        <v>350</v>
      </c>
      <c r="S1728" t="s">
        <v>343</v>
      </c>
      <c r="T1728" t="s">
        <v>343</v>
      </c>
    </row>
    <row r="1729" spans="2:20" x14ac:dyDescent="0.25">
      <c r="B1729">
        <v>1724</v>
      </c>
      <c r="C1729" t="s">
        <v>2068</v>
      </c>
      <c r="D1729" s="10">
        <v>0.19456610920153589</v>
      </c>
      <c r="E1729" s="10">
        <v>0.50433496182683113</v>
      </c>
      <c r="F1729" s="10">
        <v>0.48821212276523018</v>
      </c>
      <c r="G1729" s="10">
        <v>0.38934797764349383</v>
      </c>
      <c r="H1729" s="6">
        <v>0.26061216150112099</v>
      </c>
      <c r="I1729" s="10">
        <v>12.69205652368939</v>
      </c>
      <c r="J1729" s="7">
        <v>2.367336509802918E-2</v>
      </c>
      <c r="K1729" s="5">
        <v>0.1017392059279137</v>
      </c>
      <c r="L1729">
        <v>347.0893107981816</v>
      </c>
      <c r="M1729" s="10">
        <v>-0.41208816486000582</v>
      </c>
      <c r="N1729" s="24" t="s">
        <v>343</v>
      </c>
      <c r="O1729" s="24">
        <v>26.274710108399649</v>
      </c>
      <c r="P1729">
        <v>19.655522285209649</v>
      </c>
      <c r="Q1729" t="s">
        <v>348</v>
      </c>
      <c r="R1729" t="s">
        <v>371</v>
      </c>
      <c r="S1729" t="s">
        <v>343</v>
      </c>
      <c r="T1729" t="s">
        <v>343</v>
      </c>
    </row>
    <row r="1730" spans="2:20" x14ac:dyDescent="0.25">
      <c r="B1730">
        <v>1725</v>
      </c>
      <c r="C1730" t="s">
        <v>2069</v>
      </c>
      <c r="D1730" s="10">
        <v>0.25913407278365269</v>
      </c>
      <c r="E1730" s="10">
        <v>0.66102678542856452</v>
      </c>
      <c r="F1730" s="10">
        <v>0.68911919441756919</v>
      </c>
      <c r="G1730" s="10">
        <v>0.25167138850056969</v>
      </c>
      <c r="H1730" s="6">
        <v>0.19189176963943769</v>
      </c>
      <c r="I1730" s="10">
        <v>10.88987401638753</v>
      </c>
      <c r="J1730" s="7">
        <v>1.2449026027569299E-2</v>
      </c>
      <c r="K1730" s="5">
        <v>0.17752344381614471</v>
      </c>
      <c r="L1730">
        <v>134.0987600868867</v>
      </c>
      <c r="M1730" s="10">
        <v>-0.7728588991940446</v>
      </c>
      <c r="N1730" s="24" t="s">
        <v>343</v>
      </c>
      <c r="O1730" s="24">
        <v>4.6284660483573248</v>
      </c>
      <c r="P1730">
        <v>23.714172444684149</v>
      </c>
      <c r="Q1730" t="s">
        <v>348</v>
      </c>
      <c r="R1730" t="s">
        <v>351</v>
      </c>
      <c r="S1730" t="s">
        <v>343</v>
      </c>
      <c r="T1730" t="s">
        <v>343</v>
      </c>
    </row>
    <row r="1731" spans="2:20" x14ac:dyDescent="0.25">
      <c r="B1731">
        <v>1726</v>
      </c>
      <c r="C1731" t="s">
        <v>2070</v>
      </c>
      <c r="D1731" s="10">
        <v>0.26403217478370461</v>
      </c>
      <c r="E1731" s="10">
        <v>1.2811669040531659</v>
      </c>
      <c r="F1731" s="10">
        <v>0.593312719659988</v>
      </c>
      <c r="G1731" s="10">
        <v>0.25320497224741378</v>
      </c>
      <c r="H1731" s="6">
        <v>0.12304918502183849</v>
      </c>
      <c r="I1731" s="10">
        <v>9.1847744569566139</v>
      </c>
      <c r="J1731" s="7">
        <v>1.4775741389840259E-2</v>
      </c>
      <c r="K1731" s="5">
        <v>0.14531123479192509</v>
      </c>
      <c r="L1731">
        <v>252.12164117696781</v>
      </c>
      <c r="M1731" s="10">
        <v>-0.57294767619897891</v>
      </c>
      <c r="N1731" s="24" t="s">
        <v>343</v>
      </c>
      <c r="O1731" s="24">
        <v>16.623139428061261</v>
      </c>
      <c r="P1731">
        <v>20.76140380771902</v>
      </c>
      <c r="Q1731" t="s">
        <v>348</v>
      </c>
      <c r="R1731" t="s">
        <v>353</v>
      </c>
      <c r="S1731" t="s">
        <v>343</v>
      </c>
      <c r="T1731" t="s">
        <v>343</v>
      </c>
    </row>
    <row r="1732" spans="2:20" x14ac:dyDescent="0.25">
      <c r="B1732">
        <v>1727</v>
      </c>
      <c r="C1732" t="s">
        <v>2071</v>
      </c>
      <c r="D1732" s="10">
        <v>0.18432397650058371</v>
      </c>
      <c r="E1732" s="10">
        <v>0.70508626205308844</v>
      </c>
      <c r="F1732" s="10">
        <v>0.54143028409650973</v>
      </c>
      <c r="G1732" s="10">
        <v>0.41251755109969379</v>
      </c>
      <c r="H1732" s="6">
        <v>0.17225420135824879</v>
      </c>
      <c r="I1732" s="10">
        <v>13.314629978269981</v>
      </c>
      <c r="J1732" s="7">
        <v>3.0898972678410061E-2</v>
      </c>
      <c r="K1732" s="5">
        <v>0.107127693966449</v>
      </c>
      <c r="L1732">
        <v>269.95879163129081</v>
      </c>
      <c r="M1732" s="10">
        <v>-0.54273449610088376</v>
      </c>
      <c r="N1732" s="24" t="s">
        <v>343</v>
      </c>
      <c r="O1732" s="24">
        <v>18.43593023394698</v>
      </c>
      <c r="P1732">
        <v>52.581349638315373</v>
      </c>
      <c r="Q1732" t="s">
        <v>47</v>
      </c>
      <c r="R1732" t="s">
        <v>350</v>
      </c>
      <c r="S1732" t="s">
        <v>343</v>
      </c>
      <c r="T1732" t="s">
        <v>343</v>
      </c>
    </row>
    <row r="1733" spans="2:20" x14ac:dyDescent="0.25">
      <c r="B1733">
        <v>1728</v>
      </c>
      <c r="C1733" t="s">
        <v>2072</v>
      </c>
      <c r="D1733" s="10">
        <v>0.16981594033770689</v>
      </c>
      <c r="E1733" s="10">
        <v>1.0967989772195399</v>
      </c>
      <c r="F1733" s="10">
        <v>0.64837484061407169</v>
      </c>
      <c r="G1733" s="10">
        <v>0.42908939521240558</v>
      </c>
      <c r="H1733" s="6">
        <v>0.1395423867971399</v>
      </c>
      <c r="I1733" s="10">
        <v>13.03687697033711</v>
      </c>
      <c r="J1733" s="7">
        <v>2.3130886985951761E-2</v>
      </c>
      <c r="K1733" s="5">
        <v>0.117992190872792</v>
      </c>
      <c r="L1733">
        <v>321.92828381389131</v>
      </c>
      <c r="M1733" s="10">
        <v>-0.45470677940138599</v>
      </c>
      <c r="N1733" s="24" t="s">
        <v>343</v>
      </c>
      <c r="O1733" s="24">
        <v>23.717593235916841</v>
      </c>
      <c r="P1733">
        <v>50.74109815841846</v>
      </c>
      <c r="Q1733" t="s">
        <v>47</v>
      </c>
      <c r="R1733" t="s">
        <v>350</v>
      </c>
      <c r="S1733" t="s">
        <v>343</v>
      </c>
      <c r="T1733" t="s">
        <v>343</v>
      </c>
    </row>
    <row r="1734" spans="2:20" x14ac:dyDescent="0.25">
      <c r="B1734">
        <v>1729</v>
      </c>
      <c r="C1734" t="s">
        <v>2073</v>
      </c>
      <c r="D1734" s="10">
        <v>0.28492185377095042</v>
      </c>
      <c r="E1734" s="10">
        <v>0.39102225427885851</v>
      </c>
      <c r="F1734" s="10">
        <v>0.57654132928225843</v>
      </c>
      <c r="G1734" s="10">
        <v>0.37297700159521668</v>
      </c>
      <c r="H1734" s="6">
        <v>0.1745075686571825</v>
      </c>
      <c r="I1734" s="10">
        <v>3.5756739554747021</v>
      </c>
      <c r="J1734" s="7">
        <v>1.018830461333977E-2</v>
      </c>
      <c r="K1734" s="5">
        <v>0.11445133732189069</v>
      </c>
      <c r="L1734">
        <v>91.226871303087037</v>
      </c>
      <c r="M1734" s="10">
        <v>-0.84547678175815788</v>
      </c>
      <c r="N1734" s="24" t="s">
        <v>343</v>
      </c>
      <c r="O1734" s="24">
        <v>0.27139309451052179</v>
      </c>
      <c r="P1734">
        <v>54.083489172472547</v>
      </c>
      <c r="Q1734" t="s">
        <v>47</v>
      </c>
      <c r="R1734" t="s">
        <v>350</v>
      </c>
      <c r="S1734" t="s">
        <v>343</v>
      </c>
      <c r="T1734" t="s">
        <v>343</v>
      </c>
    </row>
    <row r="1735" spans="2:20" x14ac:dyDescent="0.25">
      <c r="B1735">
        <v>1730</v>
      </c>
      <c r="C1735" t="s">
        <v>2074</v>
      </c>
      <c r="D1735" s="10">
        <v>0.23356806780309131</v>
      </c>
      <c r="E1735" s="10">
        <v>0.95020867919919172</v>
      </c>
      <c r="F1735" s="10">
        <v>0.50283233069739119</v>
      </c>
      <c r="G1735" s="10">
        <v>0.33434216213551488</v>
      </c>
      <c r="H1735" s="6">
        <v>0.21123937275535989</v>
      </c>
      <c r="I1735" s="10">
        <v>5.1184685141333208</v>
      </c>
      <c r="J1735" s="7">
        <v>3.6839908444163433E-2</v>
      </c>
      <c r="K1735" s="5">
        <v>0.16519649230037289</v>
      </c>
      <c r="L1735">
        <v>117.3418239624589</v>
      </c>
      <c r="M1735" s="10">
        <v>-0.80124237503656148</v>
      </c>
      <c r="N1735" s="24" t="s">
        <v>343</v>
      </c>
      <c r="O1735" s="24">
        <v>2.9254574978063128</v>
      </c>
      <c r="P1735">
        <v>62.506490903999143</v>
      </c>
      <c r="Q1735" t="s">
        <v>47</v>
      </c>
      <c r="R1735" t="s">
        <v>350</v>
      </c>
      <c r="S1735" t="s">
        <v>343</v>
      </c>
      <c r="T1735" t="s">
        <v>343</v>
      </c>
    </row>
    <row r="1736" spans="2:20" x14ac:dyDescent="0.25">
      <c r="B1736">
        <v>1731</v>
      </c>
      <c r="C1736" t="s">
        <v>2075</v>
      </c>
      <c r="D1736" s="10">
        <v>0.16930620728087609</v>
      </c>
      <c r="E1736" s="10">
        <v>0.83008035439748351</v>
      </c>
      <c r="F1736" s="10">
        <v>0.49375117946680919</v>
      </c>
      <c r="G1736" s="10">
        <v>0.42596962551182088</v>
      </c>
      <c r="H1736" s="6">
        <v>0.12339967117828859</v>
      </c>
      <c r="I1736" s="10">
        <v>10.436512433950361</v>
      </c>
      <c r="J1736" s="7">
        <v>2.458463099783063E-2</v>
      </c>
      <c r="K1736" s="5">
        <v>0.12844390182241039</v>
      </c>
      <c r="L1736">
        <v>259.20871310164921</v>
      </c>
      <c r="M1736" s="10">
        <v>-0.560943349556286</v>
      </c>
      <c r="N1736" s="24" t="s">
        <v>343</v>
      </c>
      <c r="O1736" s="24">
        <v>17.343399026622841</v>
      </c>
      <c r="P1736">
        <v>18.828530077514749</v>
      </c>
      <c r="Q1736" t="s">
        <v>348</v>
      </c>
      <c r="R1736" t="s">
        <v>371</v>
      </c>
      <c r="S1736" t="s">
        <v>343</v>
      </c>
      <c r="T1736" t="s">
        <v>343</v>
      </c>
    </row>
    <row r="1737" spans="2:20" x14ac:dyDescent="0.25">
      <c r="B1737">
        <v>1732</v>
      </c>
      <c r="C1737" t="s">
        <v>2076</v>
      </c>
      <c r="D1737" s="10">
        <v>0.31917861074716269</v>
      </c>
      <c r="E1737" s="10">
        <v>1.375753741649955</v>
      </c>
      <c r="F1737" s="10">
        <v>0.54318340920415364</v>
      </c>
      <c r="G1737" s="10">
        <v>0.40033974721057258</v>
      </c>
      <c r="H1737" s="6">
        <v>0.25053007968418028</v>
      </c>
      <c r="I1737" s="10">
        <v>13.14023369156693</v>
      </c>
      <c r="J1737" s="7">
        <v>2.098192499060763E-2</v>
      </c>
      <c r="K1737" s="5">
        <v>0.1121305991445871</v>
      </c>
      <c r="L1737">
        <v>424.51285148834802</v>
      </c>
      <c r="M1737" s="10">
        <v>-0.28094550366564042</v>
      </c>
      <c r="N1737" s="24" t="s">
        <v>343</v>
      </c>
      <c r="O1737" s="24">
        <v>34.14326978006158</v>
      </c>
      <c r="P1737">
        <v>44.616030415236928</v>
      </c>
      <c r="Q1737" t="s">
        <v>346</v>
      </c>
      <c r="R1737" t="s">
        <v>347</v>
      </c>
      <c r="S1737" t="s">
        <v>343</v>
      </c>
      <c r="T1737" t="s">
        <v>343</v>
      </c>
    </row>
    <row r="1738" spans="2:20" x14ac:dyDescent="0.25">
      <c r="B1738">
        <v>1733</v>
      </c>
      <c r="C1738" t="s">
        <v>2077</v>
      </c>
      <c r="D1738" s="10">
        <v>0.1692448897594187</v>
      </c>
      <c r="E1738" s="10">
        <v>1.2308285468668589</v>
      </c>
      <c r="F1738" s="10">
        <v>0.6635729236675687</v>
      </c>
      <c r="G1738" s="10">
        <v>0.36751072365487908</v>
      </c>
      <c r="H1738" s="6">
        <v>0.21154636777022631</v>
      </c>
      <c r="I1738" s="10">
        <v>7.7336300278865693</v>
      </c>
      <c r="J1738" s="7">
        <v>3.4973171266788478E-2</v>
      </c>
      <c r="K1738" s="5">
        <v>0.1871766384924051</v>
      </c>
      <c r="L1738">
        <v>153.13984091763919</v>
      </c>
      <c r="M1738" s="10">
        <v>-0.74060646033756283</v>
      </c>
      <c r="N1738" s="24" t="s">
        <v>343</v>
      </c>
      <c r="O1738" s="24">
        <v>6.5636123797462247</v>
      </c>
      <c r="P1738">
        <v>57.672180744852071</v>
      </c>
      <c r="Q1738" t="s">
        <v>47</v>
      </c>
      <c r="R1738" t="s">
        <v>350</v>
      </c>
      <c r="S1738" t="s">
        <v>343</v>
      </c>
      <c r="T1738" t="s">
        <v>343</v>
      </c>
    </row>
    <row r="1739" spans="2:20" x14ac:dyDescent="0.25">
      <c r="B1739">
        <v>1734</v>
      </c>
      <c r="C1739" t="s">
        <v>2078</v>
      </c>
      <c r="D1739" s="10">
        <v>0.27120563661736852</v>
      </c>
      <c r="E1739" s="10">
        <v>0.80031274968251465</v>
      </c>
      <c r="F1739" s="10">
        <v>0.45597645817150728</v>
      </c>
      <c r="G1739" s="10">
        <v>0.31034656682872802</v>
      </c>
      <c r="H1739" s="6">
        <v>0.16430578143884919</v>
      </c>
      <c r="I1739" s="10">
        <v>3.421357698964488</v>
      </c>
      <c r="J1739" s="7">
        <v>2.5928808664524121E-2</v>
      </c>
      <c r="K1739" s="5">
        <v>0.19087045060650129</v>
      </c>
      <c r="L1739">
        <v>108.96746383199731</v>
      </c>
      <c r="M1739" s="10">
        <v>-0.81542715480146066</v>
      </c>
      <c r="N1739" s="24" t="s">
        <v>343</v>
      </c>
      <c r="O1739" s="24">
        <v>2.074370711912358</v>
      </c>
      <c r="P1739">
        <v>66.09949369587622</v>
      </c>
      <c r="Q1739" t="s">
        <v>47</v>
      </c>
      <c r="R1739" t="s">
        <v>350</v>
      </c>
      <c r="S1739" t="s">
        <v>343</v>
      </c>
      <c r="T1739" t="s">
        <v>343</v>
      </c>
    </row>
    <row r="1740" spans="2:20" x14ac:dyDescent="0.25">
      <c r="B1740">
        <v>1735</v>
      </c>
      <c r="C1740" t="s">
        <v>2079</v>
      </c>
      <c r="D1740" s="10">
        <v>0.31738862804214618</v>
      </c>
      <c r="E1740" s="10">
        <v>1.152657040449873</v>
      </c>
      <c r="F1740" s="10">
        <v>0.49681676019623838</v>
      </c>
      <c r="G1740" s="10">
        <v>0.28355891356449958</v>
      </c>
      <c r="H1740" s="6">
        <v>0.16668077608864221</v>
      </c>
      <c r="I1740" s="10">
        <v>10.07626985978041</v>
      </c>
      <c r="J1740" s="7">
        <v>3.431908882872655E-2</v>
      </c>
      <c r="K1740" s="5">
        <v>0.1131647079128624</v>
      </c>
      <c r="L1740">
        <v>296.72319915905052</v>
      </c>
      <c r="M1740" s="10">
        <v>-0.49740002034334818</v>
      </c>
      <c r="N1740" s="24" t="s">
        <v>343</v>
      </c>
      <c r="O1740" s="24">
        <v>21.155998779399109</v>
      </c>
      <c r="P1740">
        <v>19.01966812993567</v>
      </c>
      <c r="Q1740" t="s">
        <v>348</v>
      </c>
      <c r="R1740" t="s">
        <v>371</v>
      </c>
      <c r="S1740" t="s">
        <v>343</v>
      </c>
      <c r="T1740" t="s">
        <v>343</v>
      </c>
    </row>
    <row r="1741" spans="2:20" x14ac:dyDescent="0.25">
      <c r="B1741">
        <v>1736</v>
      </c>
      <c r="C1741" t="s">
        <v>2080</v>
      </c>
      <c r="D1741" s="10">
        <v>0.1982688166745481</v>
      </c>
      <c r="E1741" s="10">
        <v>0.51234261542315518</v>
      </c>
      <c r="F1741" s="10">
        <v>0.67221947290167372</v>
      </c>
      <c r="G1741" s="10">
        <v>0.33210806863973352</v>
      </c>
      <c r="H1741" s="6">
        <v>0.18985022647742261</v>
      </c>
      <c r="I1741" s="10">
        <v>5.1415569696525791</v>
      </c>
      <c r="J1741" s="7">
        <v>1.046193288334279E-2</v>
      </c>
      <c r="K1741" s="5">
        <v>0.1218724060644381</v>
      </c>
      <c r="L1741">
        <v>145.64950129886631</v>
      </c>
      <c r="M1741" s="10">
        <v>-0.753293855696895</v>
      </c>
      <c r="N1741" s="24" t="s">
        <v>343</v>
      </c>
      <c r="O1741" s="24">
        <v>5.8023686581863032</v>
      </c>
      <c r="P1741">
        <v>62.064606357894341</v>
      </c>
      <c r="Q1741" t="s">
        <v>47</v>
      </c>
      <c r="R1741" t="s">
        <v>350</v>
      </c>
      <c r="S1741" t="s">
        <v>343</v>
      </c>
      <c r="T1741" t="s">
        <v>343</v>
      </c>
    </row>
    <row r="1742" spans="2:20" x14ac:dyDescent="0.25">
      <c r="B1742">
        <v>1737</v>
      </c>
      <c r="C1742" t="s">
        <v>2081</v>
      </c>
      <c r="D1742" s="10">
        <v>0.1827598989899514</v>
      </c>
      <c r="E1742" s="10">
        <v>0.91856996013095582</v>
      </c>
      <c r="F1742" s="10">
        <v>0.47165098793200511</v>
      </c>
      <c r="G1742" s="10">
        <v>0.30310096671124648</v>
      </c>
      <c r="H1742" s="6">
        <v>0.157213770900269</v>
      </c>
      <c r="I1742" s="10">
        <v>9.0755390664835218</v>
      </c>
      <c r="J1742" s="7">
        <v>1.0329703992968861E-2</v>
      </c>
      <c r="K1742" s="5">
        <v>0.1562514683626095</v>
      </c>
      <c r="L1742">
        <v>165.72848752909249</v>
      </c>
      <c r="M1742" s="10">
        <v>-0.71928337690912592</v>
      </c>
      <c r="N1742" s="24" t="s">
        <v>343</v>
      </c>
      <c r="O1742" s="24">
        <v>7.8429973854524491</v>
      </c>
      <c r="P1742">
        <v>54.267879035006032</v>
      </c>
      <c r="Q1742" t="s">
        <v>47</v>
      </c>
      <c r="R1742" t="s">
        <v>350</v>
      </c>
      <c r="S1742" t="s">
        <v>343</v>
      </c>
      <c r="T1742" t="s">
        <v>343</v>
      </c>
    </row>
    <row r="1743" spans="2:20" x14ac:dyDescent="0.25">
      <c r="B1743">
        <v>1738</v>
      </c>
      <c r="C1743" t="s">
        <v>2082</v>
      </c>
      <c r="D1743" s="10">
        <v>0.17942159030758861</v>
      </c>
      <c r="E1743" s="10">
        <v>0.38208096112557899</v>
      </c>
      <c r="F1743" s="10">
        <v>0.60370268674868377</v>
      </c>
      <c r="G1743" s="10">
        <v>0.3146368893015814</v>
      </c>
      <c r="H1743" s="6">
        <v>0.1206512891641419</v>
      </c>
      <c r="I1743" s="10">
        <v>7.2315158448700849</v>
      </c>
      <c r="J1743" s="7">
        <v>2.959656756436323E-2</v>
      </c>
      <c r="K1743" s="5">
        <v>0.114298245702355</v>
      </c>
      <c r="L1743">
        <v>98.893806267730255</v>
      </c>
      <c r="M1743" s="10">
        <v>-0.83249026311661056</v>
      </c>
      <c r="N1743" s="24" t="s">
        <v>343</v>
      </c>
      <c r="O1743" s="24">
        <v>1.050584213003368</v>
      </c>
      <c r="P1743">
        <v>61.742886773905973</v>
      </c>
      <c r="Q1743" t="s">
        <v>47</v>
      </c>
      <c r="R1743" t="s">
        <v>350</v>
      </c>
      <c r="S1743" t="s">
        <v>343</v>
      </c>
      <c r="T1743" t="s">
        <v>343</v>
      </c>
    </row>
    <row r="1744" spans="2:20" x14ac:dyDescent="0.25">
      <c r="B1744">
        <v>1739</v>
      </c>
      <c r="C1744" t="s">
        <v>2083</v>
      </c>
      <c r="D1744" s="10">
        <v>0.20852402361081529</v>
      </c>
      <c r="E1744" s="10">
        <v>0.6828979354768514</v>
      </c>
      <c r="F1744" s="10">
        <v>0.49551295571146647</v>
      </c>
      <c r="G1744" s="10">
        <v>0.35343883216864708</v>
      </c>
      <c r="H1744" s="6">
        <v>0.1239836172268895</v>
      </c>
      <c r="I1744" s="10">
        <v>9.1382974301223427</v>
      </c>
      <c r="J1744" s="7">
        <v>4.4377421197997757E-2</v>
      </c>
      <c r="K1744" s="5">
        <v>0.1150662108258431</v>
      </c>
      <c r="L1744">
        <v>232.04295481579041</v>
      </c>
      <c r="M1744" s="10">
        <v>-0.60695764705821997</v>
      </c>
      <c r="N1744" s="24" t="s">
        <v>343</v>
      </c>
      <c r="O1744" s="24">
        <v>14.582541176506799</v>
      </c>
      <c r="P1744">
        <v>61.359076430947653</v>
      </c>
      <c r="Q1744" t="s">
        <v>47</v>
      </c>
      <c r="R1744" t="s">
        <v>350</v>
      </c>
      <c r="S1744" t="s">
        <v>343</v>
      </c>
      <c r="T1744" t="s">
        <v>343</v>
      </c>
    </row>
    <row r="1745" spans="2:20" x14ac:dyDescent="0.25">
      <c r="B1745">
        <v>1740</v>
      </c>
      <c r="C1745" t="s">
        <v>2084</v>
      </c>
      <c r="D1745" s="10">
        <v>0.17616732976170349</v>
      </c>
      <c r="E1745" s="10">
        <v>0.54844839978438731</v>
      </c>
      <c r="F1745" s="10">
        <v>0.59752538035309088</v>
      </c>
      <c r="G1745" s="10">
        <v>0.27720067052935421</v>
      </c>
      <c r="H1745" s="6">
        <v>0.17366110079580299</v>
      </c>
      <c r="I1745" s="10">
        <v>13.2567995140974</v>
      </c>
      <c r="J1745" s="7">
        <v>1.9532503327141619E-2</v>
      </c>
      <c r="K1745" s="5">
        <v>0.13197472396505211</v>
      </c>
      <c r="L1745">
        <v>132.4319661570857</v>
      </c>
      <c r="M1745" s="10">
        <v>-0.77568217218915925</v>
      </c>
      <c r="N1745" s="24" t="s">
        <v>343</v>
      </c>
      <c r="O1745" s="24">
        <v>4.4590696686504501</v>
      </c>
      <c r="P1745">
        <v>57.36782336871461</v>
      </c>
      <c r="Q1745" t="s">
        <v>47</v>
      </c>
      <c r="R1745" t="s">
        <v>350</v>
      </c>
      <c r="S1745" t="s">
        <v>343</v>
      </c>
      <c r="T1745" t="s">
        <v>343</v>
      </c>
    </row>
    <row r="1746" spans="2:20" x14ac:dyDescent="0.25">
      <c r="B1746">
        <v>1741</v>
      </c>
      <c r="C1746" t="s">
        <v>2085</v>
      </c>
      <c r="D1746" s="10">
        <v>0.27074581467106112</v>
      </c>
      <c r="E1746" s="10">
        <v>1.090800796857732</v>
      </c>
      <c r="F1746" s="10">
        <v>0.53960708337950036</v>
      </c>
      <c r="G1746" s="10">
        <v>0.41735886961624158</v>
      </c>
      <c r="H1746" s="6">
        <v>0.13863325149129119</v>
      </c>
      <c r="I1746" s="10">
        <v>8.3438064948726911</v>
      </c>
      <c r="J1746" s="7">
        <v>3.3901274500833627E-2</v>
      </c>
      <c r="K1746" s="5">
        <v>0.19017118162246049</v>
      </c>
      <c r="L1746">
        <v>173.55407432473501</v>
      </c>
      <c r="M1746" s="10">
        <v>-0.70602812832917572</v>
      </c>
      <c r="N1746" s="24" t="s">
        <v>343</v>
      </c>
      <c r="O1746" s="24">
        <v>8.63831230024946</v>
      </c>
      <c r="P1746">
        <v>54.134581066973652</v>
      </c>
      <c r="Q1746" t="s">
        <v>47</v>
      </c>
      <c r="R1746" t="s">
        <v>350</v>
      </c>
      <c r="S1746" t="s">
        <v>343</v>
      </c>
      <c r="T1746" t="s">
        <v>343</v>
      </c>
    </row>
    <row r="1747" spans="2:20" x14ac:dyDescent="0.25">
      <c r="B1747">
        <v>1742</v>
      </c>
      <c r="C1747" t="s">
        <v>2086</v>
      </c>
      <c r="D1747" s="10">
        <v>0.16996668770081</v>
      </c>
      <c r="E1747" s="10">
        <v>0.83909976033579747</v>
      </c>
      <c r="F1747" s="10">
        <v>0.46643599307205791</v>
      </c>
      <c r="G1747" s="10">
        <v>0.27201648157724878</v>
      </c>
      <c r="H1747" s="6">
        <v>0.1233545511970623</v>
      </c>
      <c r="I1747" s="10">
        <v>3.3798170614933549</v>
      </c>
      <c r="J1747" s="7">
        <v>1.6029014001593879E-2</v>
      </c>
      <c r="K1747" s="5">
        <v>0.19143200865384549</v>
      </c>
      <c r="L1747">
        <v>85.911945038149426</v>
      </c>
      <c r="M1747" s="10">
        <v>-0.85447938701519532</v>
      </c>
      <c r="N1747" s="24" t="s">
        <v>343</v>
      </c>
      <c r="O1747" s="24">
        <v>0</v>
      </c>
      <c r="P1747">
        <v>53.046984617015383</v>
      </c>
      <c r="Q1747" t="s">
        <v>47</v>
      </c>
      <c r="R1747" t="s">
        <v>350</v>
      </c>
      <c r="S1747" t="s">
        <v>343</v>
      </c>
      <c r="T1747" t="s">
        <v>343</v>
      </c>
    </row>
    <row r="1748" spans="2:20" x14ac:dyDescent="0.25">
      <c r="B1748">
        <v>1743</v>
      </c>
      <c r="C1748" t="s">
        <v>2087</v>
      </c>
      <c r="D1748" s="10">
        <v>0.24150754050396639</v>
      </c>
      <c r="E1748" s="10">
        <v>1.1261775267328109</v>
      </c>
      <c r="F1748" s="10">
        <v>0.59144351756406766</v>
      </c>
      <c r="G1748" s="10">
        <v>0.34581860067260961</v>
      </c>
      <c r="H1748" s="6">
        <v>0.2488903905052261</v>
      </c>
      <c r="I1748" s="10">
        <v>9.3900978490738822</v>
      </c>
      <c r="J1748" s="7">
        <v>2.0904202111629178E-2</v>
      </c>
      <c r="K1748" s="5">
        <v>0.17996988373341019</v>
      </c>
      <c r="L1748">
        <v>228.333540800999</v>
      </c>
      <c r="M1748" s="10">
        <v>-0.61324078034087548</v>
      </c>
      <c r="N1748" s="24" t="s">
        <v>343</v>
      </c>
      <c r="O1748" s="24">
        <v>14.20555317954747</v>
      </c>
      <c r="P1748">
        <v>56.102275362953137</v>
      </c>
      <c r="Q1748" t="s">
        <v>47</v>
      </c>
      <c r="R1748" t="s">
        <v>350</v>
      </c>
      <c r="S1748" t="s">
        <v>343</v>
      </c>
      <c r="T1748" t="s">
        <v>343</v>
      </c>
    </row>
    <row r="1749" spans="2:20" x14ac:dyDescent="0.25">
      <c r="B1749">
        <v>1744</v>
      </c>
      <c r="C1749" t="s">
        <v>2088</v>
      </c>
      <c r="D1749" s="10">
        <v>0.31947149661647628</v>
      </c>
      <c r="E1749" s="10">
        <v>0.86682498139459008</v>
      </c>
      <c r="F1749" s="10">
        <v>0.61759111424199231</v>
      </c>
      <c r="G1749" s="10">
        <v>0.40411369437769612</v>
      </c>
      <c r="H1749" s="6">
        <v>0.161120597046428</v>
      </c>
      <c r="I1749" s="10">
        <v>6.5832008319284974</v>
      </c>
      <c r="J1749" s="7">
        <v>1.273262116663228E-2</v>
      </c>
      <c r="K1749" s="5">
        <v>0.16609272720325979</v>
      </c>
      <c r="L1749">
        <v>139.29136899305411</v>
      </c>
      <c r="M1749" s="10">
        <v>-0.76406347929428209</v>
      </c>
      <c r="N1749" s="24" t="s">
        <v>343</v>
      </c>
      <c r="O1749" s="24">
        <v>5.1561912423430769</v>
      </c>
      <c r="P1749">
        <v>55.024040224731962</v>
      </c>
      <c r="Q1749" t="s">
        <v>47</v>
      </c>
      <c r="R1749" t="s">
        <v>350</v>
      </c>
      <c r="S1749" t="s">
        <v>343</v>
      </c>
      <c r="T1749" t="s">
        <v>343</v>
      </c>
    </row>
    <row r="1750" spans="2:20" x14ac:dyDescent="0.25">
      <c r="B1750">
        <v>1745</v>
      </c>
      <c r="C1750" t="s">
        <v>2089</v>
      </c>
      <c r="D1750" s="10">
        <v>0.29023524312096299</v>
      </c>
      <c r="E1750" s="10">
        <v>0.39513288636680233</v>
      </c>
      <c r="F1750" s="10">
        <v>0.61687088093110876</v>
      </c>
      <c r="G1750" s="10">
        <v>0.34670455569171121</v>
      </c>
      <c r="H1750" s="6">
        <v>0.19546838657502019</v>
      </c>
      <c r="I1750" s="10">
        <v>11.559483728353859</v>
      </c>
      <c r="J1750" s="7">
        <v>4.0827760598489561E-2</v>
      </c>
      <c r="K1750" s="5">
        <v>0.1684639697563915</v>
      </c>
      <c r="L1750">
        <v>103.6266667730826</v>
      </c>
      <c r="M1750" s="10">
        <v>-0.82447358090083023</v>
      </c>
      <c r="N1750" s="24" t="s">
        <v>343</v>
      </c>
      <c r="O1750" s="24">
        <v>1.531585145950189</v>
      </c>
      <c r="P1750">
        <v>57.580534045738787</v>
      </c>
      <c r="Q1750" t="s">
        <v>47</v>
      </c>
      <c r="R1750" t="s">
        <v>350</v>
      </c>
      <c r="S1750" t="s">
        <v>343</v>
      </c>
      <c r="T1750" t="s">
        <v>343</v>
      </c>
    </row>
    <row r="1751" spans="2:20" x14ac:dyDescent="0.25">
      <c r="B1751">
        <v>1746</v>
      </c>
      <c r="C1751" t="s">
        <v>2090</v>
      </c>
      <c r="D1751" s="10">
        <v>0.25843511011696169</v>
      </c>
      <c r="E1751" s="10">
        <v>1.1089044147057789</v>
      </c>
      <c r="F1751" s="10">
        <v>0.60562894635890441</v>
      </c>
      <c r="G1751" s="10">
        <v>0.31942485398950049</v>
      </c>
      <c r="H1751" s="6">
        <v>0.14691136262874349</v>
      </c>
      <c r="I1751" s="10">
        <v>8.169213173241431</v>
      </c>
      <c r="J1751" s="7">
        <v>2.0865309054360709E-2</v>
      </c>
      <c r="K1751" s="5">
        <v>0.1446094200933031</v>
      </c>
      <c r="L1751">
        <v>275.86728611172049</v>
      </c>
      <c r="M1751" s="10">
        <v>-0.53272648454640592</v>
      </c>
      <c r="N1751" s="24" t="s">
        <v>343</v>
      </c>
      <c r="O1751" s="24">
        <v>19.036410927215641</v>
      </c>
      <c r="P1751">
        <v>27.482526502448781</v>
      </c>
      <c r="Q1751" t="s">
        <v>348</v>
      </c>
      <c r="R1751" t="s">
        <v>375</v>
      </c>
      <c r="S1751" t="s">
        <v>343</v>
      </c>
      <c r="T1751" t="s">
        <v>343</v>
      </c>
    </row>
    <row r="1752" spans="2:20" x14ac:dyDescent="0.25">
      <c r="B1752">
        <v>1747</v>
      </c>
      <c r="C1752" t="s">
        <v>2091</v>
      </c>
      <c r="D1752" s="10">
        <v>0.20900057932585789</v>
      </c>
      <c r="E1752" s="10">
        <v>1.2165521903865859</v>
      </c>
      <c r="F1752" s="10">
        <v>0.57005844304324182</v>
      </c>
      <c r="G1752" s="10">
        <v>0.34447608728100521</v>
      </c>
      <c r="H1752" s="6">
        <v>0.1270087458365643</v>
      </c>
      <c r="I1752" s="10">
        <v>11.15507811614806</v>
      </c>
      <c r="J1752" s="7">
        <v>1.806632565910465E-2</v>
      </c>
      <c r="K1752" s="5">
        <v>0.15036468967477709</v>
      </c>
      <c r="L1752">
        <v>204.69798390232529</v>
      </c>
      <c r="M1752" s="10">
        <v>-0.65327550108436372</v>
      </c>
      <c r="N1752" s="24" t="s">
        <v>343</v>
      </c>
      <c r="O1752" s="24">
        <v>11.80346993493818</v>
      </c>
      <c r="P1752">
        <v>48.906069763819069</v>
      </c>
      <c r="Q1752" t="s">
        <v>346</v>
      </c>
      <c r="R1752" t="s">
        <v>347</v>
      </c>
      <c r="S1752" t="s">
        <v>343</v>
      </c>
      <c r="T1752" t="s">
        <v>343</v>
      </c>
    </row>
    <row r="1753" spans="2:20" x14ac:dyDescent="0.25">
      <c r="B1753">
        <v>1748</v>
      </c>
      <c r="C1753" t="s">
        <v>2092</v>
      </c>
      <c r="D1753" s="10">
        <v>0.25982333380666223</v>
      </c>
      <c r="E1753" s="10">
        <v>1.2938843485040721</v>
      </c>
      <c r="F1753" s="10">
        <v>0.57506288038342468</v>
      </c>
      <c r="G1753" s="10">
        <v>0.42670755375231101</v>
      </c>
      <c r="H1753" s="6">
        <v>0.23172994492328719</v>
      </c>
      <c r="I1753" s="10">
        <v>12.997030948831449</v>
      </c>
      <c r="J1753" s="7">
        <v>3.5571146245396507E-2</v>
      </c>
      <c r="K1753" s="5">
        <v>0.16027300270056891</v>
      </c>
      <c r="L1753">
        <v>294.7085019732084</v>
      </c>
      <c r="M1753" s="10">
        <v>-0.50081258386210348</v>
      </c>
      <c r="N1753" s="24" t="s">
        <v>343</v>
      </c>
      <c r="O1753" s="24">
        <v>20.951244968273791</v>
      </c>
      <c r="P1753">
        <v>19.419193750819971</v>
      </c>
      <c r="Q1753" t="s">
        <v>348</v>
      </c>
      <c r="R1753" t="s">
        <v>353</v>
      </c>
      <c r="S1753" t="s">
        <v>343</v>
      </c>
      <c r="T1753" t="s">
        <v>343</v>
      </c>
    </row>
    <row r="1754" spans="2:20" x14ac:dyDescent="0.25">
      <c r="B1754">
        <v>1749</v>
      </c>
      <c r="C1754" t="s">
        <v>2093</v>
      </c>
      <c r="D1754" s="10">
        <v>0.24432663422586429</v>
      </c>
      <c r="E1754" s="10">
        <v>0.92919113983737889</v>
      </c>
      <c r="F1754" s="10">
        <v>0.60526642855006951</v>
      </c>
      <c r="G1754" s="10">
        <v>0.45789497362247072</v>
      </c>
      <c r="H1754" s="6">
        <v>0.13874352819701749</v>
      </c>
      <c r="I1754" s="10">
        <v>6.9850139039969612</v>
      </c>
      <c r="J1754" s="7">
        <v>1.6980405446367249E-2</v>
      </c>
      <c r="K1754" s="5">
        <v>0.16947223056198599</v>
      </c>
      <c r="L1754">
        <v>174.67514928103611</v>
      </c>
      <c r="M1754" s="10">
        <v>-0.70412921293655584</v>
      </c>
      <c r="N1754" s="24" t="s">
        <v>343</v>
      </c>
      <c r="O1754" s="24">
        <v>8.7522472238066555</v>
      </c>
      <c r="P1754">
        <v>58.649756651618951</v>
      </c>
      <c r="Q1754" t="s">
        <v>47</v>
      </c>
      <c r="R1754" t="s">
        <v>350</v>
      </c>
      <c r="S1754" t="s">
        <v>343</v>
      </c>
      <c r="T1754" t="s">
        <v>343</v>
      </c>
    </row>
    <row r="1755" spans="2:20" x14ac:dyDescent="0.25">
      <c r="B1755">
        <v>1750</v>
      </c>
      <c r="C1755" t="s">
        <v>2094</v>
      </c>
      <c r="D1755" s="10">
        <v>0.2281733414224594</v>
      </c>
      <c r="E1755" s="10">
        <v>1.128943894899445</v>
      </c>
      <c r="F1755" s="10">
        <v>0.61946743405412663</v>
      </c>
      <c r="G1755" s="10">
        <v>0.3788515236436758</v>
      </c>
      <c r="H1755" s="6">
        <v>0.1238575353605488</v>
      </c>
      <c r="I1755" s="10">
        <v>13.88315703629884</v>
      </c>
      <c r="J1755" s="7">
        <v>1.8409637617443408E-2</v>
      </c>
      <c r="K1755" s="5">
        <v>0.10920038638850239</v>
      </c>
      <c r="L1755">
        <v>270.38272584029983</v>
      </c>
      <c r="M1755" s="10">
        <v>-0.54201642172912068</v>
      </c>
      <c r="N1755" s="24" t="s">
        <v>343</v>
      </c>
      <c r="O1755" s="24">
        <v>18.479014696252761</v>
      </c>
      <c r="P1755">
        <v>49.626208145831917</v>
      </c>
      <c r="Q1755" t="s">
        <v>346</v>
      </c>
      <c r="R1755" t="s">
        <v>347</v>
      </c>
      <c r="S1755" t="s">
        <v>343</v>
      </c>
      <c r="T1755" t="s">
        <v>343</v>
      </c>
    </row>
    <row r="1756" spans="2:20" x14ac:dyDescent="0.25">
      <c r="B1756">
        <v>1751</v>
      </c>
      <c r="C1756" t="s">
        <v>2095</v>
      </c>
      <c r="D1756" s="10">
        <v>0.18091366027843189</v>
      </c>
      <c r="E1756" s="10">
        <v>1.12724877057089</v>
      </c>
      <c r="F1756" s="10">
        <v>0.61026795209616003</v>
      </c>
      <c r="G1756" s="10">
        <v>0.4145576893827142</v>
      </c>
      <c r="H1756" s="6">
        <v>0.2080845492395115</v>
      </c>
      <c r="I1756" s="10">
        <v>4.6479415253376368</v>
      </c>
      <c r="J1756" s="7">
        <v>1.3626568878125011E-2</v>
      </c>
      <c r="K1756" s="5">
        <v>0.12136426591955771</v>
      </c>
      <c r="L1756">
        <v>288.5687175583152</v>
      </c>
      <c r="M1756" s="10">
        <v>-0.51121236227770173</v>
      </c>
      <c r="N1756" s="24" t="s">
        <v>343</v>
      </c>
      <c r="O1756" s="24">
        <v>20.3272582633379</v>
      </c>
      <c r="P1756">
        <v>24.260060690268379</v>
      </c>
      <c r="Q1756" t="s">
        <v>348</v>
      </c>
      <c r="R1756" t="s">
        <v>375</v>
      </c>
      <c r="S1756" t="s">
        <v>343</v>
      </c>
      <c r="T1756" t="s">
        <v>343</v>
      </c>
    </row>
    <row r="1757" spans="2:20" x14ac:dyDescent="0.25">
      <c r="B1757">
        <v>1752</v>
      </c>
      <c r="C1757" t="s">
        <v>2096</v>
      </c>
      <c r="D1757" s="10">
        <v>0.30185667443847469</v>
      </c>
      <c r="E1757" s="10">
        <v>0.47132473577883871</v>
      </c>
      <c r="F1757" s="10">
        <v>0.5926058468774974</v>
      </c>
      <c r="G1757" s="10">
        <v>0.24318751095504351</v>
      </c>
      <c r="H1757" s="6">
        <v>0.1220201358632174</v>
      </c>
      <c r="I1757" s="10">
        <v>10.08324850082507</v>
      </c>
      <c r="J1757" s="7">
        <v>4.370051682182069E-2</v>
      </c>
      <c r="K1757" s="5">
        <v>0.19147960317375451</v>
      </c>
      <c r="L1757">
        <v>90.383747465136764</v>
      </c>
      <c r="M1757" s="10">
        <v>-0.8469048939684698</v>
      </c>
      <c r="N1757" s="24" t="s">
        <v>343</v>
      </c>
      <c r="O1757" s="24">
        <v>0.18570636189181039</v>
      </c>
      <c r="P1757">
        <v>59.788718328890113</v>
      </c>
      <c r="Q1757" t="s">
        <v>47</v>
      </c>
      <c r="R1757" t="s">
        <v>350</v>
      </c>
      <c r="S1757" t="s">
        <v>343</v>
      </c>
      <c r="T1757" t="s">
        <v>343</v>
      </c>
    </row>
    <row r="1758" spans="2:20" x14ac:dyDescent="0.25">
      <c r="B1758">
        <v>1753</v>
      </c>
      <c r="C1758" t="s">
        <v>2097</v>
      </c>
      <c r="D1758" s="10">
        <v>0.2319655438114116</v>
      </c>
      <c r="E1758" s="10">
        <v>0.48064275620552782</v>
      </c>
      <c r="F1758" s="10">
        <v>0.48051813604907079</v>
      </c>
      <c r="G1758" s="10">
        <v>0.43368017009540599</v>
      </c>
      <c r="H1758" s="6">
        <v>0.18544289172154821</v>
      </c>
      <c r="I1758" s="10">
        <v>3.382443634443693</v>
      </c>
      <c r="J1758" s="7">
        <v>1.866732123325876E-2</v>
      </c>
      <c r="K1758" s="5">
        <v>0.131838515218755</v>
      </c>
      <c r="L1758">
        <v>125.0244483027282</v>
      </c>
      <c r="M1758" s="10">
        <v>-0.78822928118993107</v>
      </c>
      <c r="N1758" s="24" t="s">
        <v>343</v>
      </c>
      <c r="O1758" s="24">
        <v>3.7062431286041431</v>
      </c>
      <c r="P1758">
        <v>63.009911848143162</v>
      </c>
      <c r="Q1758" t="s">
        <v>47</v>
      </c>
      <c r="R1758" t="s">
        <v>350</v>
      </c>
      <c r="S1758" t="s">
        <v>343</v>
      </c>
      <c r="T1758" t="s">
        <v>343</v>
      </c>
    </row>
    <row r="1759" spans="2:20" x14ac:dyDescent="0.25">
      <c r="B1759">
        <v>1754</v>
      </c>
      <c r="C1759" t="s">
        <v>2098</v>
      </c>
      <c r="D1759" s="10">
        <v>0.1911396018913224</v>
      </c>
      <c r="E1759" s="10">
        <v>0.37797405639003873</v>
      </c>
      <c r="F1759" s="10">
        <v>0.49476030000814408</v>
      </c>
      <c r="G1759" s="10">
        <v>0.44989094718414202</v>
      </c>
      <c r="H1759" s="6">
        <v>0.16332540727167241</v>
      </c>
      <c r="I1759" s="10">
        <v>5.3436233243624951</v>
      </c>
      <c r="J1759" s="7">
        <v>4.4848215598083392E-2</v>
      </c>
      <c r="K1759" s="5">
        <v>0.12550505002677931</v>
      </c>
      <c r="L1759">
        <v>167.28688545254209</v>
      </c>
      <c r="M1759" s="10">
        <v>-0.71664370880483697</v>
      </c>
      <c r="N1759" s="24" t="s">
        <v>343</v>
      </c>
      <c r="O1759" s="24">
        <v>8.0013774717097803</v>
      </c>
      <c r="P1759">
        <v>53.901173592101898</v>
      </c>
      <c r="Q1759" t="s">
        <v>47</v>
      </c>
      <c r="R1759" t="s">
        <v>350</v>
      </c>
      <c r="S1759" t="s">
        <v>343</v>
      </c>
      <c r="T1759" t="s">
        <v>343</v>
      </c>
    </row>
    <row r="1760" spans="2:20" x14ac:dyDescent="0.25">
      <c r="B1760">
        <v>1755</v>
      </c>
      <c r="C1760" t="s">
        <v>2099</v>
      </c>
      <c r="D1760" s="10">
        <v>0.21884149614036641</v>
      </c>
      <c r="E1760" s="10">
        <v>0.65190499865433149</v>
      </c>
      <c r="F1760" s="10">
        <v>0.50765824546919058</v>
      </c>
      <c r="G1760" s="10">
        <v>0.36653725518666552</v>
      </c>
      <c r="H1760" s="6">
        <v>0.16791269774066289</v>
      </c>
      <c r="I1760" s="10">
        <v>9.9715645060223252</v>
      </c>
      <c r="J1760" s="7">
        <v>1.6165230433896761E-2</v>
      </c>
      <c r="K1760" s="5">
        <v>0.1400815746518107</v>
      </c>
      <c r="L1760">
        <v>184.20417517216859</v>
      </c>
      <c r="M1760" s="10">
        <v>-0.68798862051707421</v>
      </c>
      <c r="N1760" s="24" t="s">
        <v>343</v>
      </c>
      <c r="O1760" s="24">
        <v>9.7206827689755464</v>
      </c>
      <c r="P1760">
        <v>61.026121594478667</v>
      </c>
      <c r="Q1760" t="s">
        <v>47</v>
      </c>
      <c r="R1760" t="s">
        <v>350</v>
      </c>
      <c r="S1760" t="s">
        <v>343</v>
      </c>
      <c r="T1760" t="s">
        <v>343</v>
      </c>
    </row>
    <row r="1761" spans="2:20" x14ac:dyDescent="0.25">
      <c r="B1761">
        <v>1756</v>
      </c>
      <c r="C1761" t="s">
        <v>2100</v>
      </c>
      <c r="D1761" s="10">
        <v>0.22626076040462831</v>
      </c>
      <c r="E1761" s="10">
        <v>0.82085944651517084</v>
      </c>
      <c r="F1761" s="10">
        <v>0.67911203084275051</v>
      </c>
      <c r="G1761" s="10">
        <v>0.40583706965324839</v>
      </c>
      <c r="H1761" s="6">
        <v>0.1205848564671045</v>
      </c>
      <c r="I1761" s="10">
        <v>3.508109135172063</v>
      </c>
      <c r="J1761" s="7">
        <v>1.072281474923595E-2</v>
      </c>
      <c r="K1761" s="5">
        <v>0.1276374712911599</v>
      </c>
      <c r="L1761">
        <v>158.2615449573106</v>
      </c>
      <c r="M1761" s="10">
        <v>-0.73193114154401484</v>
      </c>
      <c r="N1761" s="24" t="s">
        <v>343</v>
      </c>
      <c r="O1761" s="24">
        <v>7.0841315073591069</v>
      </c>
      <c r="P1761">
        <v>21.056095613512941</v>
      </c>
      <c r="Q1761" t="s">
        <v>348</v>
      </c>
      <c r="R1761" t="s">
        <v>353</v>
      </c>
      <c r="S1761" t="s">
        <v>343</v>
      </c>
      <c r="T1761" t="s">
        <v>343</v>
      </c>
    </row>
    <row r="1762" spans="2:20" x14ac:dyDescent="0.25">
      <c r="B1762">
        <v>1757</v>
      </c>
      <c r="C1762" t="s">
        <v>2101</v>
      </c>
      <c r="D1762" s="10">
        <v>0.2924060632906999</v>
      </c>
      <c r="E1762" s="10">
        <v>1.397687638029639</v>
      </c>
      <c r="F1762" s="10">
        <v>0.63744272386721124</v>
      </c>
      <c r="G1762" s="10">
        <v>0.35280384345121651</v>
      </c>
      <c r="H1762" s="6">
        <v>0.26465191205741928</v>
      </c>
      <c r="I1762" s="10">
        <v>4.1196579381719456</v>
      </c>
      <c r="J1762" s="7">
        <v>4.1349276470549923E-2</v>
      </c>
      <c r="K1762" s="5">
        <v>0.10866211829242629</v>
      </c>
      <c r="L1762">
        <v>495.33662162245452</v>
      </c>
      <c r="M1762" s="10">
        <v>-0.1609817612636551</v>
      </c>
      <c r="N1762" s="24" t="s">
        <v>343</v>
      </c>
      <c r="O1762" s="24">
        <v>47.413465359905537</v>
      </c>
      <c r="P1762">
        <v>12.55592909069258</v>
      </c>
      <c r="Q1762" t="s">
        <v>348</v>
      </c>
      <c r="R1762" t="s">
        <v>375</v>
      </c>
      <c r="S1762" t="s">
        <v>343</v>
      </c>
      <c r="T1762" t="s">
        <v>343</v>
      </c>
    </row>
    <row r="1763" spans="2:20" x14ac:dyDescent="0.25">
      <c r="B1763">
        <v>1758</v>
      </c>
      <c r="C1763" t="s">
        <v>2102</v>
      </c>
      <c r="D1763" s="10">
        <v>0.27737830088982429</v>
      </c>
      <c r="E1763" s="10">
        <v>0.77409267627498646</v>
      </c>
      <c r="F1763" s="10">
        <v>0.58374537307958829</v>
      </c>
      <c r="G1763" s="10">
        <v>0.30296482290022969</v>
      </c>
      <c r="H1763" s="6">
        <v>0.1975444653725307</v>
      </c>
      <c r="I1763" s="10">
        <v>6.2011165440673537</v>
      </c>
      <c r="J1763" s="7">
        <v>3.030060381440404E-2</v>
      </c>
      <c r="K1763" s="5">
        <v>0.1197563075308993</v>
      </c>
      <c r="L1763">
        <v>214.12253948146289</v>
      </c>
      <c r="M1763" s="10">
        <v>-0.63731186407932949</v>
      </c>
      <c r="N1763" s="24" t="s">
        <v>343</v>
      </c>
      <c r="O1763" s="24">
        <v>12.76128815524023</v>
      </c>
      <c r="P1763">
        <v>55.914535765839183</v>
      </c>
      <c r="Q1763" t="s">
        <v>47</v>
      </c>
      <c r="R1763" t="s">
        <v>350</v>
      </c>
      <c r="S1763" t="s">
        <v>343</v>
      </c>
      <c r="T1763" t="s">
        <v>343</v>
      </c>
    </row>
    <row r="1764" spans="2:20" x14ac:dyDescent="0.25">
      <c r="B1764">
        <v>1759</v>
      </c>
      <c r="C1764" t="s">
        <v>2103</v>
      </c>
      <c r="D1764" s="10">
        <v>0.28308878298261442</v>
      </c>
      <c r="E1764" s="10">
        <v>1.098866847358108</v>
      </c>
      <c r="F1764" s="10">
        <v>0.50553480142145213</v>
      </c>
      <c r="G1764" s="10">
        <v>0.42749455383626278</v>
      </c>
      <c r="H1764" s="6">
        <v>0.20587681995625259</v>
      </c>
      <c r="I1764" s="10">
        <v>9.3320084958047591</v>
      </c>
      <c r="J1764" s="7">
        <v>2.2299349999444499E-2</v>
      </c>
      <c r="K1764" s="5">
        <v>0.1608151807703217</v>
      </c>
      <c r="L1764">
        <v>281.06477644027069</v>
      </c>
      <c r="M1764" s="10">
        <v>-0.52392279632520022</v>
      </c>
      <c r="N1764" s="24" t="s">
        <v>343</v>
      </c>
      <c r="O1764" s="24">
        <v>19.56463222048799</v>
      </c>
      <c r="P1764">
        <v>20.23741547083878</v>
      </c>
      <c r="Q1764" t="s">
        <v>348</v>
      </c>
      <c r="R1764" t="s">
        <v>353</v>
      </c>
      <c r="S1764" t="s">
        <v>343</v>
      </c>
      <c r="T1764" t="s">
        <v>343</v>
      </c>
    </row>
    <row r="1765" spans="2:20" x14ac:dyDescent="0.25">
      <c r="B1765">
        <v>1760</v>
      </c>
      <c r="C1765" t="s">
        <v>2104</v>
      </c>
      <c r="D1765" s="10">
        <v>0.16176500230858359</v>
      </c>
      <c r="E1765" s="10">
        <v>1.062736728899788</v>
      </c>
      <c r="F1765" s="10">
        <v>0.46883179604348452</v>
      </c>
      <c r="G1765" s="10">
        <v>0.37130407663910719</v>
      </c>
      <c r="H1765" s="6">
        <v>0.2199183727368042</v>
      </c>
      <c r="I1765" s="10">
        <v>3.1758081093026398</v>
      </c>
      <c r="J1765" s="7">
        <v>2.796688818599679E-2</v>
      </c>
      <c r="K1765" s="5">
        <v>0.1212023429200096</v>
      </c>
      <c r="L1765">
        <v>118.1613087698706</v>
      </c>
      <c r="M1765" s="10">
        <v>-0.79985430343076402</v>
      </c>
      <c r="N1765" s="24" t="s">
        <v>343</v>
      </c>
      <c r="O1765" s="24">
        <v>3.0087417941541621</v>
      </c>
      <c r="P1765">
        <v>54.450650953617682</v>
      </c>
      <c r="Q1765" t="s">
        <v>47</v>
      </c>
      <c r="R1765" t="s">
        <v>350</v>
      </c>
      <c r="S1765" t="s">
        <v>343</v>
      </c>
      <c r="T1765" t="s">
        <v>343</v>
      </c>
    </row>
    <row r="1766" spans="2:20" x14ac:dyDescent="0.25">
      <c r="B1766">
        <v>1761</v>
      </c>
      <c r="C1766" t="s">
        <v>2105</v>
      </c>
      <c r="D1766" s="10">
        <v>0.22658463970876189</v>
      </c>
      <c r="E1766" s="10">
        <v>0.52493014527563753</v>
      </c>
      <c r="F1766" s="10">
        <v>0.67367739875479338</v>
      </c>
      <c r="G1766" s="10">
        <v>0.36746427843410961</v>
      </c>
      <c r="H1766" s="6">
        <v>0.23962826865746509</v>
      </c>
      <c r="I1766" s="10">
        <v>8.3058968333559342</v>
      </c>
      <c r="J1766" s="7">
        <v>1.9125443421760001E-2</v>
      </c>
      <c r="K1766" s="5">
        <v>0.16152838368600941</v>
      </c>
      <c r="L1766">
        <v>110.2389176692414</v>
      </c>
      <c r="M1766" s="10">
        <v>-0.81327352247832474</v>
      </c>
      <c r="N1766" s="24" t="s">
        <v>343</v>
      </c>
      <c r="O1766" s="24">
        <v>2.2035886513005138</v>
      </c>
      <c r="P1766">
        <v>28.460331101523611</v>
      </c>
      <c r="Q1766" t="s">
        <v>348</v>
      </c>
      <c r="R1766" t="s">
        <v>351</v>
      </c>
      <c r="S1766" t="s">
        <v>343</v>
      </c>
      <c r="T1766" t="s">
        <v>343</v>
      </c>
    </row>
    <row r="1767" spans="2:20" x14ac:dyDescent="0.25">
      <c r="B1767">
        <v>1762</v>
      </c>
      <c r="C1767" t="s">
        <v>2106</v>
      </c>
      <c r="D1767" s="10">
        <v>0.23701506426165181</v>
      </c>
      <c r="E1767" s="10">
        <v>0.36435786659438002</v>
      </c>
      <c r="F1767" s="10">
        <v>0.67209316411395836</v>
      </c>
      <c r="G1767" s="10">
        <v>0.38500908484506541</v>
      </c>
      <c r="H1767" s="6">
        <v>0.21118636744637639</v>
      </c>
      <c r="I1767" s="10">
        <v>9.8831812361961511</v>
      </c>
      <c r="J1767" s="7">
        <v>3.221655975985685E-2</v>
      </c>
      <c r="K1767" s="5">
        <v>0.10950768501582971</v>
      </c>
      <c r="L1767">
        <v>112.201858202639</v>
      </c>
      <c r="M1767" s="10">
        <v>-0.80994862616098606</v>
      </c>
      <c r="N1767" s="24" t="s">
        <v>343</v>
      </c>
      <c r="O1767" s="24">
        <v>2.4030824303408309</v>
      </c>
      <c r="P1767">
        <v>53.691904088733978</v>
      </c>
      <c r="Q1767" t="s">
        <v>47</v>
      </c>
      <c r="R1767" t="s">
        <v>350</v>
      </c>
      <c r="S1767" t="s">
        <v>343</v>
      </c>
      <c r="T1767" t="s">
        <v>343</v>
      </c>
    </row>
    <row r="1768" spans="2:20" x14ac:dyDescent="0.25">
      <c r="B1768">
        <v>1763</v>
      </c>
      <c r="C1768" t="s">
        <v>2107</v>
      </c>
      <c r="D1768" s="10">
        <v>0.1630707642916891</v>
      </c>
      <c r="E1768" s="10">
        <v>0.90060742668694616</v>
      </c>
      <c r="F1768" s="10">
        <v>0.46878085488087978</v>
      </c>
      <c r="G1768" s="10">
        <v>0.42832069648234672</v>
      </c>
      <c r="H1768" s="6">
        <v>0.23432971582399639</v>
      </c>
      <c r="I1768" s="10">
        <v>7.4277506771556254</v>
      </c>
      <c r="J1768" s="7">
        <v>3.1576399541989819E-2</v>
      </c>
      <c r="K1768" s="5">
        <v>0.1039782532112852</v>
      </c>
      <c r="L1768">
        <v>297.59075115789898</v>
      </c>
      <c r="M1768" s="10">
        <v>-0.49593053087232569</v>
      </c>
      <c r="N1768" s="24" t="s">
        <v>343</v>
      </c>
      <c r="O1768" s="24">
        <v>21.24416814766046</v>
      </c>
      <c r="P1768">
        <v>57.09563725289685</v>
      </c>
      <c r="Q1768" t="s">
        <v>47</v>
      </c>
      <c r="R1768" t="s">
        <v>350</v>
      </c>
      <c r="S1768" t="s">
        <v>343</v>
      </c>
      <c r="T1768" t="s">
        <v>343</v>
      </c>
    </row>
    <row r="1769" spans="2:20" x14ac:dyDescent="0.25">
      <c r="B1769">
        <v>1764</v>
      </c>
      <c r="C1769" t="s">
        <v>2108</v>
      </c>
      <c r="D1769" s="10">
        <v>0.2015701133992055</v>
      </c>
      <c r="E1769" s="10">
        <v>1.070336151545924</v>
      </c>
      <c r="F1769" s="10">
        <v>0.64727633318508893</v>
      </c>
      <c r="G1769" s="10">
        <v>0.40101934766961223</v>
      </c>
      <c r="H1769" s="6">
        <v>0.18731029415443129</v>
      </c>
      <c r="I1769" s="10">
        <v>3.7440378822679841</v>
      </c>
      <c r="J1769" s="7">
        <v>1.280673011638913E-2</v>
      </c>
      <c r="K1769" s="5">
        <v>0.18184892985262319</v>
      </c>
      <c r="L1769">
        <v>152.02020021056831</v>
      </c>
      <c r="M1769" s="10">
        <v>-0.74250294634941327</v>
      </c>
      <c r="N1769" s="24" t="s">
        <v>343</v>
      </c>
      <c r="O1769" s="24">
        <v>6.4498232190352027</v>
      </c>
      <c r="P1769">
        <v>57.61029746228175</v>
      </c>
      <c r="Q1769" t="s">
        <v>47</v>
      </c>
      <c r="R1769" t="s">
        <v>350</v>
      </c>
      <c r="S1769" t="s">
        <v>343</v>
      </c>
      <c r="T1769" t="s">
        <v>343</v>
      </c>
    </row>
    <row r="1770" spans="2:20" x14ac:dyDescent="0.25">
      <c r="B1770">
        <v>1765</v>
      </c>
      <c r="C1770" t="s">
        <v>2109</v>
      </c>
      <c r="D1770" s="10">
        <v>0.2816463716995416</v>
      </c>
      <c r="E1770" s="10">
        <v>1.398076969204882</v>
      </c>
      <c r="F1770" s="10">
        <v>0.55612771802057726</v>
      </c>
      <c r="G1770" s="10">
        <v>0.28644732272746393</v>
      </c>
      <c r="H1770" s="6">
        <v>0.17569127106067331</v>
      </c>
      <c r="I1770" s="10">
        <v>9.7196209871606332</v>
      </c>
      <c r="J1770" s="7">
        <v>4.1874083521037678E-2</v>
      </c>
      <c r="K1770" s="5">
        <v>0.17220248857646089</v>
      </c>
      <c r="L1770">
        <v>293.46874018962421</v>
      </c>
      <c r="M1770" s="10">
        <v>-0.50291253509265943</v>
      </c>
      <c r="N1770" s="24" t="s">
        <v>343</v>
      </c>
      <c r="O1770" s="24">
        <v>20.82524789444043</v>
      </c>
      <c r="P1770">
        <v>50.78654184349444</v>
      </c>
      <c r="Q1770" t="s">
        <v>47</v>
      </c>
      <c r="R1770" t="s">
        <v>350</v>
      </c>
      <c r="S1770" t="s">
        <v>343</v>
      </c>
      <c r="T1770" t="s">
        <v>343</v>
      </c>
    </row>
    <row r="1771" spans="2:20" x14ac:dyDescent="0.25">
      <c r="B1771">
        <v>1766</v>
      </c>
      <c r="C1771" t="s">
        <v>2110</v>
      </c>
      <c r="D1771" s="10">
        <v>0.18193755291663979</v>
      </c>
      <c r="E1771" s="10">
        <v>0.69447215750928781</v>
      </c>
      <c r="F1771" s="10">
        <v>0.52423140253594047</v>
      </c>
      <c r="G1771" s="10">
        <v>0.34270117976961029</v>
      </c>
      <c r="H1771" s="6">
        <v>0.24347008612232779</v>
      </c>
      <c r="I1771" s="10">
        <v>9.6641893660591407</v>
      </c>
      <c r="J1771" s="7">
        <v>2.6118386977878789E-2</v>
      </c>
      <c r="K1771" s="5">
        <v>0.1632726298704055</v>
      </c>
      <c r="L1771">
        <v>113.3134653489023</v>
      </c>
      <c r="M1771" s="10">
        <v>-0.80806574767126393</v>
      </c>
      <c r="N1771" s="24" t="s">
        <v>343</v>
      </c>
      <c r="O1771" s="24">
        <v>2.5160551397241662</v>
      </c>
      <c r="P1771">
        <v>67.162779834620267</v>
      </c>
      <c r="Q1771" t="s">
        <v>47</v>
      </c>
      <c r="R1771" t="s">
        <v>350</v>
      </c>
      <c r="S1771" t="s">
        <v>343</v>
      </c>
      <c r="T1771" t="s">
        <v>343</v>
      </c>
    </row>
    <row r="1772" spans="2:20" x14ac:dyDescent="0.25">
      <c r="B1772">
        <v>1767</v>
      </c>
      <c r="C1772" t="s">
        <v>2111</v>
      </c>
      <c r="D1772" s="10">
        <v>0.24564962103241469</v>
      </c>
      <c r="E1772" s="10">
        <v>1.2860010182892061</v>
      </c>
      <c r="F1772" s="10">
        <v>0.63216717941426381</v>
      </c>
      <c r="G1772" s="10">
        <v>0.45566563303696539</v>
      </c>
      <c r="H1772" s="6">
        <v>0.24979657862601939</v>
      </c>
      <c r="I1772" s="10">
        <v>8.566465905379534</v>
      </c>
      <c r="J1772" s="7">
        <v>1.6830394622877831E-2</v>
      </c>
      <c r="K1772" s="5">
        <v>0.10293542712900219</v>
      </c>
      <c r="L1772">
        <v>631.99642942943569</v>
      </c>
      <c r="M1772" s="10">
        <v>7.0497330422916601E-2</v>
      </c>
      <c r="N1772" s="24" t="s">
        <v>343</v>
      </c>
      <c r="O1772" s="24">
        <v>71.211014439291688</v>
      </c>
      <c r="P1772">
        <v>52.476736544481021</v>
      </c>
      <c r="Q1772" t="s">
        <v>47</v>
      </c>
      <c r="R1772" t="s">
        <v>350</v>
      </c>
      <c r="S1772" t="s">
        <v>343</v>
      </c>
      <c r="T1772" t="s">
        <v>343</v>
      </c>
    </row>
    <row r="1773" spans="2:20" x14ac:dyDescent="0.25">
      <c r="B1773">
        <v>1768</v>
      </c>
      <c r="C1773" t="s">
        <v>2112</v>
      </c>
      <c r="D1773" s="10">
        <v>0.19443229952275801</v>
      </c>
      <c r="E1773" s="10">
        <v>0.72012570145610511</v>
      </c>
      <c r="F1773" s="10">
        <v>0.59972568067578991</v>
      </c>
      <c r="G1773" s="10">
        <v>0.36200335702781039</v>
      </c>
      <c r="H1773" s="6">
        <v>0.1406710004680401</v>
      </c>
      <c r="I1773" s="10">
        <v>10.624600231550939</v>
      </c>
      <c r="J1773" s="7">
        <v>2.075843508026055E-2</v>
      </c>
      <c r="K1773" s="5">
        <v>0.1227386238396052</v>
      </c>
      <c r="L1773">
        <v>192.06536905077269</v>
      </c>
      <c r="M1773" s="10">
        <v>-0.67467305943300282</v>
      </c>
      <c r="N1773" s="24" t="s">
        <v>343</v>
      </c>
      <c r="O1773" s="24">
        <v>10.519616434019831</v>
      </c>
      <c r="P1773">
        <v>61.064824355761331</v>
      </c>
      <c r="Q1773" t="s">
        <v>47</v>
      </c>
      <c r="R1773" t="s">
        <v>350</v>
      </c>
      <c r="S1773" t="s">
        <v>343</v>
      </c>
      <c r="T1773" t="s">
        <v>343</v>
      </c>
    </row>
    <row r="1774" spans="2:20" x14ac:dyDescent="0.25">
      <c r="B1774">
        <v>1769</v>
      </c>
      <c r="C1774" t="s">
        <v>2113</v>
      </c>
      <c r="D1774" s="10">
        <v>0.16193932394302291</v>
      </c>
      <c r="E1774" s="10">
        <v>1.0583528792735639</v>
      </c>
      <c r="F1774" s="10">
        <v>0.64280782797426772</v>
      </c>
      <c r="G1774" s="10">
        <v>0.44641397776357572</v>
      </c>
      <c r="H1774" s="6">
        <v>0.20139902804400919</v>
      </c>
      <c r="I1774" s="10">
        <v>5.2858190646861276</v>
      </c>
      <c r="J1774" s="7">
        <v>4.0317761419316221E-2</v>
      </c>
      <c r="K1774" s="5">
        <v>0.17716986107946481</v>
      </c>
      <c r="L1774">
        <v>123.90570346929221</v>
      </c>
      <c r="M1774" s="10">
        <v>-0.79012424974014739</v>
      </c>
      <c r="N1774" s="24" t="s">
        <v>343</v>
      </c>
      <c r="O1774" s="24">
        <v>3.5925450155911629</v>
      </c>
      <c r="P1774">
        <v>59.05003393792957</v>
      </c>
      <c r="Q1774" t="s">
        <v>47</v>
      </c>
      <c r="R1774" t="s">
        <v>350</v>
      </c>
      <c r="S1774" t="s">
        <v>343</v>
      </c>
      <c r="T1774" t="s">
        <v>343</v>
      </c>
    </row>
    <row r="1775" spans="2:20" x14ac:dyDescent="0.25">
      <c r="B1775">
        <v>1770</v>
      </c>
      <c r="C1775" t="s">
        <v>2114</v>
      </c>
      <c r="D1775" s="10">
        <v>0.19859223321592659</v>
      </c>
      <c r="E1775" s="10">
        <v>0.95807822356875705</v>
      </c>
      <c r="F1775" s="10">
        <v>0.45932550376456371</v>
      </c>
      <c r="G1775" s="10">
        <v>0.41894128698887229</v>
      </c>
      <c r="H1775" s="6">
        <v>0.2225463645729239</v>
      </c>
      <c r="I1775" s="10">
        <v>10.463948165856131</v>
      </c>
      <c r="J1775" s="7">
        <v>2.3411481019373539E-2</v>
      </c>
      <c r="K1775" s="5">
        <v>0.1137434281805617</v>
      </c>
      <c r="L1775">
        <v>287.96152696877931</v>
      </c>
      <c r="M1775" s="10">
        <v>-0.51224084262171721</v>
      </c>
      <c r="N1775" s="24" t="s">
        <v>343</v>
      </c>
      <c r="O1775" s="24">
        <v>20.265549442696969</v>
      </c>
      <c r="P1775">
        <v>21.596698395717581</v>
      </c>
      <c r="Q1775" t="s">
        <v>348</v>
      </c>
      <c r="R1775" t="s">
        <v>371</v>
      </c>
      <c r="S1775" t="s">
        <v>343</v>
      </c>
      <c r="T1775" t="s">
        <v>343</v>
      </c>
    </row>
    <row r="1776" spans="2:20" x14ac:dyDescent="0.25">
      <c r="B1776">
        <v>1771</v>
      </c>
      <c r="C1776" t="s">
        <v>2115</v>
      </c>
      <c r="D1776" s="10">
        <v>0.3161398007856086</v>
      </c>
      <c r="E1776" s="10">
        <v>0.35827667263285662</v>
      </c>
      <c r="F1776" s="10">
        <v>0.52283262518893869</v>
      </c>
      <c r="G1776" s="10">
        <v>0.38652515719792702</v>
      </c>
      <c r="H1776" s="6">
        <v>0.13253981049479499</v>
      </c>
      <c r="I1776" s="10">
        <v>4.776002136152778</v>
      </c>
      <c r="J1776" s="7">
        <v>2.966864099184699E-2</v>
      </c>
      <c r="K1776" s="5">
        <v>0.17722107678990759</v>
      </c>
      <c r="L1776">
        <v>111.88471505906151</v>
      </c>
      <c r="M1776" s="10">
        <v>-0.81048581414615894</v>
      </c>
      <c r="N1776" s="24" t="s">
        <v>343</v>
      </c>
      <c r="O1776" s="24">
        <v>2.3708511512304682</v>
      </c>
      <c r="P1776">
        <v>56.484391023187172</v>
      </c>
      <c r="Q1776" t="s">
        <v>47</v>
      </c>
      <c r="R1776" t="s">
        <v>350</v>
      </c>
      <c r="S1776" t="s">
        <v>343</v>
      </c>
      <c r="T1776" t="s">
        <v>343</v>
      </c>
    </row>
    <row r="1777" spans="2:20" x14ac:dyDescent="0.25">
      <c r="B1777">
        <v>1772</v>
      </c>
      <c r="C1777" t="s">
        <v>2116</v>
      </c>
      <c r="D1777" s="10">
        <v>0.28824593790127828</v>
      </c>
      <c r="E1777" s="10">
        <v>0.38622726966728432</v>
      </c>
      <c r="F1777" s="10">
        <v>0.52302238110835131</v>
      </c>
      <c r="G1777" s="10">
        <v>0.31686034458514623</v>
      </c>
      <c r="H1777" s="6">
        <v>0.25943952251141278</v>
      </c>
      <c r="I1777" s="10">
        <v>7.3196299413826562</v>
      </c>
      <c r="J1777" s="7">
        <v>4.316914072090329E-2</v>
      </c>
      <c r="K1777" s="5">
        <v>0.15550218722237211</v>
      </c>
      <c r="L1777">
        <v>125.5131009955753</v>
      </c>
      <c r="M1777" s="10">
        <v>-0.78740158442007913</v>
      </c>
      <c r="N1777" s="24" t="s">
        <v>343</v>
      </c>
      <c r="O1777" s="24">
        <v>3.7559049347952538</v>
      </c>
      <c r="P1777">
        <v>59.095227699287499</v>
      </c>
      <c r="Q1777" t="s">
        <v>47</v>
      </c>
      <c r="R1777" t="s">
        <v>350</v>
      </c>
      <c r="S1777" t="s">
        <v>343</v>
      </c>
      <c r="T1777" t="s">
        <v>343</v>
      </c>
    </row>
    <row r="1778" spans="2:20" x14ac:dyDescent="0.25">
      <c r="B1778">
        <v>1773</v>
      </c>
      <c r="C1778" t="s">
        <v>2117</v>
      </c>
      <c r="D1778" s="10">
        <v>0.31353226309136528</v>
      </c>
      <c r="E1778" s="10">
        <v>0.32284049869690712</v>
      </c>
      <c r="F1778" s="10">
        <v>0.52573580399481901</v>
      </c>
      <c r="G1778" s="10">
        <v>0.30695025645559659</v>
      </c>
      <c r="H1778" s="6">
        <v>0.19801646590756961</v>
      </c>
      <c r="I1778" s="10">
        <v>3.7432331090645792</v>
      </c>
      <c r="J1778" s="7">
        <v>3.2810075315368822E-2</v>
      </c>
      <c r="K1778" s="5">
        <v>0.170334994940713</v>
      </c>
      <c r="L1778">
        <v>75.591538296729141</v>
      </c>
      <c r="M1778" s="10">
        <v>-0.87196044758945079</v>
      </c>
      <c r="N1778" s="24" t="s">
        <v>343</v>
      </c>
      <c r="O1778" s="24">
        <v>0</v>
      </c>
      <c r="P1778">
        <v>25.853616576111019</v>
      </c>
      <c r="Q1778" t="s">
        <v>348</v>
      </c>
      <c r="R1778" t="s">
        <v>353</v>
      </c>
      <c r="S1778" t="s">
        <v>343</v>
      </c>
      <c r="T1778" t="s">
        <v>343</v>
      </c>
    </row>
    <row r="1779" spans="2:20" x14ac:dyDescent="0.25">
      <c r="B1779">
        <v>1774</v>
      </c>
      <c r="C1779" t="s">
        <v>2118</v>
      </c>
      <c r="D1779" s="10">
        <v>0.23805664702821799</v>
      </c>
      <c r="E1779" s="10">
        <v>0.70791749305338836</v>
      </c>
      <c r="F1779" s="10">
        <v>0.57064476688738941</v>
      </c>
      <c r="G1779" s="10">
        <v>0.38155263436546938</v>
      </c>
      <c r="H1779" s="6">
        <v>0.21681861259751281</v>
      </c>
      <c r="I1779" s="10">
        <v>12.01040065288227</v>
      </c>
      <c r="J1779" s="7">
        <v>3.3650086037396068E-2</v>
      </c>
      <c r="K1779" s="5">
        <v>0.16122817245286139</v>
      </c>
      <c r="L1779">
        <v>389.4146550450551</v>
      </c>
      <c r="M1779" s="10">
        <v>-0.34039603826616732</v>
      </c>
      <c r="N1779" s="24" t="s">
        <v>343</v>
      </c>
      <c r="O1779" s="24">
        <v>30.57623770402996</v>
      </c>
      <c r="P1779">
        <v>57.141352106627998</v>
      </c>
      <c r="Q1779" t="s">
        <v>47</v>
      </c>
      <c r="R1779" t="s">
        <v>350</v>
      </c>
      <c r="S1779" t="s">
        <v>343</v>
      </c>
      <c r="T1779" t="s">
        <v>343</v>
      </c>
    </row>
    <row r="1780" spans="2:20" x14ac:dyDescent="0.25">
      <c r="B1780">
        <v>1775</v>
      </c>
      <c r="C1780" t="s">
        <v>2119</v>
      </c>
      <c r="D1780" s="10">
        <v>0.17755779178840059</v>
      </c>
      <c r="E1780" s="10">
        <v>1.120381153642612</v>
      </c>
      <c r="F1780" s="10">
        <v>0.51358358880104626</v>
      </c>
      <c r="G1780" s="10">
        <v>0.33516347298621041</v>
      </c>
      <c r="H1780" s="6">
        <v>0.14673641221355299</v>
      </c>
      <c r="I1780" s="10">
        <v>8.9205676311643494</v>
      </c>
      <c r="J1780" s="7">
        <v>1.869990930067264E-2</v>
      </c>
      <c r="K1780" s="5">
        <v>0.13961401010795671</v>
      </c>
      <c r="L1780">
        <v>415.54874644471232</v>
      </c>
      <c r="M1780" s="10">
        <v>-0.29612921368676481</v>
      </c>
      <c r="N1780" s="24" t="s">
        <v>343</v>
      </c>
      <c r="O1780" s="24">
        <v>33.232247178794111</v>
      </c>
      <c r="P1780">
        <v>31.677557911199219</v>
      </c>
      <c r="Q1780" t="s">
        <v>348</v>
      </c>
      <c r="R1780" t="s">
        <v>625</v>
      </c>
      <c r="S1780" t="s">
        <v>343</v>
      </c>
      <c r="T1780" t="s">
        <v>343</v>
      </c>
    </row>
    <row r="1781" spans="2:20" x14ac:dyDescent="0.25">
      <c r="B1781">
        <v>1776</v>
      </c>
      <c r="C1781" t="s">
        <v>2120</v>
      </c>
      <c r="D1781" s="10">
        <v>0.2476735182357909</v>
      </c>
      <c r="E1781" s="10">
        <v>0.49003093338979498</v>
      </c>
      <c r="F1781" s="10">
        <v>0.55553973862275507</v>
      </c>
      <c r="G1781" s="10">
        <v>0.41572579701967999</v>
      </c>
      <c r="H1781" s="6">
        <v>0.15966520349331409</v>
      </c>
      <c r="I1781" s="10">
        <v>13.68154122600057</v>
      </c>
      <c r="J1781" s="7">
        <v>3.3390331475979459E-2</v>
      </c>
      <c r="K1781" s="5">
        <v>0.12773784814520781</v>
      </c>
      <c r="L1781">
        <v>250.5249869335932</v>
      </c>
      <c r="M1781" s="10">
        <v>-0.57565214417624899</v>
      </c>
      <c r="N1781" s="24" t="s">
        <v>343</v>
      </c>
      <c r="O1781" s="24">
        <v>16.460871349425059</v>
      </c>
      <c r="P1781">
        <v>59.769294392143173</v>
      </c>
      <c r="Q1781" t="s">
        <v>47</v>
      </c>
      <c r="R1781" t="s">
        <v>350</v>
      </c>
      <c r="S1781" t="s">
        <v>343</v>
      </c>
      <c r="T1781" t="s">
        <v>343</v>
      </c>
    </row>
    <row r="1782" spans="2:20" x14ac:dyDescent="0.25">
      <c r="B1782">
        <v>1777</v>
      </c>
      <c r="C1782" t="s">
        <v>2121</v>
      </c>
      <c r="D1782" s="10">
        <v>0.23270037352959369</v>
      </c>
      <c r="E1782" s="10">
        <v>0.96643826522228538</v>
      </c>
      <c r="F1782" s="10">
        <v>0.53562217421000813</v>
      </c>
      <c r="G1782" s="10">
        <v>0.40730048269884311</v>
      </c>
      <c r="H1782" s="6">
        <v>0.13815018250218039</v>
      </c>
      <c r="I1782" s="10">
        <v>13.365592611847889</v>
      </c>
      <c r="J1782" s="7">
        <v>2.3783096046737541E-2</v>
      </c>
      <c r="K1782" s="5">
        <v>0.1639092719661305</v>
      </c>
      <c r="L1782">
        <v>357.89929715005871</v>
      </c>
      <c r="M1782" s="10">
        <v>-0.39377783747090989</v>
      </c>
      <c r="N1782" s="24" t="s">
        <v>343</v>
      </c>
      <c r="O1782" s="24">
        <v>27.373329751745398</v>
      </c>
      <c r="P1782">
        <v>23.94179321176556</v>
      </c>
      <c r="Q1782" t="s">
        <v>348</v>
      </c>
      <c r="R1782" t="s">
        <v>375</v>
      </c>
      <c r="S1782" t="s">
        <v>343</v>
      </c>
      <c r="T1782" t="s">
        <v>343</v>
      </c>
    </row>
    <row r="1783" spans="2:20" x14ac:dyDescent="0.25">
      <c r="B1783">
        <v>1778</v>
      </c>
      <c r="C1783" t="s">
        <v>2122</v>
      </c>
      <c r="D1783" s="10">
        <v>0.29509713323833853</v>
      </c>
      <c r="E1783" s="10">
        <v>0.61771055803418562</v>
      </c>
      <c r="F1783" s="10">
        <v>0.63117697248533289</v>
      </c>
      <c r="G1783" s="10">
        <v>0.30866870708247313</v>
      </c>
      <c r="H1783" s="6">
        <v>0.15959980827808329</v>
      </c>
      <c r="I1783" s="10">
        <v>13.98417249855037</v>
      </c>
      <c r="J1783" s="7">
        <v>4.1886486960988581E-2</v>
      </c>
      <c r="K1783" s="5">
        <v>0.17665672377146499</v>
      </c>
      <c r="L1783">
        <v>195.47543016356849</v>
      </c>
      <c r="M1783" s="10">
        <v>-0.66889698041128665</v>
      </c>
      <c r="N1783" s="24" t="s">
        <v>343</v>
      </c>
      <c r="O1783" s="24">
        <v>10.866181175322801</v>
      </c>
      <c r="P1783">
        <v>10.03142488067912</v>
      </c>
      <c r="Q1783" t="s">
        <v>348</v>
      </c>
      <c r="R1783" t="s">
        <v>353</v>
      </c>
      <c r="S1783" t="s">
        <v>343</v>
      </c>
      <c r="T1783" t="s">
        <v>343</v>
      </c>
    </row>
    <row r="1784" spans="2:20" x14ac:dyDescent="0.25">
      <c r="B1784">
        <v>1779</v>
      </c>
      <c r="C1784" t="s">
        <v>2123</v>
      </c>
      <c r="D1784" s="10">
        <v>0.1756932129254791</v>
      </c>
      <c r="E1784" s="10">
        <v>1.1766918863769791</v>
      </c>
      <c r="F1784" s="10">
        <v>0.59691020687551299</v>
      </c>
      <c r="G1784" s="10">
        <v>0.39460033227358771</v>
      </c>
      <c r="H1784" s="6">
        <v>0.19385951479376981</v>
      </c>
      <c r="I1784" s="10">
        <v>4.1139278731046369</v>
      </c>
      <c r="J1784" s="7">
        <v>1.45338596768702E-2</v>
      </c>
      <c r="K1784" s="5">
        <v>0.1042496004353769</v>
      </c>
      <c r="L1784">
        <v>303.14963744672832</v>
      </c>
      <c r="M1784" s="10">
        <v>-0.48651469772008982</v>
      </c>
      <c r="N1784" s="24" t="s">
        <v>343</v>
      </c>
      <c r="O1784" s="24">
        <v>21.809118136794609</v>
      </c>
      <c r="P1784">
        <v>61.422661516282581</v>
      </c>
      <c r="Q1784" t="s">
        <v>47</v>
      </c>
      <c r="R1784" t="s">
        <v>350</v>
      </c>
      <c r="S1784" t="s">
        <v>343</v>
      </c>
      <c r="T1784" t="s">
        <v>343</v>
      </c>
    </row>
    <row r="1785" spans="2:20" x14ac:dyDescent="0.25">
      <c r="B1785">
        <v>1780</v>
      </c>
      <c r="C1785" t="s">
        <v>2124</v>
      </c>
      <c r="D1785" s="10">
        <v>0.23811858192348451</v>
      </c>
      <c r="E1785" s="10">
        <v>1.1782357639032901</v>
      </c>
      <c r="F1785" s="10">
        <v>0.60994365240250192</v>
      </c>
      <c r="G1785" s="10">
        <v>0.3488010418213805</v>
      </c>
      <c r="H1785" s="6">
        <v>0.24504443991859451</v>
      </c>
      <c r="I1785" s="10">
        <v>9.6723841639032813</v>
      </c>
      <c r="J1785" s="7">
        <v>1.9997412238226979E-2</v>
      </c>
      <c r="K1785" s="5">
        <v>0.13609134870376391</v>
      </c>
      <c r="L1785">
        <v>199.2455015811812</v>
      </c>
      <c r="M1785" s="10">
        <v>-0.66251110352951104</v>
      </c>
      <c r="N1785" s="24" t="s">
        <v>343</v>
      </c>
      <c r="O1785" s="24">
        <v>11.24933378822934</v>
      </c>
      <c r="P1785">
        <v>53.970332441876799</v>
      </c>
      <c r="Q1785" t="s">
        <v>47</v>
      </c>
      <c r="R1785" t="s">
        <v>350</v>
      </c>
      <c r="S1785" t="s">
        <v>343</v>
      </c>
      <c r="T1785" t="s">
        <v>343</v>
      </c>
    </row>
    <row r="1786" spans="2:20" x14ac:dyDescent="0.25">
      <c r="B1786">
        <v>1781</v>
      </c>
      <c r="C1786" t="s">
        <v>2125</v>
      </c>
      <c r="D1786" s="10">
        <v>0.18400778635103751</v>
      </c>
      <c r="E1786" s="10">
        <v>1.152955966463066</v>
      </c>
      <c r="F1786" s="10">
        <v>0.49475181246148747</v>
      </c>
      <c r="G1786" s="10">
        <v>0.31112426217907929</v>
      </c>
      <c r="H1786" s="6">
        <v>0.20005851225305449</v>
      </c>
      <c r="I1786" s="10">
        <v>7.4833273279757657</v>
      </c>
      <c r="J1786" s="7">
        <v>1.2310025502477411E-2</v>
      </c>
      <c r="K1786" s="5">
        <v>0.133319329497087</v>
      </c>
      <c r="L1786">
        <v>163.18498293212991</v>
      </c>
      <c r="M1786" s="10">
        <v>-0.72359165264325476</v>
      </c>
      <c r="N1786" s="24" t="s">
        <v>343</v>
      </c>
      <c r="O1786" s="24">
        <v>7.5845008414047186</v>
      </c>
      <c r="P1786">
        <v>56.02261617059407</v>
      </c>
      <c r="Q1786" t="s">
        <v>47</v>
      </c>
      <c r="R1786" t="s">
        <v>350</v>
      </c>
      <c r="S1786" t="s">
        <v>343</v>
      </c>
      <c r="T1786" t="s">
        <v>343</v>
      </c>
    </row>
    <row r="1787" spans="2:20" x14ac:dyDescent="0.25">
      <c r="B1787">
        <v>1782</v>
      </c>
      <c r="C1787" t="s">
        <v>2126</v>
      </c>
      <c r="D1787" s="10">
        <v>0.2119481483024096</v>
      </c>
      <c r="E1787" s="10">
        <v>0.87731686518151442</v>
      </c>
      <c r="F1787" s="10">
        <v>0.52463056298499122</v>
      </c>
      <c r="G1787" s="10">
        <v>0.33085265040822082</v>
      </c>
      <c r="H1787" s="6">
        <v>0.15666953973466441</v>
      </c>
      <c r="I1787" s="10">
        <v>8.8593104614398648</v>
      </c>
      <c r="J1787" s="7">
        <v>2.3331634720950029E-2</v>
      </c>
      <c r="K1787" s="5">
        <v>0.15314972984355299</v>
      </c>
      <c r="L1787">
        <v>194.23727337959721</v>
      </c>
      <c r="M1787" s="10">
        <v>-0.67099421303819062</v>
      </c>
      <c r="N1787" s="24" t="s">
        <v>343</v>
      </c>
      <c r="O1787" s="24">
        <v>10.74034721770856</v>
      </c>
      <c r="P1787">
        <v>62.57145382885934</v>
      </c>
      <c r="Q1787" t="s">
        <v>47</v>
      </c>
      <c r="R1787" t="s">
        <v>350</v>
      </c>
      <c r="S1787" t="s">
        <v>343</v>
      </c>
      <c r="T1787" t="s">
        <v>343</v>
      </c>
    </row>
    <row r="1788" spans="2:20" x14ac:dyDescent="0.25">
      <c r="B1788">
        <v>1783</v>
      </c>
      <c r="C1788" t="s">
        <v>2127</v>
      </c>
      <c r="D1788" s="10">
        <v>0.27797713238204802</v>
      </c>
      <c r="E1788" s="10">
        <v>0.61302338108783683</v>
      </c>
      <c r="F1788" s="10">
        <v>0.4455030163791393</v>
      </c>
      <c r="G1788" s="10">
        <v>0.43697741078669761</v>
      </c>
      <c r="H1788" s="6">
        <v>0.12669316123360919</v>
      </c>
      <c r="I1788" s="10">
        <v>6.3964410260365003</v>
      </c>
      <c r="J1788" s="7">
        <v>1.5193043315474381E-2</v>
      </c>
      <c r="K1788" s="5">
        <v>0.110822880356841</v>
      </c>
      <c r="L1788">
        <v>204.6552940358545</v>
      </c>
      <c r="M1788" s="10">
        <v>-0.65334781065126157</v>
      </c>
      <c r="N1788" s="24" t="s">
        <v>343</v>
      </c>
      <c r="O1788" s="24">
        <v>11.79913136092431</v>
      </c>
      <c r="P1788">
        <v>57.710313511198741</v>
      </c>
      <c r="Q1788" t="s">
        <v>47</v>
      </c>
      <c r="R1788" t="s">
        <v>350</v>
      </c>
      <c r="S1788" t="s">
        <v>343</v>
      </c>
      <c r="T1788" t="s">
        <v>343</v>
      </c>
    </row>
    <row r="1789" spans="2:20" x14ac:dyDescent="0.25">
      <c r="B1789">
        <v>1784</v>
      </c>
      <c r="C1789" t="s">
        <v>2128</v>
      </c>
      <c r="D1789" s="10">
        <v>0.23616290069900259</v>
      </c>
      <c r="E1789" s="10">
        <v>1.1903884482664979</v>
      </c>
      <c r="F1789" s="10">
        <v>0.46817742389622419</v>
      </c>
      <c r="G1789" s="10">
        <v>0.31909389226695889</v>
      </c>
      <c r="H1789" s="6">
        <v>0.2132954753860507</v>
      </c>
      <c r="I1789" s="10">
        <v>3.528757218642729</v>
      </c>
      <c r="J1789" s="7">
        <v>3.9580031406184379E-2</v>
      </c>
      <c r="K1789" s="5">
        <v>0.1886748439632315</v>
      </c>
      <c r="L1789">
        <v>184.5698739153371</v>
      </c>
      <c r="M1789" s="10">
        <v>-0.68736918738411446</v>
      </c>
      <c r="N1789" s="24" t="s">
        <v>343</v>
      </c>
      <c r="O1789" s="24">
        <v>9.757848756953134</v>
      </c>
      <c r="P1789">
        <v>51.848533067519817</v>
      </c>
      <c r="Q1789" t="s">
        <v>47</v>
      </c>
      <c r="R1789" t="s">
        <v>350</v>
      </c>
      <c r="S1789" t="s">
        <v>343</v>
      </c>
      <c r="T1789" t="s">
        <v>343</v>
      </c>
    </row>
    <row r="1790" spans="2:20" x14ac:dyDescent="0.25">
      <c r="B1790">
        <v>1785</v>
      </c>
      <c r="C1790" t="s">
        <v>2129</v>
      </c>
      <c r="D1790" s="10">
        <v>0.22014212562332311</v>
      </c>
      <c r="E1790" s="10">
        <v>0.50471061813316564</v>
      </c>
      <c r="F1790" s="10">
        <v>0.50891410031711071</v>
      </c>
      <c r="G1790" s="10">
        <v>0.30322784013028081</v>
      </c>
      <c r="H1790" s="6">
        <v>0.18302398460499719</v>
      </c>
      <c r="I1790" s="10">
        <v>10.785252965676939</v>
      </c>
      <c r="J1790" s="7">
        <v>4.2376512069621397E-2</v>
      </c>
      <c r="K1790" s="5">
        <v>0.15210847550121309</v>
      </c>
      <c r="L1790">
        <v>82.289612239277801</v>
      </c>
      <c r="M1790" s="10">
        <v>-0.86061501913355432</v>
      </c>
      <c r="N1790" s="24" t="s">
        <v>343</v>
      </c>
      <c r="O1790" s="24">
        <v>0</v>
      </c>
      <c r="P1790">
        <v>61.028269388749713</v>
      </c>
      <c r="Q1790" t="s">
        <v>47</v>
      </c>
      <c r="R1790" t="s">
        <v>350</v>
      </c>
      <c r="S1790" t="s">
        <v>343</v>
      </c>
      <c r="T1790" t="s">
        <v>343</v>
      </c>
    </row>
    <row r="1791" spans="2:20" x14ac:dyDescent="0.25">
      <c r="B1791">
        <v>1786</v>
      </c>
      <c r="C1791" t="s">
        <v>2130</v>
      </c>
      <c r="D1791" s="10">
        <v>0.22311620457120571</v>
      </c>
      <c r="E1791" s="10">
        <v>0.6187355622315216</v>
      </c>
      <c r="F1791" s="10">
        <v>0.45702056753852549</v>
      </c>
      <c r="G1791" s="10">
        <v>0.31739758855623029</v>
      </c>
      <c r="H1791" s="6">
        <v>0.2676530800225605</v>
      </c>
      <c r="I1791" s="10">
        <v>13.62398781216487</v>
      </c>
      <c r="J1791" s="7">
        <v>3.342989756816505E-2</v>
      </c>
      <c r="K1791" s="5">
        <v>0.18775651640695901</v>
      </c>
      <c r="L1791">
        <v>92.422474165284882</v>
      </c>
      <c r="M1791" s="10">
        <v>-0.84345162843033883</v>
      </c>
      <c r="N1791" s="24" t="s">
        <v>343</v>
      </c>
      <c r="O1791" s="24">
        <v>0.39290229417967032</v>
      </c>
      <c r="P1791">
        <v>15.052307636551371</v>
      </c>
      <c r="Q1791" t="s">
        <v>348</v>
      </c>
      <c r="R1791" t="s">
        <v>371</v>
      </c>
      <c r="S1791" t="s">
        <v>343</v>
      </c>
      <c r="T1791" t="s">
        <v>343</v>
      </c>
    </row>
    <row r="1792" spans="2:20" x14ac:dyDescent="0.25">
      <c r="B1792">
        <v>1787</v>
      </c>
      <c r="C1792" t="s">
        <v>2131</v>
      </c>
      <c r="D1792" s="10">
        <v>0.23351148294495791</v>
      </c>
      <c r="E1792" s="10">
        <v>0.50234247677668376</v>
      </c>
      <c r="F1792" s="10">
        <v>0.59668442409222266</v>
      </c>
      <c r="G1792" s="10">
        <v>0.28721605596591221</v>
      </c>
      <c r="H1792" s="6">
        <v>0.23696398281175399</v>
      </c>
      <c r="I1792" s="10">
        <v>8.856200086928455</v>
      </c>
      <c r="J1792" s="7">
        <v>1.3616710999504371E-2</v>
      </c>
      <c r="K1792" s="5">
        <v>0.17760938772885679</v>
      </c>
      <c r="L1792">
        <v>104.53826163246551</v>
      </c>
      <c r="M1792" s="10">
        <v>-0.82292949011494121</v>
      </c>
      <c r="N1792" s="24" t="s">
        <v>343</v>
      </c>
      <c r="O1792" s="24">
        <v>1.624230593103533</v>
      </c>
      <c r="P1792">
        <v>62.23727630005704</v>
      </c>
      <c r="Q1792" t="s">
        <v>47</v>
      </c>
      <c r="R1792" t="s">
        <v>350</v>
      </c>
      <c r="S1792" t="s">
        <v>343</v>
      </c>
      <c r="T1792" t="s">
        <v>343</v>
      </c>
    </row>
    <row r="1793" spans="2:20" x14ac:dyDescent="0.25">
      <c r="B1793">
        <v>1788</v>
      </c>
      <c r="C1793" t="s">
        <v>2132</v>
      </c>
      <c r="D1793" s="10">
        <v>0.28560264701392912</v>
      </c>
      <c r="E1793" s="10">
        <v>1.0416311764264119</v>
      </c>
      <c r="F1793" s="10">
        <v>0.69951383014019453</v>
      </c>
      <c r="G1793" s="10">
        <v>0.35981969722719231</v>
      </c>
      <c r="H1793" s="6">
        <v>0.2412544228910054</v>
      </c>
      <c r="I1793" s="10">
        <v>6.6253794550808482</v>
      </c>
      <c r="J1793" s="7">
        <v>2.1957080856784709E-2</v>
      </c>
      <c r="K1793" s="5">
        <v>0.11820569191994219</v>
      </c>
      <c r="L1793">
        <v>297.47510564898357</v>
      </c>
      <c r="M1793" s="10">
        <v>-0.49612641522040818</v>
      </c>
      <c r="N1793" s="24" t="s">
        <v>343</v>
      </c>
      <c r="O1793" s="24">
        <v>21.232415086775511</v>
      </c>
      <c r="P1793">
        <v>22.38145807418255</v>
      </c>
      <c r="Q1793" t="s">
        <v>348</v>
      </c>
      <c r="R1793" t="s">
        <v>375</v>
      </c>
      <c r="S1793" t="s">
        <v>343</v>
      </c>
      <c r="T1793" t="s">
        <v>343</v>
      </c>
    </row>
    <row r="1794" spans="2:20" x14ac:dyDescent="0.25">
      <c r="B1794">
        <v>1789</v>
      </c>
      <c r="C1794" t="s">
        <v>2133</v>
      </c>
      <c r="D1794" s="10">
        <v>0.30273355023043752</v>
      </c>
      <c r="E1794" s="10">
        <v>1.0548596309274001</v>
      </c>
      <c r="F1794" s="10">
        <v>0.46621195565700102</v>
      </c>
      <c r="G1794" s="10">
        <v>0.27243601599095713</v>
      </c>
      <c r="H1794" s="6">
        <v>0.1218352534320595</v>
      </c>
      <c r="I1794" s="10">
        <v>13.321060736051701</v>
      </c>
      <c r="J1794" s="7">
        <v>4.3757216232177869E-2</v>
      </c>
      <c r="K1794" s="5">
        <v>0.1125722061678309</v>
      </c>
      <c r="L1794">
        <v>198.22019031866569</v>
      </c>
      <c r="M1794" s="10">
        <v>-0.66424781107763176</v>
      </c>
      <c r="N1794" s="24" t="s">
        <v>343</v>
      </c>
      <c r="O1794" s="24">
        <v>11.1451313353421</v>
      </c>
      <c r="P1794">
        <v>4.1985850166322294</v>
      </c>
      <c r="Q1794" t="s">
        <v>348</v>
      </c>
      <c r="R1794" t="s">
        <v>371</v>
      </c>
      <c r="S1794" t="s">
        <v>343</v>
      </c>
      <c r="T1794" t="s">
        <v>343</v>
      </c>
    </row>
    <row r="1795" spans="2:20" x14ac:dyDescent="0.25">
      <c r="B1795">
        <v>1790</v>
      </c>
      <c r="C1795" t="s">
        <v>2134</v>
      </c>
      <c r="D1795" s="10">
        <v>0.31285354984062852</v>
      </c>
      <c r="E1795" s="10">
        <v>1.017760992065428</v>
      </c>
      <c r="F1795" s="10">
        <v>0.65351985529400891</v>
      </c>
      <c r="G1795" s="10">
        <v>0.41983763301612159</v>
      </c>
      <c r="H1795" s="6">
        <v>0.23666929993560859</v>
      </c>
      <c r="I1795" s="10">
        <v>7.0113318242234159</v>
      </c>
      <c r="J1795" s="7">
        <v>1.477054283858251E-2</v>
      </c>
      <c r="K1795" s="5">
        <v>0.18181877280008821</v>
      </c>
      <c r="L1795">
        <v>183.9676894904841</v>
      </c>
      <c r="M1795" s="10">
        <v>-0.68838918811388028</v>
      </c>
      <c r="N1795" s="24" t="s">
        <v>343</v>
      </c>
      <c r="O1795" s="24">
        <v>9.6966487131671855</v>
      </c>
      <c r="P1795">
        <v>10.87220236488376</v>
      </c>
      <c r="Q1795" t="s">
        <v>348</v>
      </c>
      <c r="R1795" t="s">
        <v>375</v>
      </c>
      <c r="S1795" t="s">
        <v>343</v>
      </c>
      <c r="T1795" t="s">
        <v>343</v>
      </c>
    </row>
    <row r="1796" spans="2:20" x14ac:dyDescent="0.25">
      <c r="B1796">
        <v>1791</v>
      </c>
      <c r="C1796" t="s">
        <v>2135</v>
      </c>
      <c r="D1796" s="10">
        <v>0.28590454180084718</v>
      </c>
      <c r="E1796" s="10">
        <v>0.75716161355113454</v>
      </c>
      <c r="F1796" s="10">
        <v>0.47089222428893829</v>
      </c>
      <c r="G1796" s="10">
        <v>0.28962765439403781</v>
      </c>
      <c r="H1796" s="6">
        <v>0.1491919966013239</v>
      </c>
      <c r="I1796" s="10">
        <v>13.05982112014421</v>
      </c>
      <c r="J1796" s="7">
        <v>2.9477128391797881E-2</v>
      </c>
      <c r="K1796" s="5">
        <v>0.15092952114550079</v>
      </c>
      <c r="L1796">
        <v>171.1127269906238</v>
      </c>
      <c r="M1796" s="10">
        <v>-0.71016336657120271</v>
      </c>
      <c r="N1796" s="24" t="s">
        <v>343</v>
      </c>
      <c r="O1796" s="24">
        <v>8.3901980057278394</v>
      </c>
      <c r="P1796">
        <v>20.155706612142179</v>
      </c>
      <c r="Q1796" t="s">
        <v>348</v>
      </c>
      <c r="R1796" t="s">
        <v>371</v>
      </c>
      <c r="S1796" t="s">
        <v>343</v>
      </c>
      <c r="T1796" t="s">
        <v>343</v>
      </c>
    </row>
    <row r="1797" spans="2:20" x14ac:dyDescent="0.25">
      <c r="B1797">
        <v>1792</v>
      </c>
      <c r="C1797" t="s">
        <v>2136</v>
      </c>
      <c r="D1797" s="10">
        <v>0.21046510331968199</v>
      </c>
      <c r="E1797" s="10">
        <v>0.41018810792157662</v>
      </c>
      <c r="F1797" s="10">
        <v>0.61417764488707338</v>
      </c>
      <c r="G1797" s="10">
        <v>0.37157210605872198</v>
      </c>
      <c r="H1797" s="6">
        <v>0.20786938084324591</v>
      </c>
      <c r="I1797" s="10">
        <v>12.412599403075779</v>
      </c>
      <c r="J1797" s="7">
        <v>2.2352531659844691E-2</v>
      </c>
      <c r="K1797" s="5">
        <v>0.10187556105030041</v>
      </c>
      <c r="L1797">
        <v>178.79850588765191</v>
      </c>
      <c r="M1797" s="10">
        <v>-0.69714492942763018</v>
      </c>
      <c r="N1797" s="24" t="s">
        <v>343</v>
      </c>
      <c r="O1797" s="24">
        <v>9.1713042343421911</v>
      </c>
      <c r="P1797">
        <v>55.648223987779993</v>
      </c>
      <c r="Q1797" t="s">
        <v>47</v>
      </c>
      <c r="R1797" t="s">
        <v>350</v>
      </c>
      <c r="S1797" t="s">
        <v>343</v>
      </c>
      <c r="T1797" t="s">
        <v>343</v>
      </c>
    </row>
    <row r="1798" spans="2:20" x14ac:dyDescent="0.25">
      <c r="B1798">
        <v>1793</v>
      </c>
      <c r="C1798" t="s">
        <v>2137</v>
      </c>
      <c r="D1798" s="10">
        <v>0.27010155297384669</v>
      </c>
      <c r="E1798" s="10">
        <v>1.3022865429665229</v>
      </c>
      <c r="F1798" s="10">
        <v>0.60722097679534448</v>
      </c>
      <c r="G1798" s="10">
        <v>0.26750560976237658</v>
      </c>
      <c r="H1798" s="6">
        <v>0.18711323584735781</v>
      </c>
      <c r="I1798" s="10">
        <v>8.8158210632361573</v>
      </c>
      <c r="J1798" s="7">
        <v>4.4970691425350158E-2</v>
      </c>
      <c r="K1798" s="5">
        <v>0.1887515411017392</v>
      </c>
      <c r="L1798">
        <v>129.962317716298</v>
      </c>
      <c r="M1798" s="10">
        <v>-0.77986534782091588</v>
      </c>
      <c r="N1798" s="24" t="s">
        <v>343</v>
      </c>
      <c r="O1798" s="24">
        <v>4.2080791307450482</v>
      </c>
      <c r="P1798">
        <v>53.189440245291408</v>
      </c>
      <c r="Q1798" t="s">
        <v>47</v>
      </c>
      <c r="R1798" t="s">
        <v>350</v>
      </c>
      <c r="S1798" t="s">
        <v>343</v>
      </c>
      <c r="T1798" t="s">
        <v>343</v>
      </c>
    </row>
    <row r="1799" spans="2:20" x14ac:dyDescent="0.25">
      <c r="B1799">
        <v>1794</v>
      </c>
      <c r="C1799" t="s">
        <v>2138</v>
      </c>
      <c r="D1799" s="10">
        <v>0.23001649984886269</v>
      </c>
      <c r="E1799" s="10">
        <v>0.85850406041346194</v>
      </c>
      <c r="F1799" s="10">
        <v>0.67470640305091178</v>
      </c>
      <c r="G1799" s="10">
        <v>0.45525969260715182</v>
      </c>
      <c r="H1799" s="6">
        <v>0.20574057758665201</v>
      </c>
      <c r="I1799" s="10">
        <v>10.44559933335303</v>
      </c>
      <c r="J1799" s="7">
        <v>1.9988617262463419E-2</v>
      </c>
      <c r="K1799" s="5">
        <v>0.1449376979423411</v>
      </c>
      <c r="L1799">
        <v>264.58673200899699</v>
      </c>
      <c r="M1799" s="10">
        <v>-0.55183387580739562</v>
      </c>
      <c r="N1799" s="24" t="s">
        <v>343</v>
      </c>
      <c r="O1799" s="24">
        <v>17.889967451556259</v>
      </c>
      <c r="P1799">
        <v>17.225745974383319</v>
      </c>
      <c r="Q1799" t="s">
        <v>348</v>
      </c>
      <c r="R1799" t="s">
        <v>351</v>
      </c>
      <c r="S1799" t="s">
        <v>343</v>
      </c>
      <c r="T1799" t="s">
        <v>343</v>
      </c>
    </row>
    <row r="1800" spans="2:20" x14ac:dyDescent="0.25">
      <c r="B1800">
        <v>1795</v>
      </c>
      <c r="C1800" t="s">
        <v>2139</v>
      </c>
      <c r="D1800" s="10">
        <v>0.20074729952736819</v>
      </c>
      <c r="E1800" s="10">
        <v>0.74766941440220058</v>
      </c>
      <c r="F1800" s="10">
        <v>0.4696258595569332</v>
      </c>
      <c r="G1800" s="10">
        <v>0.3400066009566024</v>
      </c>
      <c r="H1800" s="6">
        <v>0.14001652941344939</v>
      </c>
      <c r="I1800" s="10">
        <v>10.70349187977172</v>
      </c>
      <c r="J1800" s="7">
        <v>1.167202928492052E-2</v>
      </c>
      <c r="K1800" s="5">
        <v>0.1285889486664776</v>
      </c>
      <c r="L1800">
        <v>126.1925686761535</v>
      </c>
      <c r="M1800" s="10">
        <v>-0.78625067864862686</v>
      </c>
      <c r="N1800" s="24" t="s">
        <v>343</v>
      </c>
      <c r="O1800" s="24">
        <v>3.8249592810823931</v>
      </c>
      <c r="P1800">
        <v>22.715332095350131</v>
      </c>
      <c r="Q1800" t="s">
        <v>348</v>
      </c>
      <c r="R1800" t="s">
        <v>371</v>
      </c>
      <c r="S1800" t="s">
        <v>343</v>
      </c>
      <c r="T1800" t="s">
        <v>343</v>
      </c>
    </row>
    <row r="1801" spans="2:20" x14ac:dyDescent="0.25">
      <c r="B1801">
        <v>1796</v>
      </c>
      <c r="C1801" t="s">
        <v>2140</v>
      </c>
      <c r="D1801" s="10">
        <v>0.29453945270814758</v>
      </c>
      <c r="E1801" s="10">
        <v>0.94770738257312237</v>
      </c>
      <c r="F1801" s="10">
        <v>0.52201556118129344</v>
      </c>
      <c r="G1801" s="10">
        <v>0.42087769496693922</v>
      </c>
      <c r="H1801" s="6">
        <v>0.18853375221167201</v>
      </c>
      <c r="I1801" s="10">
        <v>10.052008755299831</v>
      </c>
      <c r="J1801" s="7">
        <v>3.4576398518863363E-2</v>
      </c>
      <c r="K1801" s="5">
        <v>0.14907679776121149</v>
      </c>
      <c r="L1801">
        <v>257.06926969941787</v>
      </c>
      <c r="M1801" s="10">
        <v>-0.56456721251504849</v>
      </c>
      <c r="N1801" s="24" t="s">
        <v>343</v>
      </c>
      <c r="O1801" s="24">
        <v>17.125967249097091</v>
      </c>
      <c r="P1801">
        <v>51.785191212738717</v>
      </c>
      <c r="Q1801" t="s">
        <v>47</v>
      </c>
      <c r="R1801" t="s">
        <v>350</v>
      </c>
      <c r="S1801" t="s">
        <v>343</v>
      </c>
      <c r="T1801" t="s">
        <v>343</v>
      </c>
    </row>
    <row r="1802" spans="2:20" x14ac:dyDescent="0.25">
      <c r="B1802">
        <v>1797</v>
      </c>
      <c r="C1802" t="s">
        <v>2141</v>
      </c>
      <c r="D1802" s="10">
        <v>0.16614821583397199</v>
      </c>
      <c r="E1802" s="10">
        <v>0.51206947940101633</v>
      </c>
      <c r="F1802" s="10">
        <v>0.46360273769221833</v>
      </c>
      <c r="G1802" s="10">
        <v>0.40910252384299639</v>
      </c>
      <c r="H1802" s="6">
        <v>0.12554170289274949</v>
      </c>
      <c r="I1802" s="10">
        <v>4.7682495046915454</v>
      </c>
      <c r="J1802" s="7">
        <v>2.143587655854385E-2</v>
      </c>
      <c r="K1802" s="5">
        <v>0.17817724709124469</v>
      </c>
      <c r="L1802">
        <v>56.74244559803671</v>
      </c>
      <c r="M1802" s="10">
        <v>-0.90388769033204164</v>
      </c>
      <c r="N1802" s="24" t="s">
        <v>343</v>
      </c>
      <c r="O1802" s="24">
        <v>0</v>
      </c>
      <c r="P1802">
        <v>56.580911567929547</v>
      </c>
      <c r="Q1802" t="s">
        <v>47</v>
      </c>
      <c r="R1802" t="s">
        <v>350</v>
      </c>
      <c r="S1802" t="s">
        <v>343</v>
      </c>
      <c r="T1802" t="s">
        <v>343</v>
      </c>
    </row>
    <row r="1803" spans="2:20" x14ac:dyDescent="0.25">
      <c r="B1803">
        <v>1798</v>
      </c>
      <c r="C1803" t="s">
        <v>2142</v>
      </c>
      <c r="D1803" s="10">
        <v>0.30428191874166782</v>
      </c>
      <c r="E1803" s="10">
        <v>0.44580365701536179</v>
      </c>
      <c r="F1803" s="10">
        <v>0.54591966470915276</v>
      </c>
      <c r="G1803" s="10">
        <v>0.39701247037204929</v>
      </c>
      <c r="H1803" s="6">
        <v>0.12614990222394459</v>
      </c>
      <c r="I1803" s="10">
        <v>10.620538328775019</v>
      </c>
      <c r="J1803" s="7">
        <v>3.3015350188411799E-2</v>
      </c>
      <c r="K1803" s="5">
        <v>0.11047780982840009</v>
      </c>
      <c r="L1803">
        <v>193.6947919072777</v>
      </c>
      <c r="M1803" s="10">
        <v>-0.67191308684962381</v>
      </c>
      <c r="N1803" s="24" t="s">
        <v>343</v>
      </c>
      <c r="O1803" s="24">
        <v>10.68521478902257</v>
      </c>
      <c r="P1803">
        <v>52.246755532605697</v>
      </c>
      <c r="Q1803" t="s">
        <v>47</v>
      </c>
      <c r="R1803" t="s">
        <v>350</v>
      </c>
      <c r="S1803" t="s">
        <v>343</v>
      </c>
      <c r="T1803" t="s">
        <v>343</v>
      </c>
    </row>
    <row r="1804" spans="2:20" x14ac:dyDescent="0.25">
      <c r="B1804">
        <v>1799</v>
      </c>
      <c r="C1804" t="s">
        <v>2143</v>
      </c>
      <c r="D1804" s="10">
        <v>0.23383639433995751</v>
      </c>
      <c r="E1804" s="10">
        <v>0.7460777436037378</v>
      </c>
      <c r="F1804" s="10">
        <v>0.67701422512493559</v>
      </c>
      <c r="G1804" s="10">
        <v>0.42202027166501421</v>
      </c>
      <c r="H1804" s="6">
        <v>0.2186607196161105</v>
      </c>
      <c r="I1804" s="10">
        <v>3.0353989252285221</v>
      </c>
      <c r="J1804" s="7">
        <v>1.366281953850801E-2</v>
      </c>
      <c r="K1804" s="5">
        <v>0.1340986258075656</v>
      </c>
      <c r="L1804">
        <v>165.8060707297079</v>
      </c>
      <c r="M1804" s="10">
        <v>-0.71915196381044832</v>
      </c>
      <c r="N1804" s="24" t="s">
        <v>343</v>
      </c>
      <c r="O1804" s="24">
        <v>7.8508821713731054</v>
      </c>
      <c r="P1804">
        <v>61.862911311199468</v>
      </c>
      <c r="Q1804" t="s">
        <v>47</v>
      </c>
      <c r="R1804" t="s">
        <v>350</v>
      </c>
      <c r="S1804" t="s">
        <v>343</v>
      </c>
      <c r="T1804" t="s">
        <v>343</v>
      </c>
    </row>
    <row r="1805" spans="2:20" x14ac:dyDescent="0.25">
      <c r="B1805">
        <v>1800</v>
      </c>
      <c r="C1805" t="s">
        <v>2144</v>
      </c>
      <c r="D1805" s="10">
        <v>0.26195223628932479</v>
      </c>
      <c r="E1805" s="10">
        <v>0.54994276350990157</v>
      </c>
      <c r="F1805" s="10">
        <v>0.64319601927608261</v>
      </c>
      <c r="G1805" s="10">
        <v>0.26210199390513528</v>
      </c>
      <c r="H1805" s="6">
        <v>0.26275475602082699</v>
      </c>
      <c r="I1805" s="10">
        <v>10.81040500217189</v>
      </c>
      <c r="J1805" s="7">
        <v>2.8307212032558791E-2</v>
      </c>
      <c r="K1805" s="5">
        <v>0.13029233395832809</v>
      </c>
      <c r="L1805">
        <v>127.8910603484147</v>
      </c>
      <c r="M1805" s="10">
        <v>-0.78337371492504593</v>
      </c>
      <c r="N1805" s="24" t="s">
        <v>343</v>
      </c>
      <c r="O1805" s="24">
        <v>3.997577104497239</v>
      </c>
      <c r="P1805">
        <v>57.315057383618907</v>
      </c>
      <c r="Q1805" t="s">
        <v>47</v>
      </c>
      <c r="R1805" t="s">
        <v>350</v>
      </c>
      <c r="S1805" t="s">
        <v>343</v>
      </c>
      <c r="T1805" t="s">
        <v>343</v>
      </c>
    </row>
    <row r="1806" spans="2:20" x14ac:dyDescent="0.25">
      <c r="B1806">
        <v>1801</v>
      </c>
      <c r="C1806" t="s">
        <v>2145</v>
      </c>
      <c r="D1806" s="10">
        <v>0.26549662755292519</v>
      </c>
      <c r="E1806" s="10">
        <v>0.56871932399088099</v>
      </c>
      <c r="F1806" s="10">
        <v>0.62795402611578299</v>
      </c>
      <c r="G1806" s="10">
        <v>0.38926938344383172</v>
      </c>
      <c r="H1806" s="6">
        <v>0.23660893780571751</v>
      </c>
      <c r="I1806" s="10">
        <v>9.103197480877208</v>
      </c>
      <c r="J1806" s="7">
        <v>2.3133104194092671E-2</v>
      </c>
      <c r="K1806" s="5">
        <v>0.179766704402674</v>
      </c>
      <c r="L1806">
        <v>149.28439330230671</v>
      </c>
      <c r="M1806" s="10">
        <v>-0.7471369503650539</v>
      </c>
      <c r="N1806" s="24" t="s">
        <v>343</v>
      </c>
      <c r="O1806" s="24">
        <v>6.1717829780967719</v>
      </c>
      <c r="P1806">
        <v>58.459935972091877</v>
      </c>
      <c r="Q1806" t="s">
        <v>47</v>
      </c>
      <c r="R1806" t="s">
        <v>350</v>
      </c>
      <c r="S1806" t="s">
        <v>343</v>
      </c>
      <c r="T1806" t="s">
        <v>343</v>
      </c>
    </row>
    <row r="1807" spans="2:20" x14ac:dyDescent="0.25">
      <c r="B1807">
        <v>1802</v>
      </c>
      <c r="C1807" t="s">
        <v>2146</v>
      </c>
      <c r="D1807" s="10">
        <v>0.30321883851304582</v>
      </c>
      <c r="E1807" s="10">
        <v>1.2817626365563819</v>
      </c>
      <c r="F1807" s="10">
        <v>0.57858715126430249</v>
      </c>
      <c r="G1807" s="10">
        <v>0.29848199176023182</v>
      </c>
      <c r="H1807" s="6">
        <v>0.19037336708564659</v>
      </c>
      <c r="I1807" s="10">
        <v>5.8573646435712234</v>
      </c>
      <c r="J1807" s="7">
        <v>2.8786849689252068E-2</v>
      </c>
      <c r="K1807" s="5">
        <v>0.17395439121783521</v>
      </c>
      <c r="L1807">
        <v>117.4300215026967</v>
      </c>
      <c r="M1807" s="10">
        <v>-0.80109298300366705</v>
      </c>
      <c r="N1807" s="24" t="s">
        <v>343</v>
      </c>
      <c r="O1807" s="24">
        <v>2.9344210197799749</v>
      </c>
      <c r="P1807">
        <v>54.643535265622639</v>
      </c>
      <c r="Q1807" t="s">
        <v>47</v>
      </c>
      <c r="R1807" t="s">
        <v>350</v>
      </c>
      <c r="S1807" t="s">
        <v>343</v>
      </c>
      <c r="T1807" t="s">
        <v>343</v>
      </c>
    </row>
    <row r="1808" spans="2:20" x14ac:dyDescent="0.25">
      <c r="B1808">
        <v>1803</v>
      </c>
      <c r="C1808" t="s">
        <v>2147</v>
      </c>
      <c r="D1808" s="10">
        <v>0.26186714914675319</v>
      </c>
      <c r="E1808" s="10">
        <v>0.88383509490440737</v>
      </c>
      <c r="F1808" s="10">
        <v>0.66970629300723594</v>
      </c>
      <c r="G1808" s="10">
        <v>0.41289176609464978</v>
      </c>
      <c r="H1808" s="6">
        <v>0.12838061101385589</v>
      </c>
      <c r="I1808" s="10">
        <v>11.841407792182331</v>
      </c>
      <c r="J1808" s="7">
        <v>3.9871533927939781E-2</v>
      </c>
      <c r="K1808" s="5">
        <v>0.13800988328480859</v>
      </c>
      <c r="L1808">
        <v>291.70387286103539</v>
      </c>
      <c r="M1808" s="10">
        <v>-0.50590192819019719</v>
      </c>
      <c r="N1808" s="24" t="s">
        <v>343</v>
      </c>
      <c r="O1808" s="24">
        <v>20.645884308588169</v>
      </c>
      <c r="P1808">
        <v>48.201761015671039</v>
      </c>
      <c r="Q1808" t="s">
        <v>346</v>
      </c>
      <c r="R1808" t="s">
        <v>347</v>
      </c>
      <c r="S1808" t="s">
        <v>343</v>
      </c>
      <c r="T1808" t="s">
        <v>343</v>
      </c>
    </row>
    <row r="1809" spans="2:20" x14ac:dyDescent="0.25">
      <c r="B1809">
        <v>1804</v>
      </c>
      <c r="C1809" t="s">
        <v>2148</v>
      </c>
      <c r="D1809" s="10">
        <v>0.25822937356160991</v>
      </c>
      <c r="E1809" s="10">
        <v>0.83181597075568625</v>
      </c>
      <c r="F1809" s="10">
        <v>0.55685486754274538</v>
      </c>
      <c r="G1809" s="10">
        <v>0.45051112716653552</v>
      </c>
      <c r="H1809" s="6">
        <v>0.12675302241856559</v>
      </c>
      <c r="I1809" s="10">
        <v>7.4580683276417297</v>
      </c>
      <c r="J1809" s="7">
        <v>4.4046155078644643E-2</v>
      </c>
      <c r="K1809" s="5">
        <v>0.16312638941813321</v>
      </c>
      <c r="L1809">
        <v>320.54434950486092</v>
      </c>
      <c r="M1809" s="10">
        <v>-0.45705093502364991</v>
      </c>
      <c r="N1809" s="24" t="s">
        <v>343</v>
      </c>
      <c r="O1809" s="24">
        <v>23.57694389858101</v>
      </c>
      <c r="P1809">
        <v>49.189034377360812</v>
      </c>
      <c r="Q1809" t="s">
        <v>346</v>
      </c>
      <c r="R1809" t="s">
        <v>347</v>
      </c>
      <c r="S1809" t="s">
        <v>343</v>
      </c>
      <c r="T1809" t="s">
        <v>343</v>
      </c>
    </row>
    <row r="1810" spans="2:20" x14ac:dyDescent="0.25">
      <c r="B1810">
        <v>1805</v>
      </c>
      <c r="C1810" t="s">
        <v>2149</v>
      </c>
      <c r="D1810" s="10">
        <v>0.17066432648971039</v>
      </c>
      <c r="E1810" s="10">
        <v>1.0584275531014571</v>
      </c>
      <c r="F1810" s="10">
        <v>0.47891827344616589</v>
      </c>
      <c r="G1810" s="10">
        <v>0.43832769656539311</v>
      </c>
      <c r="H1810" s="6">
        <v>0.14368383916620869</v>
      </c>
      <c r="I1810" s="10">
        <v>8.3435490307774565</v>
      </c>
      <c r="J1810" s="7">
        <v>3.6359625219130103E-2</v>
      </c>
      <c r="K1810" s="5">
        <v>0.13747232081800431</v>
      </c>
      <c r="L1810">
        <v>303.22623798545038</v>
      </c>
      <c r="M1810" s="10">
        <v>-0.48638494908798918</v>
      </c>
      <c r="N1810" s="24" t="s">
        <v>343</v>
      </c>
      <c r="O1810" s="24">
        <v>21.816903054720651</v>
      </c>
      <c r="P1810">
        <v>64.659289618732103</v>
      </c>
      <c r="Q1810" t="s">
        <v>47</v>
      </c>
      <c r="R1810" t="s">
        <v>350</v>
      </c>
      <c r="S1810" t="s">
        <v>343</v>
      </c>
      <c r="T1810" t="s">
        <v>343</v>
      </c>
    </row>
    <row r="1811" spans="2:20" x14ac:dyDescent="0.25">
      <c r="B1811">
        <v>1806</v>
      </c>
      <c r="C1811" t="s">
        <v>2150</v>
      </c>
      <c r="D1811" s="10">
        <v>0.24294528351123271</v>
      </c>
      <c r="E1811" s="10">
        <v>1.346702925044414</v>
      </c>
      <c r="F1811" s="10">
        <v>0.65777215801140254</v>
      </c>
      <c r="G1811" s="10">
        <v>0.26528948894420662</v>
      </c>
      <c r="H1811" s="6">
        <v>0.26637157559010399</v>
      </c>
      <c r="I1811" s="10">
        <v>3.3044201035384808</v>
      </c>
      <c r="J1811" s="7">
        <v>3.6840041032713933E-2</v>
      </c>
      <c r="K1811" s="5">
        <v>0.1542748146400422</v>
      </c>
      <c r="L1811">
        <v>172.23294046511671</v>
      </c>
      <c r="M1811" s="10">
        <v>-0.70826591038615583</v>
      </c>
      <c r="N1811" s="24" t="s">
        <v>343</v>
      </c>
      <c r="O1811" s="24">
        <v>8.5040453768306534</v>
      </c>
      <c r="P1811">
        <v>19.268367024129429</v>
      </c>
      <c r="Q1811" t="s">
        <v>348</v>
      </c>
      <c r="R1811" t="s">
        <v>375</v>
      </c>
      <c r="S1811" t="s">
        <v>343</v>
      </c>
      <c r="T1811" t="s">
        <v>343</v>
      </c>
    </row>
    <row r="1812" spans="2:20" x14ac:dyDescent="0.25">
      <c r="B1812">
        <v>1807</v>
      </c>
      <c r="C1812" t="s">
        <v>2151</v>
      </c>
      <c r="D1812" s="10">
        <v>0.18402704013072671</v>
      </c>
      <c r="E1812" s="10">
        <v>0.4234184209176205</v>
      </c>
      <c r="F1812" s="10">
        <v>0.51270596529344892</v>
      </c>
      <c r="G1812" s="10">
        <v>0.32130153254802057</v>
      </c>
      <c r="H1812" s="6">
        <v>0.17979915996617449</v>
      </c>
      <c r="I1812" s="10">
        <v>7.4145165434317866</v>
      </c>
      <c r="J1812" s="7">
        <v>2.8512763140878739E-2</v>
      </c>
      <c r="K1812" s="5">
        <v>0.19416545298938631</v>
      </c>
      <c r="L1812">
        <v>99.941793061918233</v>
      </c>
      <c r="M1812" s="10">
        <v>-0.83071514697155657</v>
      </c>
      <c r="N1812" s="24" t="s">
        <v>343</v>
      </c>
      <c r="O1812" s="24">
        <v>1.157091181706605</v>
      </c>
      <c r="P1812">
        <v>60.023171368781803</v>
      </c>
      <c r="Q1812" t="s">
        <v>47</v>
      </c>
      <c r="R1812" t="s">
        <v>350</v>
      </c>
      <c r="S1812" t="s">
        <v>343</v>
      </c>
      <c r="T1812" t="s">
        <v>343</v>
      </c>
    </row>
    <row r="1813" spans="2:20" x14ac:dyDescent="0.25">
      <c r="B1813">
        <v>1808</v>
      </c>
      <c r="C1813" t="s">
        <v>2152</v>
      </c>
      <c r="D1813" s="10">
        <v>0.27798940299543767</v>
      </c>
      <c r="E1813" s="10">
        <v>1.2168880238201829</v>
      </c>
      <c r="F1813" s="10">
        <v>0.45394472066635649</v>
      </c>
      <c r="G1813" s="10">
        <v>0.32015100658347201</v>
      </c>
      <c r="H1813" s="6">
        <v>0.24651109378089681</v>
      </c>
      <c r="I1813" s="10">
        <v>4.8409907173147566</v>
      </c>
      <c r="J1813" s="7">
        <v>1.3408998035039669E-2</v>
      </c>
      <c r="K1813" s="5">
        <v>0.15087957438737959</v>
      </c>
      <c r="L1813">
        <v>278.64654513857352</v>
      </c>
      <c r="M1813" s="10">
        <v>-0.52801887983495843</v>
      </c>
      <c r="N1813" s="24" t="s">
        <v>343</v>
      </c>
      <c r="O1813" s="24">
        <v>19.3188672099025</v>
      </c>
      <c r="P1813">
        <v>55.623738929197643</v>
      </c>
      <c r="Q1813" t="s">
        <v>47</v>
      </c>
      <c r="R1813" t="s">
        <v>350</v>
      </c>
      <c r="S1813" t="s">
        <v>343</v>
      </c>
      <c r="T1813" t="s">
        <v>343</v>
      </c>
    </row>
    <row r="1814" spans="2:20" x14ac:dyDescent="0.25">
      <c r="B1814">
        <v>1809</v>
      </c>
      <c r="C1814" t="s">
        <v>2153</v>
      </c>
      <c r="D1814" s="10">
        <v>0.24195550733002791</v>
      </c>
      <c r="E1814" s="10">
        <v>0.94242109785463035</v>
      </c>
      <c r="F1814" s="10">
        <v>0.47276988797388569</v>
      </c>
      <c r="G1814" s="10">
        <v>0.26690517859909668</v>
      </c>
      <c r="H1814" s="6">
        <v>0.2257713658422896</v>
      </c>
      <c r="I1814" s="10">
        <v>6.0375764301821793</v>
      </c>
      <c r="J1814" s="7">
        <v>3.3347084121260473E-2</v>
      </c>
      <c r="K1814" s="5">
        <v>0.19391459961889809</v>
      </c>
      <c r="L1814">
        <v>97.644859361701393</v>
      </c>
      <c r="M1814" s="10">
        <v>-0.83460577242407763</v>
      </c>
      <c r="N1814" s="24" t="s">
        <v>343</v>
      </c>
      <c r="O1814" s="24">
        <v>0.92365365455533777</v>
      </c>
      <c r="P1814">
        <v>58.876623127696689</v>
      </c>
      <c r="Q1814" t="s">
        <v>47</v>
      </c>
      <c r="R1814" t="s">
        <v>350</v>
      </c>
      <c r="S1814" t="s">
        <v>343</v>
      </c>
      <c r="T1814" t="s">
        <v>343</v>
      </c>
    </row>
    <row r="1815" spans="2:20" x14ac:dyDescent="0.25">
      <c r="B1815">
        <v>1810</v>
      </c>
      <c r="C1815" t="s">
        <v>2154</v>
      </c>
      <c r="D1815" s="10">
        <v>0.26883644467333662</v>
      </c>
      <c r="E1815" s="10">
        <v>0.46078188919302099</v>
      </c>
      <c r="F1815" s="10">
        <v>0.59835531821047849</v>
      </c>
      <c r="G1815" s="10">
        <v>0.26158773173630201</v>
      </c>
      <c r="H1815" s="6">
        <v>0.21081429888240991</v>
      </c>
      <c r="I1815" s="10">
        <v>5.7735344855541326</v>
      </c>
      <c r="J1815" s="7">
        <v>1.5172295512386519E-2</v>
      </c>
      <c r="K1815" s="5">
        <v>0.17098391509515071</v>
      </c>
      <c r="L1815">
        <v>53.180729422821777</v>
      </c>
      <c r="M1815" s="10">
        <v>-0.90992064792443494</v>
      </c>
      <c r="N1815" s="24" t="s">
        <v>343</v>
      </c>
      <c r="O1815" s="24">
        <v>0</v>
      </c>
      <c r="P1815">
        <v>58.658438101896152</v>
      </c>
      <c r="Q1815" t="s">
        <v>47</v>
      </c>
      <c r="R1815" t="s">
        <v>350</v>
      </c>
      <c r="S1815" t="s">
        <v>343</v>
      </c>
      <c r="T1815" t="s">
        <v>343</v>
      </c>
    </row>
    <row r="1816" spans="2:20" x14ac:dyDescent="0.25">
      <c r="B1816">
        <v>1811</v>
      </c>
      <c r="C1816" t="s">
        <v>2155</v>
      </c>
      <c r="D1816" s="10">
        <v>0.16666766409638151</v>
      </c>
      <c r="E1816" s="10">
        <v>0.62686425055789075</v>
      </c>
      <c r="F1816" s="10">
        <v>0.59784131061950485</v>
      </c>
      <c r="G1816" s="10">
        <v>0.32467582969322001</v>
      </c>
      <c r="H1816" s="6">
        <v>0.26217391674806118</v>
      </c>
      <c r="I1816" s="10">
        <v>3.5062287310750309</v>
      </c>
      <c r="J1816" s="7">
        <v>1.8598136980255559E-2</v>
      </c>
      <c r="K1816" s="5">
        <v>0.1114686175749983</v>
      </c>
      <c r="L1816">
        <v>94.40284250319533</v>
      </c>
      <c r="M1816" s="10">
        <v>-0.84009721229716372</v>
      </c>
      <c r="N1816" s="24" t="s">
        <v>343</v>
      </c>
      <c r="O1816" s="24">
        <v>0.59416726217017413</v>
      </c>
      <c r="P1816">
        <v>56.858604173019707</v>
      </c>
      <c r="Q1816" t="s">
        <v>47</v>
      </c>
      <c r="R1816" t="s">
        <v>350</v>
      </c>
      <c r="S1816" t="s">
        <v>343</v>
      </c>
      <c r="T1816" t="s">
        <v>343</v>
      </c>
    </row>
    <row r="1817" spans="2:20" x14ac:dyDescent="0.25">
      <c r="B1817">
        <v>1812</v>
      </c>
      <c r="C1817" t="s">
        <v>2156</v>
      </c>
      <c r="D1817" s="10">
        <v>0.1735667225673285</v>
      </c>
      <c r="E1817" s="10">
        <v>0.8305975581112135</v>
      </c>
      <c r="F1817" s="10">
        <v>0.50764762448132894</v>
      </c>
      <c r="G1817" s="10">
        <v>0.45825574110923251</v>
      </c>
      <c r="H1817" s="6">
        <v>0.1545617355928533</v>
      </c>
      <c r="I1817" s="10">
        <v>8.0654399977237965</v>
      </c>
      <c r="J1817" s="7">
        <v>3.4765387957456699E-2</v>
      </c>
      <c r="K1817" s="5">
        <v>0.17561678601703301</v>
      </c>
      <c r="L1817">
        <v>168.3489400568086</v>
      </c>
      <c r="M1817" s="10">
        <v>-0.71484476411830267</v>
      </c>
      <c r="N1817" s="24" t="s">
        <v>343</v>
      </c>
      <c r="O1817" s="24">
        <v>8.1093141529018382</v>
      </c>
      <c r="P1817">
        <v>60.962459557360063</v>
      </c>
      <c r="Q1817" t="s">
        <v>47</v>
      </c>
      <c r="R1817" t="s">
        <v>350</v>
      </c>
      <c r="S1817" t="s">
        <v>343</v>
      </c>
      <c r="T1817" t="s">
        <v>343</v>
      </c>
    </row>
    <row r="1818" spans="2:20" x14ac:dyDescent="0.25">
      <c r="B1818">
        <v>1813</v>
      </c>
      <c r="C1818" t="s">
        <v>2157</v>
      </c>
      <c r="D1818" s="10">
        <v>0.27461174209002909</v>
      </c>
      <c r="E1818" s="10">
        <v>1.0602948590351651</v>
      </c>
      <c r="F1818" s="10">
        <v>0.62906683846595457</v>
      </c>
      <c r="G1818" s="10">
        <v>0.36516738323458048</v>
      </c>
      <c r="H1818" s="6">
        <v>0.18823344937037309</v>
      </c>
      <c r="I1818" s="10">
        <v>8.748516544428778</v>
      </c>
      <c r="J1818" s="7">
        <v>3.2994740794133393E-2</v>
      </c>
      <c r="K1818" s="5">
        <v>0.11532213593963241</v>
      </c>
      <c r="L1818">
        <v>242.6535529266952</v>
      </c>
      <c r="M1818" s="10">
        <v>-0.58898505034249393</v>
      </c>
      <c r="N1818" s="24" t="s">
        <v>343</v>
      </c>
      <c r="O1818" s="24">
        <v>15.66089697945036</v>
      </c>
      <c r="P1818">
        <v>55.150747068542103</v>
      </c>
      <c r="Q1818" t="s">
        <v>47</v>
      </c>
      <c r="R1818" t="s">
        <v>350</v>
      </c>
      <c r="S1818" t="s">
        <v>343</v>
      </c>
      <c r="T1818" t="s">
        <v>343</v>
      </c>
    </row>
    <row r="1819" spans="2:20" x14ac:dyDescent="0.25">
      <c r="B1819">
        <v>1814</v>
      </c>
      <c r="C1819" t="s">
        <v>2158</v>
      </c>
      <c r="D1819" s="10">
        <v>0.17153349375978769</v>
      </c>
      <c r="E1819" s="10">
        <v>0.56686771864879737</v>
      </c>
      <c r="F1819" s="10">
        <v>0.64114644040387891</v>
      </c>
      <c r="G1819" s="10">
        <v>0.37679195829293638</v>
      </c>
      <c r="H1819" s="6">
        <v>0.24970844485118929</v>
      </c>
      <c r="I1819" s="10">
        <v>9.2816889154944846</v>
      </c>
      <c r="J1819" s="7">
        <v>2.1001407955642339E-2</v>
      </c>
      <c r="K1819" s="5">
        <v>0.15057121779672819</v>
      </c>
      <c r="L1819">
        <v>137.23033960093011</v>
      </c>
      <c r="M1819" s="10">
        <v>-0.76755452190062046</v>
      </c>
      <c r="N1819" s="24" t="s">
        <v>343</v>
      </c>
      <c r="O1819" s="24">
        <v>4.9467286859627748</v>
      </c>
      <c r="P1819">
        <v>63.903345811292887</v>
      </c>
      <c r="Q1819" t="s">
        <v>47</v>
      </c>
      <c r="R1819" t="s">
        <v>350</v>
      </c>
      <c r="S1819" t="s">
        <v>343</v>
      </c>
      <c r="T1819" t="s">
        <v>343</v>
      </c>
    </row>
    <row r="1820" spans="2:20" x14ac:dyDescent="0.25">
      <c r="B1820">
        <v>1815</v>
      </c>
      <c r="C1820" t="s">
        <v>2159</v>
      </c>
      <c r="D1820" s="10">
        <v>0.1714010764424414</v>
      </c>
      <c r="E1820" s="10">
        <v>0.88836669701434867</v>
      </c>
      <c r="F1820" s="10">
        <v>0.67933068279474074</v>
      </c>
      <c r="G1820" s="10">
        <v>0.34362416020411007</v>
      </c>
      <c r="H1820" s="6">
        <v>0.20276419614633659</v>
      </c>
      <c r="I1820" s="10">
        <v>8.0844174754159042</v>
      </c>
      <c r="J1820" s="7">
        <v>3.7021548259074992E-2</v>
      </c>
      <c r="K1820" s="5">
        <v>0.15825829727423379</v>
      </c>
      <c r="L1820">
        <v>196.75576184802139</v>
      </c>
      <c r="M1820" s="10">
        <v>-0.66672831048462255</v>
      </c>
      <c r="N1820" s="24" t="s">
        <v>343</v>
      </c>
      <c r="O1820" s="24">
        <v>10.99630137092265</v>
      </c>
      <c r="P1820">
        <v>24.957142403881921</v>
      </c>
      <c r="Q1820" t="s">
        <v>348</v>
      </c>
      <c r="R1820" t="s">
        <v>351</v>
      </c>
      <c r="S1820" t="s">
        <v>343</v>
      </c>
      <c r="T1820" t="s">
        <v>343</v>
      </c>
    </row>
    <row r="1821" spans="2:20" x14ac:dyDescent="0.25">
      <c r="B1821">
        <v>1816</v>
      </c>
      <c r="C1821" t="s">
        <v>2160</v>
      </c>
      <c r="D1821" s="10">
        <v>0.161937356037582</v>
      </c>
      <c r="E1821" s="10">
        <v>1.053138790157448</v>
      </c>
      <c r="F1821" s="10">
        <v>0.59208374965634158</v>
      </c>
      <c r="G1821" s="10">
        <v>0.38571272150688513</v>
      </c>
      <c r="H1821" s="6">
        <v>0.15696677094391659</v>
      </c>
      <c r="I1821" s="10">
        <v>12.564795834187811</v>
      </c>
      <c r="J1821" s="7">
        <v>4.2876052455478923E-2</v>
      </c>
      <c r="K1821" s="5">
        <v>0.18476189324583919</v>
      </c>
      <c r="L1821">
        <v>187.47452598895109</v>
      </c>
      <c r="M1821" s="10">
        <v>-0.68244918760908668</v>
      </c>
      <c r="N1821" s="24" t="s">
        <v>343</v>
      </c>
      <c r="O1821" s="24">
        <v>10.0530487434548</v>
      </c>
      <c r="P1821">
        <v>15.90309491957785</v>
      </c>
      <c r="Q1821" t="s">
        <v>348</v>
      </c>
      <c r="R1821" t="s">
        <v>353</v>
      </c>
      <c r="S1821" t="s">
        <v>343</v>
      </c>
      <c r="T1821" t="s">
        <v>343</v>
      </c>
    </row>
    <row r="1822" spans="2:20" x14ac:dyDescent="0.25">
      <c r="B1822">
        <v>1817</v>
      </c>
      <c r="C1822" t="s">
        <v>2161</v>
      </c>
      <c r="D1822" s="10">
        <v>0.31304022372791679</v>
      </c>
      <c r="E1822" s="10">
        <v>0.79361482593225674</v>
      </c>
      <c r="F1822" s="10">
        <v>0.64265007467836888</v>
      </c>
      <c r="G1822" s="10">
        <v>0.45046565776384928</v>
      </c>
      <c r="H1822" s="6">
        <v>0.1513374625263415</v>
      </c>
      <c r="I1822" s="10">
        <v>3.4144771961950702</v>
      </c>
      <c r="J1822" s="7">
        <v>2.9084086740053999E-2</v>
      </c>
      <c r="K1822" s="5">
        <v>0.1199902999744259</v>
      </c>
      <c r="L1822">
        <v>318.22543988299191</v>
      </c>
      <c r="M1822" s="10">
        <v>-0.46097878404954368</v>
      </c>
      <c r="N1822" s="24" t="s">
        <v>343</v>
      </c>
      <c r="O1822" s="24">
        <v>23.341272957027378</v>
      </c>
      <c r="P1822">
        <v>20.411415959859589</v>
      </c>
      <c r="Q1822" t="s">
        <v>348</v>
      </c>
      <c r="R1822" t="s">
        <v>353</v>
      </c>
      <c r="S1822" t="s">
        <v>343</v>
      </c>
      <c r="T1822" t="s">
        <v>343</v>
      </c>
    </row>
    <row r="1823" spans="2:20" x14ac:dyDescent="0.25">
      <c r="B1823">
        <v>1818</v>
      </c>
      <c r="C1823" t="s">
        <v>2162</v>
      </c>
      <c r="D1823" s="10">
        <v>0.27800133751344108</v>
      </c>
      <c r="E1823" s="10">
        <v>1.249328557232193</v>
      </c>
      <c r="F1823" s="10">
        <v>0.6358059167406247</v>
      </c>
      <c r="G1823" s="10">
        <v>0.36951354979516621</v>
      </c>
      <c r="H1823" s="6">
        <v>0.23293215015634519</v>
      </c>
      <c r="I1823" s="10">
        <v>9.7518946637258637</v>
      </c>
      <c r="J1823" s="7">
        <v>3.3719033065598147E-2</v>
      </c>
      <c r="K1823" s="5">
        <v>0.18321449687456701</v>
      </c>
      <c r="L1823">
        <v>258.92652010392311</v>
      </c>
      <c r="M1823" s="10">
        <v>-0.56142133778005265</v>
      </c>
      <c r="N1823" s="24" t="s">
        <v>343</v>
      </c>
      <c r="O1823" s="24">
        <v>17.314719733196839</v>
      </c>
      <c r="P1823">
        <v>49.637627044181741</v>
      </c>
      <c r="Q1823" t="s">
        <v>346</v>
      </c>
      <c r="R1823" t="s">
        <v>347</v>
      </c>
      <c r="S1823" t="s">
        <v>343</v>
      </c>
      <c r="T1823" t="s">
        <v>343</v>
      </c>
    </row>
    <row r="1824" spans="2:20" x14ac:dyDescent="0.25">
      <c r="B1824">
        <v>1819</v>
      </c>
      <c r="C1824" t="s">
        <v>2163</v>
      </c>
      <c r="D1824" s="10">
        <v>0.2165202253603303</v>
      </c>
      <c r="E1824" s="10">
        <v>1.2564050131244451</v>
      </c>
      <c r="F1824" s="10">
        <v>0.50703035260147011</v>
      </c>
      <c r="G1824" s="10">
        <v>0.25430846113866251</v>
      </c>
      <c r="H1824" s="6">
        <v>0.12191833413781331</v>
      </c>
      <c r="I1824" s="10">
        <v>12.52744847604311</v>
      </c>
      <c r="J1824" s="7">
        <v>1.9512285456459388E-2</v>
      </c>
      <c r="K1824" s="5">
        <v>0.18877690871603861</v>
      </c>
      <c r="L1824">
        <v>219.02196434401941</v>
      </c>
      <c r="M1824" s="10">
        <v>-0.62901304941559899</v>
      </c>
      <c r="N1824" s="24" t="s">
        <v>343</v>
      </c>
      <c r="O1824" s="24">
        <v>13.25921703506406</v>
      </c>
      <c r="P1824">
        <v>57.96488962944003</v>
      </c>
      <c r="Q1824" t="s">
        <v>47</v>
      </c>
      <c r="R1824" t="s">
        <v>350</v>
      </c>
      <c r="S1824" t="s">
        <v>343</v>
      </c>
      <c r="T1824" t="s">
        <v>343</v>
      </c>
    </row>
    <row r="1825" spans="2:20" x14ac:dyDescent="0.25">
      <c r="B1825">
        <v>1820</v>
      </c>
      <c r="C1825" t="s">
        <v>2164</v>
      </c>
      <c r="D1825" s="10">
        <v>0.20744569300602481</v>
      </c>
      <c r="E1825" s="10">
        <v>0.81776033940449033</v>
      </c>
      <c r="F1825" s="10">
        <v>0.52065874126379141</v>
      </c>
      <c r="G1825" s="10">
        <v>0.34843592521700367</v>
      </c>
      <c r="H1825" s="6">
        <v>0.25712881161043238</v>
      </c>
      <c r="I1825" s="10">
        <v>3.4514426500359652</v>
      </c>
      <c r="J1825" s="7">
        <v>4.3978246562494293E-2</v>
      </c>
      <c r="K1825" s="5">
        <v>0.10850129836965899</v>
      </c>
      <c r="L1825">
        <v>150.76042931848039</v>
      </c>
      <c r="M1825" s="10">
        <v>-0.74463678969745573</v>
      </c>
      <c r="N1825" s="24" t="s">
        <v>343</v>
      </c>
      <c r="O1825" s="24">
        <v>6.3217926181526556</v>
      </c>
      <c r="P1825">
        <v>58.054025184909243</v>
      </c>
      <c r="Q1825" t="s">
        <v>47</v>
      </c>
      <c r="R1825" t="s">
        <v>350</v>
      </c>
      <c r="S1825" t="s">
        <v>343</v>
      </c>
      <c r="T1825" t="s">
        <v>343</v>
      </c>
    </row>
    <row r="1826" spans="2:20" x14ac:dyDescent="0.25">
      <c r="B1826">
        <v>1821</v>
      </c>
      <c r="C1826" t="s">
        <v>2165</v>
      </c>
      <c r="D1826" s="10">
        <v>0.21595251675933591</v>
      </c>
      <c r="E1826" s="10">
        <v>1.370218281449789</v>
      </c>
      <c r="F1826" s="10">
        <v>0.56440542289574658</v>
      </c>
      <c r="G1826" s="10">
        <v>0.4584052801154293</v>
      </c>
      <c r="H1826" s="6">
        <v>0.12276269821728041</v>
      </c>
      <c r="I1826" s="10">
        <v>8.4593769936666341</v>
      </c>
      <c r="J1826" s="7">
        <v>1.9579671912502612E-2</v>
      </c>
      <c r="K1826" s="5">
        <v>0.1841020862111421</v>
      </c>
      <c r="L1826">
        <v>218.93817457277311</v>
      </c>
      <c r="M1826" s="10">
        <v>-0.62915497541748611</v>
      </c>
      <c r="N1826" s="24" t="s">
        <v>343</v>
      </c>
      <c r="O1826" s="24">
        <v>13.25070147495083</v>
      </c>
      <c r="P1826">
        <v>50.917712717059658</v>
      </c>
      <c r="Q1826" t="s">
        <v>47</v>
      </c>
      <c r="R1826" t="s">
        <v>350</v>
      </c>
      <c r="S1826" t="s">
        <v>343</v>
      </c>
      <c r="T1826" t="s">
        <v>343</v>
      </c>
    </row>
    <row r="1827" spans="2:20" x14ac:dyDescent="0.25">
      <c r="B1827">
        <v>1822</v>
      </c>
      <c r="C1827" t="s">
        <v>2166</v>
      </c>
      <c r="D1827" s="10">
        <v>0.28394456498898912</v>
      </c>
      <c r="E1827" s="10">
        <v>0.38314360164599198</v>
      </c>
      <c r="F1827" s="10">
        <v>0.4449501315576046</v>
      </c>
      <c r="G1827" s="10">
        <v>0.32522859853073788</v>
      </c>
      <c r="H1827" s="6">
        <v>0.21464835703210561</v>
      </c>
      <c r="I1827" s="10">
        <v>9.4792991217008797</v>
      </c>
      <c r="J1827" s="7">
        <v>4.105931584870863E-2</v>
      </c>
      <c r="K1827" s="5">
        <v>0.124622104617736</v>
      </c>
      <c r="L1827">
        <v>182.8666573139416</v>
      </c>
      <c r="M1827" s="10">
        <v>-0.69025415435548154</v>
      </c>
      <c r="N1827" s="24" t="s">
        <v>343</v>
      </c>
      <c r="O1827" s="24">
        <v>9.5847507386711079</v>
      </c>
      <c r="P1827">
        <v>47.918550474420442</v>
      </c>
      <c r="Q1827" t="s">
        <v>346</v>
      </c>
      <c r="R1827" t="s">
        <v>347</v>
      </c>
      <c r="S1827" t="s">
        <v>343</v>
      </c>
      <c r="T1827" t="s">
        <v>343</v>
      </c>
    </row>
    <row r="1828" spans="2:20" x14ac:dyDescent="0.25">
      <c r="B1828">
        <v>1823</v>
      </c>
      <c r="C1828" t="s">
        <v>2167</v>
      </c>
      <c r="D1828" s="10">
        <v>0.26581929777126628</v>
      </c>
      <c r="E1828" s="10">
        <v>0.30369861615523019</v>
      </c>
      <c r="F1828" s="10">
        <v>0.51732342102100815</v>
      </c>
      <c r="G1828" s="10">
        <v>0.37065387218718387</v>
      </c>
      <c r="H1828" s="6">
        <v>0.21071219421630111</v>
      </c>
      <c r="I1828" s="10">
        <v>5.0999632453434574</v>
      </c>
      <c r="J1828" s="7">
        <v>4.2475418912955171E-2</v>
      </c>
      <c r="K1828" s="5">
        <v>0.10769509019130311</v>
      </c>
      <c r="L1828">
        <v>181.70244830900259</v>
      </c>
      <c r="M1828" s="10">
        <v>-0.69222613168606018</v>
      </c>
      <c r="N1828" s="24" t="s">
        <v>343</v>
      </c>
      <c r="O1828" s="24">
        <v>9.466432098836389</v>
      </c>
      <c r="P1828">
        <v>58.094436097085257</v>
      </c>
      <c r="Q1828" t="s">
        <v>47</v>
      </c>
      <c r="R1828" t="s">
        <v>350</v>
      </c>
      <c r="S1828" t="s">
        <v>343</v>
      </c>
      <c r="T1828" t="s">
        <v>343</v>
      </c>
    </row>
    <row r="1829" spans="2:20" x14ac:dyDescent="0.25">
      <c r="B1829">
        <v>1824</v>
      </c>
      <c r="C1829" t="s">
        <v>2168</v>
      </c>
      <c r="D1829" s="10">
        <v>0.1896312908587949</v>
      </c>
      <c r="E1829" s="10">
        <v>0.71873509018431081</v>
      </c>
      <c r="F1829" s="10">
        <v>0.56320954706950188</v>
      </c>
      <c r="G1829" s="10">
        <v>0.26346008795433967</v>
      </c>
      <c r="H1829" s="6">
        <v>0.20676167265821721</v>
      </c>
      <c r="I1829" s="10">
        <v>5.7775011971508921</v>
      </c>
      <c r="J1829" s="7">
        <v>3.5187000811137757E-2</v>
      </c>
      <c r="K1829" s="5">
        <v>0.1910645638122408</v>
      </c>
      <c r="L1829">
        <v>42.394457955558501</v>
      </c>
      <c r="M1829" s="10">
        <v>-0.92819080622476968</v>
      </c>
      <c r="N1829" s="24" t="s">
        <v>343</v>
      </c>
      <c r="O1829" s="24">
        <v>0</v>
      </c>
      <c r="P1829">
        <v>61.667887312215278</v>
      </c>
      <c r="Q1829" t="s">
        <v>47</v>
      </c>
      <c r="R1829" t="s">
        <v>350</v>
      </c>
      <c r="S1829" t="s">
        <v>343</v>
      </c>
      <c r="T1829" t="s">
        <v>343</v>
      </c>
    </row>
    <row r="1830" spans="2:20" x14ac:dyDescent="0.25">
      <c r="B1830">
        <v>1825</v>
      </c>
      <c r="C1830" t="s">
        <v>2169</v>
      </c>
      <c r="D1830" s="10">
        <v>0.1878574936534535</v>
      </c>
      <c r="E1830" s="10">
        <v>0.9612067675097602</v>
      </c>
      <c r="F1830" s="10">
        <v>0.46809801677309743</v>
      </c>
      <c r="G1830" s="10">
        <v>0.27105970972204468</v>
      </c>
      <c r="H1830" s="6">
        <v>0.19115145763001329</v>
      </c>
      <c r="I1830" s="10">
        <v>11.641526712976869</v>
      </c>
      <c r="J1830" s="7">
        <v>3.8405559970226121E-2</v>
      </c>
      <c r="K1830" s="5">
        <v>0.13725933128871121</v>
      </c>
      <c r="L1830">
        <v>231.1788942443394</v>
      </c>
      <c r="M1830" s="10">
        <v>-0.60842122262920384</v>
      </c>
      <c r="N1830" s="24" t="s">
        <v>343</v>
      </c>
      <c r="O1830" s="24">
        <v>14.49472664224777</v>
      </c>
      <c r="P1830">
        <v>23.896019766973929</v>
      </c>
      <c r="Q1830" t="s">
        <v>348</v>
      </c>
      <c r="R1830" t="s">
        <v>404</v>
      </c>
      <c r="S1830" t="s">
        <v>343</v>
      </c>
      <c r="T1830" t="s">
        <v>343</v>
      </c>
    </row>
    <row r="1831" spans="2:20" x14ac:dyDescent="0.25">
      <c r="B1831">
        <v>1826</v>
      </c>
      <c r="C1831" t="s">
        <v>2170</v>
      </c>
      <c r="D1831" s="10">
        <v>0.17574330395414359</v>
      </c>
      <c r="E1831" s="10">
        <v>0.99212017319462675</v>
      </c>
      <c r="F1831" s="10">
        <v>0.47283173082153263</v>
      </c>
      <c r="G1831" s="10">
        <v>0.43242991969387179</v>
      </c>
      <c r="H1831" s="6">
        <v>0.24786454990329171</v>
      </c>
      <c r="I1831" s="10">
        <v>9.2413755988047228</v>
      </c>
      <c r="J1831" s="7">
        <v>2.6024988272655609E-2</v>
      </c>
      <c r="K1831" s="5">
        <v>0.1591834329880121</v>
      </c>
      <c r="L1831">
        <v>250.03285898461201</v>
      </c>
      <c r="M1831" s="10">
        <v>-0.57648572745469651</v>
      </c>
      <c r="N1831" s="24" t="s">
        <v>343</v>
      </c>
      <c r="O1831" s="24">
        <v>16.410856352718209</v>
      </c>
      <c r="P1831">
        <v>58.316810493686297</v>
      </c>
      <c r="Q1831" t="s">
        <v>47</v>
      </c>
      <c r="R1831" t="s">
        <v>350</v>
      </c>
      <c r="S1831" t="s">
        <v>343</v>
      </c>
      <c r="T1831" t="s">
        <v>343</v>
      </c>
    </row>
    <row r="1832" spans="2:20" x14ac:dyDescent="0.25">
      <c r="B1832">
        <v>1827</v>
      </c>
      <c r="C1832" t="s">
        <v>2171</v>
      </c>
      <c r="D1832" s="10">
        <v>0.26564843515221409</v>
      </c>
      <c r="E1832" s="10">
        <v>0.82409030992321131</v>
      </c>
      <c r="F1832" s="10">
        <v>0.5604415512917087</v>
      </c>
      <c r="G1832" s="10">
        <v>0.30607581821535451</v>
      </c>
      <c r="H1832" s="6">
        <v>0.21889993054357271</v>
      </c>
      <c r="I1832" s="10">
        <v>6.4735656696626922</v>
      </c>
      <c r="J1832" s="7">
        <v>4.2184137630751878E-2</v>
      </c>
      <c r="K1832" s="5">
        <v>0.15252294638055491</v>
      </c>
      <c r="L1832">
        <v>110.3128807036301</v>
      </c>
      <c r="M1832" s="10">
        <v>-0.81314824134195096</v>
      </c>
      <c r="N1832" s="24" t="s">
        <v>343</v>
      </c>
      <c r="O1832" s="24">
        <v>2.211105519482949</v>
      </c>
      <c r="P1832">
        <v>56.274510189806868</v>
      </c>
      <c r="Q1832" t="s">
        <v>47</v>
      </c>
      <c r="R1832" t="s">
        <v>350</v>
      </c>
      <c r="S1832" t="s">
        <v>343</v>
      </c>
      <c r="T1832" t="s">
        <v>343</v>
      </c>
    </row>
    <row r="1833" spans="2:20" x14ac:dyDescent="0.25">
      <c r="B1833">
        <v>1828</v>
      </c>
      <c r="C1833" t="s">
        <v>2172</v>
      </c>
      <c r="D1833" s="10">
        <v>0.28229962595547781</v>
      </c>
      <c r="E1833" s="10">
        <v>0.43737164456471078</v>
      </c>
      <c r="F1833" s="10">
        <v>0.63005090821234211</v>
      </c>
      <c r="G1833" s="10">
        <v>0.30719928013801051</v>
      </c>
      <c r="H1833" s="6">
        <v>0.23727934222490901</v>
      </c>
      <c r="I1833" s="10">
        <v>11.41230744504997</v>
      </c>
      <c r="J1833" s="7">
        <v>3.5992618576369907E-2</v>
      </c>
      <c r="K1833" s="5">
        <v>0.12025228284268411</v>
      </c>
      <c r="L1833">
        <v>170.36526468819321</v>
      </c>
      <c r="M1833" s="10">
        <v>-0.71142944397620655</v>
      </c>
      <c r="N1833" s="24" t="s">
        <v>343</v>
      </c>
      <c r="O1833" s="24">
        <v>8.3142333614276041</v>
      </c>
      <c r="P1833">
        <v>59.936051454006737</v>
      </c>
      <c r="Q1833" t="s">
        <v>47</v>
      </c>
      <c r="R1833" t="s">
        <v>350</v>
      </c>
      <c r="S1833" t="s">
        <v>343</v>
      </c>
      <c r="T1833" t="s">
        <v>343</v>
      </c>
    </row>
    <row r="1834" spans="2:20" x14ac:dyDescent="0.25">
      <c r="B1834">
        <v>1829</v>
      </c>
      <c r="C1834" t="s">
        <v>2173</v>
      </c>
      <c r="D1834" s="10">
        <v>0.20240742853200061</v>
      </c>
      <c r="E1834" s="10">
        <v>0.48754727396668363</v>
      </c>
      <c r="F1834" s="10">
        <v>0.65677472203937759</v>
      </c>
      <c r="G1834" s="10">
        <v>0.32518685912051221</v>
      </c>
      <c r="H1834" s="6">
        <v>0.13732827089687849</v>
      </c>
      <c r="I1834" s="10">
        <v>11.213871316246699</v>
      </c>
      <c r="J1834" s="7">
        <v>2.1436039703702361E-2</v>
      </c>
      <c r="K1834" s="5">
        <v>0.16360874417587121</v>
      </c>
      <c r="L1834">
        <v>180.0493130570616</v>
      </c>
      <c r="M1834" s="10">
        <v>-0.6950262691419451</v>
      </c>
      <c r="N1834" s="24" t="s">
        <v>343</v>
      </c>
      <c r="O1834" s="24">
        <v>9.298423851483296</v>
      </c>
      <c r="P1834">
        <v>30.039847453086139</v>
      </c>
      <c r="Q1834" t="s">
        <v>348</v>
      </c>
      <c r="R1834" t="s">
        <v>351</v>
      </c>
      <c r="S1834" t="s">
        <v>343</v>
      </c>
      <c r="T1834" t="s">
        <v>343</v>
      </c>
    </row>
    <row r="1835" spans="2:20" x14ac:dyDescent="0.25">
      <c r="B1835">
        <v>1830</v>
      </c>
      <c r="C1835" t="s">
        <v>2174</v>
      </c>
      <c r="D1835" s="10">
        <v>0.16335119376494611</v>
      </c>
      <c r="E1835" s="10">
        <v>1.23736278223721</v>
      </c>
      <c r="F1835" s="10">
        <v>0.58204161335123461</v>
      </c>
      <c r="G1835" s="10">
        <v>0.45262530803899498</v>
      </c>
      <c r="H1835" s="6">
        <v>0.12748479561861639</v>
      </c>
      <c r="I1835" s="10">
        <v>6.7994196383922798</v>
      </c>
      <c r="J1835" s="7">
        <v>1.1223080867940421E-2</v>
      </c>
      <c r="K1835" s="5">
        <v>0.10438092395569019</v>
      </c>
      <c r="L1835">
        <v>280.64393535608258</v>
      </c>
      <c r="M1835" s="10">
        <v>-0.52463563145555425</v>
      </c>
      <c r="N1835" s="24" t="s">
        <v>343</v>
      </c>
      <c r="O1835" s="24">
        <v>19.521862112666749</v>
      </c>
      <c r="P1835">
        <v>47.412142755749201</v>
      </c>
      <c r="Q1835" t="s">
        <v>346</v>
      </c>
      <c r="R1835" t="s">
        <v>347</v>
      </c>
      <c r="S1835" t="s">
        <v>343</v>
      </c>
      <c r="T1835" t="s">
        <v>343</v>
      </c>
    </row>
    <row r="1836" spans="2:20" x14ac:dyDescent="0.25">
      <c r="B1836">
        <v>1831</v>
      </c>
      <c r="C1836" t="s">
        <v>2175</v>
      </c>
      <c r="D1836" s="10">
        <v>0.17314746679622839</v>
      </c>
      <c r="E1836" s="10">
        <v>1.254702244913187</v>
      </c>
      <c r="F1836" s="10">
        <v>0.56343473676215006</v>
      </c>
      <c r="G1836" s="10">
        <v>0.25856590912811278</v>
      </c>
      <c r="H1836" s="6">
        <v>0.1242792763394668</v>
      </c>
      <c r="I1836" s="10">
        <v>8.3751239349420139</v>
      </c>
      <c r="J1836" s="7">
        <v>2.892741292249083E-2</v>
      </c>
      <c r="K1836" s="5">
        <v>0.1192940179996394</v>
      </c>
      <c r="L1836">
        <v>146.1289862461517</v>
      </c>
      <c r="M1836" s="10">
        <v>-0.75248168757039091</v>
      </c>
      <c r="N1836" s="24" t="s">
        <v>343</v>
      </c>
      <c r="O1836" s="24">
        <v>5.8510987457765467</v>
      </c>
      <c r="P1836">
        <v>60.250192812254717</v>
      </c>
      <c r="Q1836" t="s">
        <v>47</v>
      </c>
      <c r="R1836" t="s">
        <v>350</v>
      </c>
      <c r="S1836" t="s">
        <v>343</v>
      </c>
      <c r="T1836" t="s">
        <v>343</v>
      </c>
    </row>
    <row r="1837" spans="2:20" x14ac:dyDescent="0.25">
      <c r="B1837">
        <v>1832</v>
      </c>
      <c r="C1837" t="s">
        <v>2176</v>
      </c>
      <c r="D1837" s="10">
        <v>0.31485760557520492</v>
      </c>
      <c r="E1837" s="10">
        <v>1.0412883916467921</v>
      </c>
      <c r="F1837" s="10">
        <v>0.53991294779953636</v>
      </c>
      <c r="G1837" s="10">
        <v>0.42012810256129368</v>
      </c>
      <c r="H1837" s="6">
        <v>0.14208089782103889</v>
      </c>
      <c r="I1837" s="10">
        <v>10.309708268913569</v>
      </c>
      <c r="J1837" s="7">
        <v>3.9422761365939377E-2</v>
      </c>
      <c r="K1837" s="5">
        <v>0.18974305633872471</v>
      </c>
      <c r="L1837">
        <v>204.40943923105311</v>
      </c>
      <c r="M1837" s="10">
        <v>-0.653764247991658</v>
      </c>
      <c r="N1837" s="24" t="s">
        <v>343</v>
      </c>
      <c r="O1837" s="24">
        <v>11.774145120500521</v>
      </c>
      <c r="P1837">
        <v>48.317610348533883</v>
      </c>
      <c r="Q1837" t="s">
        <v>346</v>
      </c>
      <c r="R1837" t="s">
        <v>347</v>
      </c>
      <c r="S1837" t="s">
        <v>343</v>
      </c>
      <c r="T1837" t="s">
        <v>343</v>
      </c>
    </row>
    <row r="1838" spans="2:20" x14ac:dyDescent="0.25">
      <c r="B1838">
        <v>1833</v>
      </c>
      <c r="C1838" t="s">
        <v>2177</v>
      </c>
      <c r="D1838" s="10">
        <v>0.20727116439638721</v>
      </c>
      <c r="E1838" s="10">
        <v>1.0306397695067699</v>
      </c>
      <c r="F1838" s="10">
        <v>0.49016673803377758</v>
      </c>
      <c r="G1838" s="10">
        <v>0.31514273282251698</v>
      </c>
      <c r="H1838" s="6">
        <v>0.22005118353816239</v>
      </c>
      <c r="I1838" s="10">
        <v>6.7757413967021751</v>
      </c>
      <c r="J1838" s="7">
        <v>4.0123384160530552E-2</v>
      </c>
      <c r="K1838" s="5">
        <v>0.19058321483612281</v>
      </c>
      <c r="L1838">
        <v>84.836335562201924</v>
      </c>
      <c r="M1838" s="10">
        <v>-0.8563012914104764</v>
      </c>
      <c r="N1838" s="24" t="s">
        <v>343</v>
      </c>
      <c r="O1838" s="24">
        <v>0</v>
      </c>
      <c r="P1838">
        <v>61.735509497184061</v>
      </c>
      <c r="Q1838" t="s">
        <v>47</v>
      </c>
      <c r="R1838" t="s">
        <v>350</v>
      </c>
      <c r="S1838" t="s">
        <v>343</v>
      </c>
      <c r="T1838" t="s">
        <v>343</v>
      </c>
    </row>
    <row r="1839" spans="2:20" x14ac:dyDescent="0.25">
      <c r="B1839">
        <v>1834</v>
      </c>
      <c r="C1839" t="s">
        <v>2178</v>
      </c>
      <c r="D1839" s="10">
        <v>0.2830757036541014</v>
      </c>
      <c r="E1839" s="10">
        <v>0.95745034083058811</v>
      </c>
      <c r="F1839" s="10">
        <v>0.47810612073173481</v>
      </c>
      <c r="G1839" s="10">
        <v>0.42688296571680451</v>
      </c>
      <c r="H1839" s="6">
        <v>0.19410326336117559</v>
      </c>
      <c r="I1839" s="10">
        <v>9.9191035210129463</v>
      </c>
      <c r="J1839" s="7">
        <v>3.9229155391923808E-2</v>
      </c>
      <c r="K1839" s="5">
        <v>0.14585224322227811</v>
      </c>
      <c r="L1839">
        <v>216.5705166475453</v>
      </c>
      <c r="M1839" s="10">
        <v>-0.63316539599944921</v>
      </c>
      <c r="N1839" s="24" t="s">
        <v>343</v>
      </c>
      <c r="O1839" s="24">
        <v>13.010076240033049</v>
      </c>
      <c r="P1839">
        <v>52.67672223746343</v>
      </c>
      <c r="Q1839" t="s">
        <v>47</v>
      </c>
      <c r="R1839" t="s">
        <v>350</v>
      </c>
      <c r="S1839" t="s">
        <v>343</v>
      </c>
      <c r="T1839" t="s">
        <v>343</v>
      </c>
    </row>
    <row r="1840" spans="2:20" x14ac:dyDescent="0.25">
      <c r="B1840">
        <v>1835</v>
      </c>
      <c r="C1840" t="s">
        <v>2179</v>
      </c>
      <c r="D1840" s="10">
        <v>0.25994617101668221</v>
      </c>
      <c r="E1840" s="10">
        <v>0.52321847427218704</v>
      </c>
      <c r="F1840" s="10">
        <v>0.64589307743207014</v>
      </c>
      <c r="G1840" s="10">
        <v>0.45818624289099941</v>
      </c>
      <c r="H1840" s="6">
        <v>0.23283783842431069</v>
      </c>
      <c r="I1840" s="10">
        <v>5.7618110380495029</v>
      </c>
      <c r="J1840" s="7">
        <v>1.7516126989739152E-2</v>
      </c>
      <c r="K1840" s="5">
        <v>0.116061815196809</v>
      </c>
      <c r="L1840">
        <v>175.29197136196839</v>
      </c>
      <c r="M1840" s="10">
        <v>-0.70308441844051728</v>
      </c>
      <c r="N1840" s="24" t="s">
        <v>343</v>
      </c>
      <c r="O1840" s="24">
        <v>8.8149348935689673</v>
      </c>
      <c r="P1840">
        <v>54.392271928655219</v>
      </c>
      <c r="Q1840" t="s">
        <v>47</v>
      </c>
      <c r="R1840" t="s">
        <v>350</v>
      </c>
      <c r="S1840" t="s">
        <v>343</v>
      </c>
      <c r="T1840" t="s">
        <v>343</v>
      </c>
    </row>
    <row r="1841" spans="2:20" x14ac:dyDescent="0.25">
      <c r="B1841">
        <v>1836</v>
      </c>
      <c r="C1841" t="s">
        <v>2180</v>
      </c>
      <c r="D1841" s="10">
        <v>0.22111034234446339</v>
      </c>
      <c r="E1841" s="10">
        <v>0.77107577028589347</v>
      </c>
      <c r="F1841" s="10">
        <v>0.56090172437520736</v>
      </c>
      <c r="G1841" s="10">
        <v>0.31670683024658453</v>
      </c>
      <c r="H1841" s="6">
        <v>0.14875955051131609</v>
      </c>
      <c r="I1841" s="10">
        <v>6.2122291023708476</v>
      </c>
      <c r="J1841" s="7">
        <v>2.4915196785996411E-2</v>
      </c>
      <c r="K1841" s="5">
        <v>0.14005390579832061</v>
      </c>
      <c r="L1841">
        <v>189.9996706455847</v>
      </c>
      <c r="M1841" s="10">
        <v>-0.67817201057456078</v>
      </c>
      <c r="N1841" s="24" t="s">
        <v>343</v>
      </c>
      <c r="O1841" s="24">
        <v>10.30967936552635</v>
      </c>
      <c r="P1841">
        <v>63.974309434236901</v>
      </c>
      <c r="Q1841" t="s">
        <v>47</v>
      </c>
      <c r="R1841" t="s">
        <v>350</v>
      </c>
      <c r="S1841" t="s">
        <v>343</v>
      </c>
      <c r="T1841" t="s">
        <v>343</v>
      </c>
    </row>
    <row r="1842" spans="2:20" x14ac:dyDescent="0.25">
      <c r="B1842">
        <v>1837</v>
      </c>
      <c r="C1842" t="s">
        <v>2181</v>
      </c>
      <c r="D1842" s="10">
        <v>0.19290996195128879</v>
      </c>
      <c r="E1842" s="10">
        <v>1.065484116609716</v>
      </c>
      <c r="F1842" s="10">
        <v>0.6454832638247362</v>
      </c>
      <c r="G1842" s="10">
        <v>0.26845840056671821</v>
      </c>
      <c r="H1842" s="6">
        <v>0.17504445629556931</v>
      </c>
      <c r="I1842" s="10">
        <v>6.4173990771188834</v>
      </c>
      <c r="J1842" s="7">
        <v>3.1483904931351538E-2</v>
      </c>
      <c r="K1842" s="5">
        <v>0.1833217291627304</v>
      </c>
      <c r="L1842">
        <v>115.5665933511944</v>
      </c>
      <c r="M1842" s="10">
        <v>-0.80424932181940834</v>
      </c>
      <c r="N1842" s="24" t="s">
        <v>343</v>
      </c>
      <c r="O1842" s="24">
        <v>2.7450406908355021</v>
      </c>
      <c r="P1842">
        <v>57.833180653148823</v>
      </c>
      <c r="Q1842" t="s">
        <v>47</v>
      </c>
      <c r="R1842" t="s">
        <v>350</v>
      </c>
      <c r="S1842" t="s">
        <v>343</v>
      </c>
      <c r="T1842" t="s">
        <v>343</v>
      </c>
    </row>
    <row r="1843" spans="2:20" x14ac:dyDescent="0.25">
      <c r="B1843">
        <v>1838</v>
      </c>
      <c r="C1843" t="s">
        <v>2182</v>
      </c>
      <c r="D1843" s="10">
        <v>0.17942182690550501</v>
      </c>
      <c r="E1843" s="10">
        <v>0.89097749920367253</v>
      </c>
      <c r="F1843" s="10">
        <v>0.62306158933416367</v>
      </c>
      <c r="G1843" s="10">
        <v>0.27176260955624421</v>
      </c>
      <c r="H1843" s="6">
        <v>0.25327463228243169</v>
      </c>
      <c r="I1843" s="10">
        <v>13.296602474570649</v>
      </c>
      <c r="J1843" s="7">
        <v>3.3364477222381159E-2</v>
      </c>
      <c r="K1843" s="5">
        <v>0.10667603517142391</v>
      </c>
      <c r="L1843">
        <v>274.36579785389711</v>
      </c>
      <c r="M1843" s="10">
        <v>-0.53526975709798086</v>
      </c>
      <c r="N1843" s="24" t="s">
        <v>343</v>
      </c>
      <c r="O1843" s="24">
        <v>18.88381457412115</v>
      </c>
      <c r="P1843">
        <v>52.748890527054151</v>
      </c>
      <c r="Q1843" t="s">
        <v>47</v>
      </c>
      <c r="R1843" t="s">
        <v>350</v>
      </c>
      <c r="S1843" t="s">
        <v>343</v>
      </c>
      <c r="T1843" t="s">
        <v>343</v>
      </c>
    </row>
    <row r="1844" spans="2:20" x14ac:dyDescent="0.25">
      <c r="B1844">
        <v>1839</v>
      </c>
      <c r="C1844" t="s">
        <v>2183</v>
      </c>
      <c r="D1844" s="10">
        <v>0.25840207488621869</v>
      </c>
      <c r="E1844" s="10">
        <v>0.32043836746060911</v>
      </c>
      <c r="F1844" s="10">
        <v>0.49041293773967848</v>
      </c>
      <c r="G1844" s="10">
        <v>0.40692299600882093</v>
      </c>
      <c r="H1844" s="6">
        <v>0.26035718190427998</v>
      </c>
      <c r="I1844" s="10">
        <v>12.170393563184151</v>
      </c>
      <c r="J1844" s="7">
        <v>2.1710419756916489E-2</v>
      </c>
      <c r="K1844" s="5">
        <v>0.1121475148305338</v>
      </c>
      <c r="L1844">
        <v>115.9737013636941</v>
      </c>
      <c r="M1844" s="10">
        <v>-0.80355974823911436</v>
      </c>
      <c r="N1844" s="24" t="s">
        <v>343</v>
      </c>
      <c r="O1844" s="24">
        <v>2.7864151056531341</v>
      </c>
      <c r="P1844">
        <v>16.176558712584288</v>
      </c>
      <c r="Q1844" t="s">
        <v>348</v>
      </c>
      <c r="R1844" t="s">
        <v>371</v>
      </c>
      <c r="S1844" t="s">
        <v>343</v>
      </c>
      <c r="T1844" t="s">
        <v>343</v>
      </c>
    </row>
    <row r="1845" spans="2:20" x14ac:dyDescent="0.25">
      <c r="B1845">
        <v>1840</v>
      </c>
      <c r="C1845" t="s">
        <v>2184</v>
      </c>
      <c r="D1845" s="10">
        <v>0.28394140490204611</v>
      </c>
      <c r="E1845" s="10">
        <v>1.3489124873921079</v>
      </c>
      <c r="F1845" s="10">
        <v>0.5726798886949187</v>
      </c>
      <c r="G1845" s="10">
        <v>0.27188274151439001</v>
      </c>
      <c r="H1845" s="6">
        <v>0.25825937324837578</v>
      </c>
      <c r="I1845" s="10">
        <v>9.2168257314808493</v>
      </c>
      <c r="J1845" s="7">
        <v>3.4242481331266138E-2</v>
      </c>
      <c r="K1845" s="5">
        <v>0.18508702035632579</v>
      </c>
      <c r="L1845">
        <v>155.25299955614301</v>
      </c>
      <c r="M1845" s="10">
        <v>-0.73702711941736088</v>
      </c>
      <c r="N1845" s="24" t="s">
        <v>343</v>
      </c>
      <c r="O1845" s="24">
        <v>6.7783728349583541</v>
      </c>
      <c r="P1845">
        <v>48.553548194636377</v>
      </c>
      <c r="Q1845" t="s">
        <v>346</v>
      </c>
      <c r="R1845" t="s">
        <v>347</v>
      </c>
      <c r="S1845" t="s">
        <v>343</v>
      </c>
      <c r="T1845" t="s">
        <v>343</v>
      </c>
    </row>
    <row r="1846" spans="2:20" x14ac:dyDescent="0.25">
      <c r="B1846">
        <v>1841</v>
      </c>
      <c r="C1846" t="s">
        <v>2185</v>
      </c>
      <c r="D1846" s="10">
        <v>0.2630246805665809</v>
      </c>
      <c r="E1846" s="10">
        <v>1.229297657829358</v>
      </c>
      <c r="F1846" s="10">
        <v>0.55544432390989695</v>
      </c>
      <c r="G1846" s="10">
        <v>0.29729274507761999</v>
      </c>
      <c r="H1846" s="6">
        <v>0.24274575663011441</v>
      </c>
      <c r="I1846" s="10">
        <v>9.2025943035269311</v>
      </c>
      <c r="J1846" s="7">
        <v>3.068139526136645E-2</v>
      </c>
      <c r="K1846" s="5">
        <v>0.1394614230658108</v>
      </c>
      <c r="L1846">
        <v>118.8345894201359</v>
      </c>
      <c r="M1846" s="10">
        <v>-0.79871387746445732</v>
      </c>
      <c r="N1846" s="24" t="s">
        <v>343</v>
      </c>
      <c r="O1846" s="24">
        <v>3.0771673521325549</v>
      </c>
      <c r="P1846">
        <v>47.870630508576554</v>
      </c>
      <c r="Q1846" t="s">
        <v>346</v>
      </c>
      <c r="R1846" t="s">
        <v>347</v>
      </c>
      <c r="S1846" t="s">
        <v>343</v>
      </c>
      <c r="T1846" t="s">
        <v>343</v>
      </c>
    </row>
    <row r="1847" spans="2:20" x14ac:dyDescent="0.25">
      <c r="B1847">
        <v>1842</v>
      </c>
      <c r="C1847" t="s">
        <v>2186</v>
      </c>
      <c r="D1847" s="10">
        <v>0.2448483413198653</v>
      </c>
      <c r="E1847" s="10">
        <v>0.58659951552071155</v>
      </c>
      <c r="F1847" s="10">
        <v>0.55020711158358115</v>
      </c>
      <c r="G1847" s="10">
        <v>0.28496763560565752</v>
      </c>
      <c r="H1847" s="6">
        <v>0.2232353817896838</v>
      </c>
      <c r="I1847" s="10">
        <v>3.6176117426065661</v>
      </c>
      <c r="J1847" s="7">
        <v>2.9837145114715299E-2</v>
      </c>
      <c r="K1847" s="5">
        <v>0.10792856748852581</v>
      </c>
      <c r="L1847">
        <v>113.3265483965649</v>
      </c>
      <c r="M1847" s="10">
        <v>-0.80804358715429825</v>
      </c>
      <c r="N1847" s="24" t="s">
        <v>343</v>
      </c>
      <c r="O1847" s="24">
        <v>2.5173847707421122</v>
      </c>
      <c r="P1847">
        <v>56.398696716419373</v>
      </c>
      <c r="Q1847" t="s">
        <v>47</v>
      </c>
      <c r="R1847" t="s">
        <v>350</v>
      </c>
      <c r="S1847" t="s">
        <v>343</v>
      </c>
      <c r="T1847" t="s">
        <v>343</v>
      </c>
    </row>
    <row r="1848" spans="2:20" x14ac:dyDescent="0.25">
      <c r="B1848">
        <v>1843</v>
      </c>
      <c r="C1848" t="s">
        <v>2187</v>
      </c>
      <c r="D1848" s="10">
        <v>0.16671219574906179</v>
      </c>
      <c r="E1848" s="10">
        <v>0.9781048286829257</v>
      </c>
      <c r="F1848" s="10">
        <v>0.58106847279299156</v>
      </c>
      <c r="G1848" s="10">
        <v>0.31824928408681619</v>
      </c>
      <c r="H1848" s="6">
        <v>0.2570516841041196</v>
      </c>
      <c r="I1848" s="10">
        <v>10.14458869597563</v>
      </c>
      <c r="J1848" s="7">
        <v>3.3205868830734703E-2</v>
      </c>
      <c r="K1848" s="5">
        <v>0.1132248623315283</v>
      </c>
      <c r="L1848">
        <v>299.98021833517242</v>
      </c>
      <c r="M1848" s="10">
        <v>-0.49188316902771262</v>
      </c>
      <c r="N1848" s="24" t="s">
        <v>343</v>
      </c>
      <c r="O1848" s="24">
        <v>21.487009858337249</v>
      </c>
      <c r="P1848">
        <v>13.60911534151148</v>
      </c>
      <c r="Q1848" t="s">
        <v>348</v>
      </c>
      <c r="R1848" t="s">
        <v>375</v>
      </c>
      <c r="S1848" t="s">
        <v>343</v>
      </c>
      <c r="T1848" t="s">
        <v>343</v>
      </c>
    </row>
    <row r="1849" spans="2:20" x14ac:dyDescent="0.25">
      <c r="B1849">
        <v>1844</v>
      </c>
      <c r="C1849" t="s">
        <v>2188</v>
      </c>
      <c r="D1849" s="10">
        <v>0.31495820441510142</v>
      </c>
      <c r="E1849" s="10">
        <v>1.3155633221010059</v>
      </c>
      <c r="F1849" s="10">
        <v>0.69534129427961378</v>
      </c>
      <c r="G1849" s="10">
        <v>0.25636064653293122</v>
      </c>
      <c r="H1849" s="6">
        <v>0.22712723877489591</v>
      </c>
      <c r="I1849" s="10">
        <v>6.6093184306107347</v>
      </c>
      <c r="J1849" s="7">
        <v>3.1117877510316121E-2</v>
      </c>
      <c r="K1849" s="5">
        <v>0.18383257690627541</v>
      </c>
      <c r="L1849">
        <v>190.0085992631</v>
      </c>
      <c r="M1849" s="10">
        <v>-0.67815688697453802</v>
      </c>
      <c r="N1849" s="24" t="s">
        <v>343</v>
      </c>
      <c r="O1849" s="24">
        <v>10.31058678152772</v>
      </c>
      <c r="P1849">
        <v>47.912263618726378</v>
      </c>
      <c r="Q1849" t="s">
        <v>346</v>
      </c>
      <c r="R1849" t="s">
        <v>347</v>
      </c>
      <c r="S1849" t="s">
        <v>343</v>
      </c>
      <c r="T1849" t="s">
        <v>343</v>
      </c>
    </row>
    <row r="1850" spans="2:20" x14ac:dyDescent="0.25">
      <c r="B1850">
        <v>1845</v>
      </c>
      <c r="C1850" t="s">
        <v>2189</v>
      </c>
      <c r="D1850" s="10">
        <v>0.28779427066473201</v>
      </c>
      <c r="E1850" s="10">
        <v>0.40561211332501651</v>
      </c>
      <c r="F1850" s="10">
        <v>0.65135415539439379</v>
      </c>
      <c r="G1850" s="10">
        <v>0.42848334612959682</v>
      </c>
      <c r="H1850" s="6">
        <v>0.26309043730882409</v>
      </c>
      <c r="I1850" s="10">
        <v>9.7352929834308757</v>
      </c>
      <c r="J1850" s="7">
        <v>1.5840612213053169E-2</v>
      </c>
      <c r="K1850" s="5">
        <v>0.1465598203043286</v>
      </c>
      <c r="L1850">
        <v>127.054176464393</v>
      </c>
      <c r="M1850" s="10">
        <v>-0.78479125768636815</v>
      </c>
      <c r="N1850" s="24" t="s">
        <v>343</v>
      </c>
      <c r="O1850" s="24">
        <v>3.912524538817912</v>
      </c>
      <c r="P1850">
        <v>52.508698640485882</v>
      </c>
      <c r="Q1850" t="s">
        <v>47</v>
      </c>
      <c r="R1850" t="s">
        <v>350</v>
      </c>
      <c r="S1850" t="s">
        <v>343</v>
      </c>
      <c r="T1850" t="s">
        <v>343</v>
      </c>
    </row>
    <row r="1851" spans="2:20" x14ac:dyDescent="0.25">
      <c r="B1851">
        <v>1846</v>
      </c>
      <c r="C1851" t="s">
        <v>2190</v>
      </c>
      <c r="D1851" s="10">
        <v>0.20685152587215441</v>
      </c>
      <c r="E1851" s="10">
        <v>0.85333242887637062</v>
      </c>
      <c r="F1851" s="10">
        <v>0.67496523222390181</v>
      </c>
      <c r="G1851" s="10">
        <v>0.42923218859621859</v>
      </c>
      <c r="H1851" s="6">
        <v>0.1237182498055333</v>
      </c>
      <c r="I1851" s="10">
        <v>12.2425712254836</v>
      </c>
      <c r="J1851" s="7">
        <v>4.0604571457784802E-2</v>
      </c>
      <c r="K1851" s="5">
        <v>0.1154844592468182</v>
      </c>
      <c r="L1851">
        <v>330.36874716719137</v>
      </c>
      <c r="M1851" s="10">
        <v>-0.44041003171976151</v>
      </c>
      <c r="N1851" s="24" t="s">
        <v>343</v>
      </c>
      <c r="O1851" s="24">
        <v>24.575398096814311</v>
      </c>
      <c r="P1851">
        <v>51.58739444296323</v>
      </c>
      <c r="Q1851" t="s">
        <v>47</v>
      </c>
      <c r="R1851" t="s">
        <v>350</v>
      </c>
      <c r="S1851" t="s">
        <v>343</v>
      </c>
      <c r="T1851" t="s">
        <v>343</v>
      </c>
    </row>
    <row r="1852" spans="2:20" x14ac:dyDescent="0.25">
      <c r="B1852">
        <v>1847</v>
      </c>
      <c r="C1852" t="s">
        <v>2191</v>
      </c>
      <c r="D1852" s="10">
        <v>0.3167952526974161</v>
      </c>
      <c r="E1852" s="10">
        <v>0.8018673284309239</v>
      </c>
      <c r="F1852" s="10">
        <v>0.44770629162576969</v>
      </c>
      <c r="G1852" s="10">
        <v>0.33084523766619178</v>
      </c>
      <c r="H1852" s="6">
        <v>0.25824631288418659</v>
      </c>
      <c r="I1852" s="10">
        <v>3.5004813644598332</v>
      </c>
      <c r="J1852" s="7">
        <v>1.8419941371538091E-2</v>
      </c>
      <c r="K1852" s="5">
        <v>0.18493567671817099</v>
      </c>
      <c r="L1852">
        <v>45.658241972345863</v>
      </c>
      <c r="M1852" s="10">
        <v>-0.9226624963889023</v>
      </c>
      <c r="N1852" s="24" t="s">
        <v>343</v>
      </c>
      <c r="O1852" s="24">
        <v>0</v>
      </c>
      <c r="P1852">
        <v>51.38373208328828</v>
      </c>
      <c r="Q1852" t="s">
        <v>47</v>
      </c>
      <c r="R1852" t="s">
        <v>350</v>
      </c>
      <c r="S1852" t="s">
        <v>343</v>
      </c>
      <c r="T1852" t="s">
        <v>343</v>
      </c>
    </row>
    <row r="1853" spans="2:20" x14ac:dyDescent="0.25">
      <c r="B1853">
        <v>1848</v>
      </c>
      <c r="C1853" t="s">
        <v>2192</v>
      </c>
      <c r="D1853" s="10">
        <v>0.25630105434181161</v>
      </c>
      <c r="E1853" s="10">
        <v>0.75122550581188552</v>
      </c>
      <c r="F1853" s="10">
        <v>0.47648745536605153</v>
      </c>
      <c r="G1853" s="10">
        <v>0.37465926518516462</v>
      </c>
      <c r="H1853" s="6">
        <v>0.2033610804209062</v>
      </c>
      <c r="I1853" s="10">
        <v>9.6776985375202393</v>
      </c>
      <c r="J1853" s="7">
        <v>3.6057107343133797E-2</v>
      </c>
      <c r="K1853" s="5">
        <v>0.18030149447198199</v>
      </c>
      <c r="L1853">
        <v>202.56559493022999</v>
      </c>
      <c r="M1853" s="10">
        <v>-0.65688741500627013</v>
      </c>
      <c r="N1853" s="24" t="s">
        <v>343</v>
      </c>
      <c r="O1853" s="24">
        <v>11.58675509962379</v>
      </c>
      <c r="P1853">
        <v>59.873150458127583</v>
      </c>
      <c r="Q1853" t="s">
        <v>47</v>
      </c>
      <c r="R1853" t="s">
        <v>350</v>
      </c>
      <c r="S1853" t="s">
        <v>343</v>
      </c>
      <c r="T1853" t="s">
        <v>343</v>
      </c>
    </row>
    <row r="1854" spans="2:20" x14ac:dyDescent="0.25">
      <c r="B1854">
        <v>1849</v>
      </c>
      <c r="C1854" t="s">
        <v>2193</v>
      </c>
      <c r="D1854" s="10">
        <v>0.25318762531315941</v>
      </c>
      <c r="E1854" s="10">
        <v>1.2191474697822171</v>
      </c>
      <c r="F1854" s="10">
        <v>0.46203855165838648</v>
      </c>
      <c r="G1854" s="10">
        <v>0.38122934559894711</v>
      </c>
      <c r="H1854" s="6">
        <v>0.13676966277306871</v>
      </c>
      <c r="I1854" s="10">
        <v>9.2062067602343927</v>
      </c>
      <c r="J1854" s="7">
        <v>1.6175983553545919E-2</v>
      </c>
      <c r="K1854" s="5">
        <v>0.1021872183248889</v>
      </c>
      <c r="L1854">
        <v>311.16602826089269</v>
      </c>
      <c r="M1854" s="10">
        <v>-0.47293625871856387</v>
      </c>
      <c r="N1854" s="24" t="s">
        <v>343</v>
      </c>
      <c r="O1854" s="24">
        <v>22.62382447688617</v>
      </c>
      <c r="P1854">
        <v>51.738964648087652</v>
      </c>
      <c r="Q1854" t="s">
        <v>47</v>
      </c>
      <c r="R1854" t="s">
        <v>350</v>
      </c>
      <c r="S1854" t="s">
        <v>343</v>
      </c>
      <c r="T1854" t="s">
        <v>343</v>
      </c>
    </row>
    <row r="1855" spans="2:20" x14ac:dyDescent="0.25">
      <c r="B1855">
        <v>1850</v>
      </c>
      <c r="C1855" t="s">
        <v>2194</v>
      </c>
      <c r="D1855" s="10">
        <v>0.27969170870872517</v>
      </c>
      <c r="E1855" s="10">
        <v>0.71871076136720302</v>
      </c>
      <c r="F1855" s="10">
        <v>0.50844006131697195</v>
      </c>
      <c r="G1855" s="10">
        <v>0.40483678537610429</v>
      </c>
      <c r="H1855" s="6">
        <v>0.15223669046059421</v>
      </c>
      <c r="I1855" s="10">
        <v>5.2744321075237686</v>
      </c>
      <c r="J1855" s="7">
        <v>3.313382445014295E-2</v>
      </c>
      <c r="K1855" s="5">
        <v>0.1551940602361998</v>
      </c>
      <c r="L1855">
        <v>163.40343566837299</v>
      </c>
      <c r="M1855" s="10">
        <v>-0.72322162987084282</v>
      </c>
      <c r="N1855" s="24" t="s">
        <v>343</v>
      </c>
      <c r="O1855" s="24">
        <v>7.6067022077494357</v>
      </c>
      <c r="P1855">
        <v>60.09124646377925</v>
      </c>
      <c r="Q1855" t="s">
        <v>47</v>
      </c>
      <c r="R1855" t="s">
        <v>350</v>
      </c>
      <c r="S1855" t="s">
        <v>343</v>
      </c>
      <c r="T1855" t="s">
        <v>343</v>
      </c>
    </row>
    <row r="1856" spans="2:20" x14ac:dyDescent="0.25">
      <c r="B1856">
        <v>1851</v>
      </c>
      <c r="C1856" t="s">
        <v>2195</v>
      </c>
      <c r="D1856" s="10">
        <v>0.289883166094422</v>
      </c>
      <c r="E1856" s="10">
        <v>0.37002966656510827</v>
      </c>
      <c r="F1856" s="10">
        <v>0.55489204791132907</v>
      </c>
      <c r="G1856" s="10">
        <v>0.35455181925969131</v>
      </c>
      <c r="H1856" s="6">
        <v>0.24782389258723711</v>
      </c>
      <c r="I1856" s="10">
        <v>10.11076243861147</v>
      </c>
      <c r="J1856" s="7">
        <v>4.1348931557970467E-2</v>
      </c>
      <c r="K1856" s="5">
        <v>0.1232119817861672</v>
      </c>
      <c r="L1856">
        <v>188.60311024286949</v>
      </c>
      <c r="M1856" s="10">
        <v>-0.6805375527093962</v>
      </c>
      <c r="N1856" s="24" t="s">
        <v>343</v>
      </c>
      <c r="O1856" s="24">
        <v>10.16774683743623</v>
      </c>
      <c r="P1856">
        <v>58.235061328647063</v>
      </c>
      <c r="Q1856" t="s">
        <v>47</v>
      </c>
      <c r="R1856" t="s">
        <v>350</v>
      </c>
      <c r="S1856" t="s">
        <v>343</v>
      </c>
      <c r="T1856" t="s">
        <v>343</v>
      </c>
    </row>
    <row r="1857" spans="2:20" x14ac:dyDescent="0.25">
      <c r="B1857">
        <v>1852</v>
      </c>
      <c r="C1857" t="s">
        <v>2196</v>
      </c>
      <c r="D1857" s="10">
        <v>0.26503657717304041</v>
      </c>
      <c r="E1857" s="10">
        <v>0.37242151638073268</v>
      </c>
      <c r="F1857" s="10">
        <v>0.60693384439053122</v>
      </c>
      <c r="G1857" s="10">
        <v>0.35227392999717089</v>
      </c>
      <c r="H1857" s="6">
        <v>0.19591754322697741</v>
      </c>
      <c r="I1857" s="10">
        <v>9.1031875733982019</v>
      </c>
      <c r="J1857" s="7">
        <v>1.033986803797184E-2</v>
      </c>
      <c r="K1857" s="5">
        <v>0.1506479021381536</v>
      </c>
      <c r="L1857">
        <v>133.861030756042</v>
      </c>
      <c r="M1857" s="10">
        <v>-0.77326157332665357</v>
      </c>
      <c r="N1857" s="24" t="s">
        <v>343</v>
      </c>
      <c r="O1857" s="24">
        <v>4.6043056004007923</v>
      </c>
      <c r="P1857">
        <v>55.956719329940228</v>
      </c>
      <c r="Q1857" t="s">
        <v>47</v>
      </c>
      <c r="R1857" t="s">
        <v>350</v>
      </c>
      <c r="S1857" t="s">
        <v>343</v>
      </c>
      <c r="T1857" t="s">
        <v>343</v>
      </c>
    </row>
    <row r="1858" spans="2:20" x14ac:dyDescent="0.25">
      <c r="B1858">
        <v>1853</v>
      </c>
      <c r="C1858" t="s">
        <v>2197</v>
      </c>
      <c r="D1858" s="10">
        <v>0.18049531941859201</v>
      </c>
      <c r="E1858" s="10">
        <v>0.34701906717706987</v>
      </c>
      <c r="F1858" s="10">
        <v>0.57021612923451648</v>
      </c>
      <c r="G1858" s="10">
        <v>0.37888683101220638</v>
      </c>
      <c r="H1858" s="6">
        <v>0.26742265852428548</v>
      </c>
      <c r="I1858" s="10">
        <v>11.4405213642455</v>
      </c>
      <c r="J1858" s="7">
        <v>4.4288718328910133E-2</v>
      </c>
      <c r="K1858" s="5">
        <v>0.12653049155950641</v>
      </c>
      <c r="L1858">
        <v>106.3450737363426</v>
      </c>
      <c r="M1858" s="10">
        <v>-0.81986904951162576</v>
      </c>
      <c r="N1858" s="24" t="s">
        <v>343</v>
      </c>
      <c r="O1858" s="24">
        <v>1.8078570293024609</v>
      </c>
      <c r="P1858">
        <v>49.079909368340722</v>
      </c>
      <c r="Q1858" t="s">
        <v>346</v>
      </c>
      <c r="R1858" t="s">
        <v>347</v>
      </c>
      <c r="S1858" t="s">
        <v>343</v>
      </c>
      <c r="T1858" t="s">
        <v>343</v>
      </c>
    </row>
    <row r="1859" spans="2:20" x14ac:dyDescent="0.25">
      <c r="B1859">
        <v>1854</v>
      </c>
      <c r="C1859" t="s">
        <v>2198</v>
      </c>
      <c r="D1859" s="10">
        <v>0.21412280095911981</v>
      </c>
      <c r="E1859" s="10">
        <v>0.75005996406144093</v>
      </c>
      <c r="F1859" s="10">
        <v>0.6748278178774163</v>
      </c>
      <c r="G1859" s="10">
        <v>0.39467064704737309</v>
      </c>
      <c r="H1859" s="6">
        <v>0.13762966642574559</v>
      </c>
      <c r="I1859" s="10">
        <v>4.2168042496428439</v>
      </c>
      <c r="J1859" s="7">
        <v>1.103865533309667E-2</v>
      </c>
      <c r="K1859" s="5">
        <v>0.13000824668473729</v>
      </c>
      <c r="L1859">
        <v>113.8386257059756</v>
      </c>
      <c r="M1859" s="10">
        <v>-0.80717621296171116</v>
      </c>
      <c r="N1859" s="24" t="s">
        <v>343</v>
      </c>
      <c r="O1859" s="24">
        <v>2.5694272222973349</v>
      </c>
      <c r="P1859">
        <v>53.241197569063743</v>
      </c>
      <c r="Q1859" t="s">
        <v>47</v>
      </c>
      <c r="R1859" t="s">
        <v>350</v>
      </c>
      <c r="S1859" t="s">
        <v>343</v>
      </c>
      <c r="T1859" t="s">
        <v>343</v>
      </c>
    </row>
    <row r="1860" spans="2:20" x14ac:dyDescent="0.25">
      <c r="B1860">
        <v>1855</v>
      </c>
      <c r="C1860" t="s">
        <v>2199</v>
      </c>
      <c r="D1860" s="10">
        <v>0.30849338245216801</v>
      </c>
      <c r="E1860" s="10">
        <v>1.090246905468196</v>
      </c>
      <c r="F1860" s="10">
        <v>0.68436254931240459</v>
      </c>
      <c r="G1860" s="10">
        <v>0.31627188294643538</v>
      </c>
      <c r="H1860" s="6">
        <v>0.18187551958501941</v>
      </c>
      <c r="I1860" s="10">
        <v>7.8796808907442264</v>
      </c>
      <c r="J1860" s="7">
        <v>1.03978667313129E-2</v>
      </c>
      <c r="K1860" s="5">
        <v>0.15717599058109519</v>
      </c>
      <c r="L1860">
        <v>211.38943126471159</v>
      </c>
      <c r="M1860" s="10">
        <v>-0.64194129695829472</v>
      </c>
      <c r="N1860" s="24" t="s">
        <v>343</v>
      </c>
      <c r="O1860" s="24">
        <v>12.48352218250232</v>
      </c>
      <c r="P1860">
        <v>53.49427579190165</v>
      </c>
      <c r="Q1860" t="s">
        <v>47</v>
      </c>
      <c r="R1860" t="s">
        <v>350</v>
      </c>
      <c r="S1860" t="s">
        <v>343</v>
      </c>
      <c r="T1860" t="s">
        <v>343</v>
      </c>
    </row>
    <row r="1861" spans="2:20" x14ac:dyDescent="0.25">
      <c r="B1861">
        <v>1856</v>
      </c>
      <c r="C1861" t="s">
        <v>2200</v>
      </c>
      <c r="D1861" s="10">
        <v>0.1959384978950163</v>
      </c>
      <c r="E1861" s="10">
        <v>0.52409470812356695</v>
      </c>
      <c r="F1861" s="10">
        <v>0.48251544731133927</v>
      </c>
      <c r="G1861" s="10">
        <v>0.31268150411913931</v>
      </c>
      <c r="H1861" s="6">
        <v>0.169781166462114</v>
      </c>
      <c r="I1861" s="10">
        <v>13.9772622714499</v>
      </c>
      <c r="J1861" s="7">
        <v>4.0014603441805442E-2</v>
      </c>
      <c r="K1861" s="5">
        <v>0.15119162188793411</v>
      </c>
      <c r="L1861">
        <v>146.1515207447207</v>
      </c>
      <c r="M1861" s="10">
        <v>-0.75244351786018793</v>
      </c>
      <c r="N1861" s="24" t="s">
        <v>343</v>
      </c>
      <c r="O1861" s="24">
        <v>5.8533889283887248</v>
      </c>
      <c r="P1861">
        <v>19.22361263785027</v>
      </c>
      <c r="Q1861" t="s">
        <v>348</v>
      </c>
      <c r="R1861" t="s">
        <v>371</v>
      </c>
      <c r="S1861" t="s">
        <v>343</v>
      </c>
      <c r="T1861" t="s">
        <v>343</v>
      </c>
    </row>
    <row r="1862" spans="2:20" x14ac:dyDescent="0.25">
      <c r="B1862">
        <v>1857</v>
      </c>
      <c r="C1862" t="s">
        <v>2201</v>
      </c>
      <c r="D1862" s="10">
        <v>0.21954672381400209</v>
      </c>
      <c r="E1862" s="10">
        <v>1.011115372474704</v>
      </c>
      <c r="F1862" s="10">
        <v>0.66175735926884405</v>
      </c>
      <c r="G1862" s="10">
        <v>0.29933804890110011</v>
      </c>
      <c r="H1862" s="6">
        <v>0.19742031540973831</v>
      </c>
      <c r="I1862" s="10">
        <v>10.582089330249181</v>
      </c>
      <c r="J1862" s="7">
        <v>3.4804640108642419E-2</v>
      </c>
      <c r="K1862" s="5">
        <v>0.13754327778917669</v>
      </c>
      <c r="L1862">
        <v>289.98275226353019</v>
      </c>
      <c r="M1862" s="10">
        <v>-0.50881722156713705</v>
      </c>
      <c r="N1862" s="24" t="s">
        <v>343</v>
      </c>
      <c r="O1862" s="24">
        <v>20.470966705971779</v>
      </c>
      <c r="P1862">
        <v>25.135462046560999</v>
      </c>
      <c r="Q1862" t="s">
        <v>348</v>
      </c>
      <c r="R1862" t="s">
        <v>351</v>
      </c>
      <c r="S1862" t="s">
        <v>343</v>
      </c>
      <c r="T1862" t="s">
        <v>343</v>
      </c>
    </row>
    <row r="1863" spans="2:20" x14ac:dyDescent="0.25">
      <c r="B1863">
        <v>1858</v>
      </c>
      <c r="C1863" t="s">
        <v>2202</v>
      </c>
      <c r="D1863" s="10">
        <v>0.2291323012710714</v>
      </c>
      <c r="E1863" s="10">
        <v>1.0557973193140739</v>
      </c>
      <c r="F1863" s="10">
        <v>0.56524777304345819</v>
      </c>
      <c r="G1863" s="10">
        <v>0.36074624216880469</v>
      </c>
      <c r="H1863" s="6">
        <v>0.2150156728304578</v>
      </c>
      <c r="I1863" s="10">
        <v>10.52728044900137</v>
      </c>
      <c r="J1863" s="7">
        <v>1.3703373027493179E-2</v>
      </c>
      <c r="K1863" s="5">
        <v>0.1102189573237565</v>
      </c>
      <c r="L1863">
        <v>370.01791975240093</v>
      </c>
      <c r="M1863" s="10">
        <v>-0.37325089690587843</v>
      </c>
      <c r="N1863" s="24" t="s">
        <v>343</v>
      </c>
      <c r="O1863" s="24">
        <v>28.60494618564729</v>
      </c>
      <c r="P1863">
        <v>56.736180175235873</v>
      </c>
      <c r="Q1863" t="s">
        <v>47</v>
      </c>
      <c r="R1863" t="s">
        <v>350</v>
      </c>
      <c r="S1863" t="s">
        <v>343</v>
      </c>
      <c r="T1863" t="s">
        <v>343</v>
      </c>
    </row>
    <row r="1864" spans="2:20" x14ac:dyDescent="0.25">
      <c r="B1864">
        <v>1859</v>
      </c>
      <c r="C1864" t="s">
        <v>2203</v>
      </c>
      <c r="D1864" s="10">
        <v>0.23030479835111231</v>
      </c>
      <c r="E1864" s="10">
        <v>0.58072233641715765</v>
      </c>
      <c r="F1864" s="10">
        <v>0.5578656625425199</v>
      </c>
      <c r="G1864" s="10">
        <v>0.31923425170226988</v>
      </c>
      <c r="H1864" s="6">
        <v>0.2192444204072482</v>
      </c>
      <c r="I1864" s="10">
        <v>6.496582103875773</v>
      </c>
      <c r="J1864" s="7">
        <v>4.2809521730857877E-2</v>
      </c>
      <c r="K1864" s="5">
        <v>0.19209527036506349</v>
      </c>
      <c r="L1864">
        <v>93.126171130579749</v>
      </c>
      <c r="M1864" s="10">
        <v>-0.84225968226150538</v>
      </c>
      <c r="N1864" s="24" t="s">
        <v>343</v>
      </c>
      <c r="O1864" s="24">
        <v>0.4644190643096735</v>
      </c>
      <c r="P1864">
        <v>66.605066993187833</v>
      </c>
      <c r="Q1864" t="s">
        <v>47</v>
      </c>
      <c r="R1864" t="s">
        <v>350</v>
      </c>
      <c r="S1864" t="s">
        <v>343</v>
      </c>
      <c r="T1864" t="s">
        <v>343</v>
      </c>
    </row>
    <row r="1865" spans="2:20" x14ac:dyDescent="0.25">
      <c r="B1865">
        <v>1860</v>
      </c>
      <c r="C1865" t="s">
        <v>2204</v>
      </c>
      <c r="D1865" s="10">
        <v>0.25807033319912409</v>
      </c>
      <c r="E1865" s="10">
        <v>0.96061342166669217</v>
      </c>
      <c r="F1865" s="10">
        <v>0.64408423060598774</v>
      </c>
      <c r="G1865" s="10">
        <v>0.35886891889567901</v>
      </c>
      <c r="H1865" s="6">
        <v>0.1201943819867667</v>
      </c>
      <c r="I1865" s="10">
        <v>4.0327691464330133</v>
      </c>
      <c r="J1865" s="7">
        <v>3.3517628440699533E-2</v>
      </c>
      <c r="K1865" s="5">
        <v>0.11658752729465489</v>
      </c>
      <c r="L1865">
        <v>158.5213551386708</v>
      </c>
      <c r="M1865" s="10">
        <v>-0.73149106610590853</v>
      </c>
      <c r="N1865" s="24" t="s">
        <v>343</v>
      </c>
      <c r="O1865" s="24">
        <v>7.1105360336454906</v>
      </c>
      <c r="P1865">
        <v>56.045843026057568</v>
      </c>
      <c r="Q1865" t="s">
        <v>47</v>
      </c>
      <c r="R1865" t="s">
        <v>350</v>
      </c>
      <c r="S1865" t="s">
        <v>343</v>
      </c>
      <c r="T1865" t="s">
        <v>343</v>
      </c>
    </row>
    <row r="1866" spans="2:20" x14ac:dyDescent="0.25">
      <c r="B1866">
        <v>1861</v>
      </c>
      <c r="C1866" t="s">
        <v>2205</v>
      </c>
      <c r="D1866" s="10">
        <v>0.31089213403915322</v>
      </c>
      <c r="E1866" s="10">
        <v>1.0533551740295319</v>
      </c>
      <c r="F1866" s="10">
        <v>0.46421653235166788</v>
      </c>
      <c r="G1866" s="10">
        <v>0.32931664848192282</v>
      </c>
      <c r="H1866" s="6">
        <v>0.1333440650672352</v>
      </c>
      <c r="I1866" s="10">
        <v>13.44443812759623</v>
      </c>
      <c r="J1866" s="7">
        <v>1.388652402383323E-2</v>
      </c>
      <c r="K1866" s="5">
        <v>0.16014613827085711</v>
      </c>
      <c r="L1866">
        <v>137.7474382756557</v>
      </c>
      <c r="M1866" s="10">
        <v>-0.76667864234642957</v>
      </c>
      <c r="N1866" s="24" t="s">
        <v>343</v>
      </c>
      <c r="O1866" s="24">
        <v>4.9992814592142238</v>
      </c>
      <c r="P1866">
        <v>6.7391593782176287</v>
      </c>
      <c r="Q1866" t="s">
        <v>348</v>
      </c>
      <c r="R1866" t="s">
        <v>371</v>
      </c>
      <c r="S1866" t="s">
        <v>343</v>
      </c>
      <c r="T1866" t="s">
        <v>343</v>
      </c>
    </row>
    <row r="1867" spans="2:20" x14ac:dyDescent="0.25">
      <c r="B1867">
        <v>1862</v>
      </c>
      <c r="C1867" t="s">
        <v>2206</v>
      </c>
      <c r="D1867" s="10">
        <v>0.19851083389320079</v>
      </c>
      <c r="E1867" s="10">
        <v>0.8132749850823382</v>
      </c>
      <c r="F1867" s="10">
        <v>0.66944821312897806</v>
      </c>
      <c r="G1867" s="10">
        <v>0.4240815201615854</v>
      </c>
      <c r="H1867" s="6">
        <v>0.1252595750483928</v>
      </c>
      <c r="I1867" s="10">
        <v>4.160185432654532</v>
      </c>
      <c r="J1867" s="7">
        <v>4.0119375857355977E-2</v>
      </c>
      <c r="K1867" s="5">
        <v>0.1078607524568861</v>
      </c>
      <c r="L1867">
        <v>163.1601618968169</v>
      </c>
      <c r="M1867" s="10">
        <v>-0.72363369536818722</v>
      </c>
      <c r="N1867" s="24" t="s">
        <v>343</v>
      </c>
      <c r="O1867" s="24">
        <v>7.5819782779087639</v>
      </c>
      <c r="P1867">
        <v>57.930783901953667</v>
      </c>
      <c r="Q1867" t="s">
        <v>47</v>
      </c>
      <c r="R1867" t="s">
        <v>350</v>
      </c>
      <c r="S1867" t="s">
        <v>343</v>
      </c>
      <c r="T1867" t="s">
        <v>343</v>
      </c>
    </row>
    <row r="1868" spans="2:20" x14ac:dyDescent="0.25">
      <c r="B1868">
        <v>1863</v>
      </c>
      <c r="C1868" t="s">
        <v>2207</v>
      </c>
      <c r="D1868" s="10">
        <v>0.1794402202081469</v>
      </c>
      <c r="E1868" s="10">
        <v>0.67038825700810456</v>
      </c>
      <c r="F1868" s="10">
        <v>0.61442447218237983</v>
      </c>
      <c r="G1868" s="10">
        <v>0.25608865274400128</v>
      </c>
      <c r="H1868" s="6">
        <v>0.2496898719597416</v>
      </c>
      <c r="I1868" s="10">
        <v>13.91976941664765</v>
      </c>
      <c r="J1868" s="7">
        <v>2.6831669829093008E-2</v>
      </c>
      <c r="K1868" s="5">
        <v>0.16538971909183381</v>
      </c>
      <c r="L1868">
        <v>112.5813371985773</v>
      </c>
      <c r="M1868" s="10">
        <v>-0.80930585156102475</v>
      </c>
      <c r="N1868" s="24" t="s">
        <v>343</v>
      </c>
      <c r="O1868" s="24">
        <v>2.4416489063385138</v>
      </c>
      <c r="P1868">
        <v>59.936223431749987</v>
      </c>
      <c r="Q1868" t="s">
        <v>47</v>
      </c>
      <c r="R1868" t="s">
        <v>350</v>
      </c>
      <c r="S1868" t="s">
        <v>343</v>
      </c>
      <c r="T1868" t="s">
        <v>343</v>
      </c>
    </row>
    <row r="1869" spans="2:20" x14ac:dyDescent="0.25">
      <c r="B1869">
        <v>1864</v>
      </c>
      <c r="C1869" t="s">
        <v>2208</v>
      </c>
      <c r="D1869" s="10">
        <v>0.19159527837758999</v>
      </c>
      <c r="E1869" s="10">
        <v>0.98106670673176</v>
      </c>
      <c r="F1869" s="10">
        <v>0.66756801799107945</v>
      </c>
      <c r="G1869" s="10">
        <v>0.36588633059302839</v>
      </c>
      <c r="H1869" s="6">
        <v>0.16699383797394829</v>
      </c>
      <c r="I1869" s="10">
        <v>4.3835906966412921</v>
      </c>
      <c r="J1869" s="7">
        <v>1.9734679152340971E-2</v>
      </c>
      <c r="K1869" s="5">
        <v>0.1090097794214708</v>
      </c>
      <c r="L1869">
        <v>367.4888397406325</v>
      </c>
      <c r="M1869" s="10">
        <v>-0.37753473978054192</v>
      </c>
      <c r="N1869" s="24" t="s">
        <v>343</v>
      </c>
      <c r="O1869" s="24">
        <v>28.347915613167491</v>
      </c>
      <c r="P1869">
        <v>25.26165894105625</v>
      </c>
      <c r="Q1869" t="s">
        <v>348</v>
      </c>
      <c r="R1869" t="s">
        <v>375</v>
      </c>
      <c r="S1869" t="s">
        <v>343</v>
      </c>
      <c r="T1869" t="s">
        <v>343</v>
      </c>
    </row>
    <row r="1870" spans="2:20" x14ac:dyDescent="0.25">
      <c r="B1870">
        <v>1865</v>
      </c>
      <c r="C1870" t="s">
        <v>2209</v>
      </c>
      <c r="D1870" s="10">
        <v>0.30190798403348312</v>
      </c>
      <c r="E1870" s="10">
        <v>1.3756317960608631</v>
      </c>
      <c r="F1870" s="10">
        <v>0.69856417020398187</v>
      </c>
      <c r="G1870" s="10">
        <v>0.36663722512918351</v>
      </c>
      <c r="H1870" s="6">
        <v>0.17505951628145469</v>
      </c>
      <c r="I1870" s="10">
        <v>4.879980833785206</v>
      </c>
      <c r="J1870" s="7">
        <v>3.8876436758143722E-2</v>
      </c>
      <c r="K1870" s="5">
        <v>0.1218032924430683</v>
      </c>
      <c r="L1870">
        <v>362.33820811509139</v>
      </c>
      <c r="M1870" s="10">
        <v>-0.38625905711586489</v>
      </c>
      <c r="N1870" s="24" t="s">
        <v>343</v>
      </c>
      <c r="O1870" s="24">
        <v>27.824456573048099</v>
      </c>
      <c r="P1870">
        <v>50.861852517367851</v>
      </c>
      <c r="Q1870" t="s">
        <v>47</v>
      </c>
      <c r="R1870" t="s">
        <v>350</v>
      </c>
      <c r="S1870" t="s">
        <v>343</v>
      </c>
      <c r="T1870" t="s">
        <v>343</v>
      </c>
    </row>
    <row r="1871" spans="2:20" x14ac:dyDescent="0.25">
      <c r="B1871">
        <v>1866</v>
      </c>
      <c r="C1871" t="s">
        <v>2210</v>
      </c>
      <c r="D1871" s="10">
        <v>0.26332973002483301</v>
      </c>
      <c r="E1871" s="10">
        <v>0.76952555030587577</v>
      </c>
      <c r="F1871" s="10">
        <v>0.57468115761288585</v>
      </c>
      <c r="G1871" s="10">
        <v>0.32441780831851402</v>
      </c>
      <c r="H1871" s="6">
        <v>0.1875556873420039</v>
      </c>
      <c r="I1871" s="10">
        <v>6.3920365055503527</v>
      </c>
      <c r="J1871" s="7">
        <v>3.5845625879180693E-2</v>
      </c>
      <c r="K1871" s="5">
        <v>0.16146359394091361</v>
      </c>
      <c r="L1871">
        <v>119.24332855410719</v>
      </c>
      <c r="M1871" s="10">
        <v>-0.79802154103440714</v>
      </c>
      <c r="N1871" s="24" t="s">
        <v>343</v>
      </c>
      <c r="O1871" s="24">
        <v>3.11870753793557</v>
      </c>
      <c r="P1871">
        <v>66.568508019783152</v>
      </c>
      <c r="Q1871" t="s">
        <v>47</v>
      </c>
      <c r="R1871" t="s">
        <v>350</v>
      </c>
      <c r="S1871" t="s">
        <v>343</v>
      </c>
      <c r="T1871" t="s">
        <v>343</v>
      </c>
    </row>
    <row r="1872" spans="2:20" x14ac:dyDescent="0.25">
      <c r="B1872">
        <v>1867</v>
      </c>
      <c r="C1872" t="s">
        <v>2211</v>
      </c>
      <c r="D1872" s="10">
        <v>0.2057450862782656</v>
      </c>
      <c r="E1872" s="10">
        <v>0.73090860591363316</v>
      </c>
      <c r="F1872" s="10">
        <v>0.46424817145632152</v>
      </c>
      <c r="G1872" s="10">
        <v>0.3326245968038915</v>
      </c>
      <c r="H1872" s="6">
        <v>0.24739565958803639</v>
      </c>
      <c r="I1872" s="10">
        <v>8.6361271283849206</v>
      </c>
      <c r="J1872" s="7">
        <v>3.18065330750422E-2</v>
      </c>
      <c r="K1872" s="5">
        <v>0.1268788432347136</v>
      </c>
      <c r="L1872">
        <v>251.10004956856699</v>
      </c>
      <c r="M1872" s="10">
        <v>-0.57467808326878278</v>
      </c>
      <c r="N1872" s="24" t="s">
        <v>343</v>
      </c>
      <c r="O1872" s="24">
        <v>16.519315003873029</v>
      </c>
      <c r="P1872">
        <v>55.280673074910361</v>
      </c>
      <c r="Q1872" t="s">
        <v>47</v>
      </c>
      <c r="R1872" t="s">
        <v>350</v>
      </c>
      <c r="S1872" t="s">
        <v>343</v>
      </c>
      <c r="T1872" t="s">
        <v>343</v>
      </c>
    </row>
    <row r="1873" spans="2:20" x14ac:dyDescent="0.25">
      <c r="B1873">
        <v>1868</v>
      </c>
      <c r="C1873" t="s">
        <v>2212</v>
      </c>
      <c r="D1873" s="10">
        <v>0.29055151023497883</v>
      </c>
      <c r="E1873" s="10">
        <v>0.81069359266872465</v>
      </c>
      <c r="F1873" s="10">
        <v>0.48329620436203052</v>
      </c>
      <c r="G1873" s="10">
        <v>0.41602889939424431</v>
      </c>
      <c r="H1873" s="6">
        <v>0.1221249391443202</v>
      </c>
      <c r="I1873" s="10">
        <v>11.69441817321843</v>
      </c>
      <c r="J1873" s="7">
        <v>4.1447960324646711E-2</v>
      </c>
      <c r="K1873" s="5">
        <v>0.1506208274390527</v>
      </c>
      <c r="L1873">
        <v>308.55428273299492</v>
      </c>
      <c r="M1873" s="10">
        <v>-0.47736012329305638</v>
      </c>
      <c r="N1873" s="24" t="s">
        <v>343</v>
      </c>
      <c r="O1873" s="24">
        <v>22.358392602416611</v>
      </c>
      <c r="P1873">
        <v>22.031769904359269</v>
      </c>
      <c r="Q1873" t="s">
        <v>348</v>
      </c>
      <c r="R1873" t="s">
        <v>371</v>
      </c>
      <c r="S1873" t="s">
        <v>343</v>
      </c>
      <c r="T1873" t="s">
        <v>343</v>
      </c>
    </row>
    <row r="1874" spans="2:20" x14ac:dyDescent="0.25">
      <c r="B1874">
        <v>1869</v>
      </c>
      <c r="C1874" t="s">
        <v>2213</v>
      </c>
      <c r="D1874" s="10">
        <v>0.29781919941814983</v>
      </c>
      <c r="E1874" s="10">
        <v>0.38384023278955298</v>
      </c>
      <c r="F1874" s="10">
        <v>0.52414074306412062</v>
      </c>
      <c r="G1874" s="10">
        <v>0.30174821625727372</v>
      </c>
      <c r="H1874" s="6">
        <v>0.13779274115697759</v>
      </c>
      <c r="I1874" s="10">
        <v>13.68109132128323</v>
      </c>
      <c r="J1874" s="7">
        <v>4.014479335238591E-2</v>
      </c>
      <c r="K1874" s="5">
        <v>0.11182801236705391</v>
      </c>
      <c r="L1874">
        <v>172.8036985727833</v>
      </c>
      <c r="M1874" s="10">
        <v>-0.70729914063537414</v>
      </c>
      <c r="N1874" s="24" t="s">
        <v>343</v>
      </c>
      <c r="O1874" s="24">
        <v>8.5620515618775492</v>
      </c>
      <c r="P1874">
        <v>49.421975467620648</v>
      </c>
      <c r="Q1874" t="s">
        <v>346</v>
      </c>
      <c r="R1874" t="s">
        <v>347</v>
      </c>
      <c r="S1874" t="s">
        <v>343</v>
      </c>
      <c r="T1874" t="s">
        <v>343</v>
      </c>
    </row>
    <row r="1875" spans="2:20" x14ac:dyDescent="0.25">
      <c r="B1875">
        <v>1870</v>
      </c>
      <c r="C1875" t="s">
        <v>2214</v>
      </c>
      <c r="D1875" s="10">
        <v>0.29544229419044449</v>
      </c>
      <c r="E1875" s="10">
        <v>0.90847960763852886</v>
      </c>
      <c r="F1875" s="10">
        <v>0.46692376495502452</v>
      </c>
      <c r="G1875" s="10">
        <v>0.43170883411375582</v>
      </c>
      <c r="H1875" s="6">
        <v>0.22277446832113509</v>
      </c>
      <c r="I1875" s="10">
        <v>6.9470736905317576</v>
      </c>
      <c r="J1875" s="7">
        <v>1.7937708045571168E-2</v>
      </c>
      <c r="K1875" s="5">
        <v>0.1192280512302893</v>
      </c>
      <c r="L1875">
        <v>251.6619242366643</v>
      </c>
      <c r="M1875" s="10">
        <v>-0.57372636059406235</v>
      </c>
      <c r="N1875" s="24" t="s">
        <v>343</v>
      </c>
      <c r="O1875" s="24">
        <v>16.576418364356261</v>
      </c>
      <c r="P1875">
        <v>54.79200997768784</v>
      </c>
      <c r="Q1875" t="s">
        <v>47</v>
      </c>
      <c r="R1875" t="s">
        <v>350</v>
      </c>
      <c r="S1875" t="s">
        <v>343</v>
      </c>
      <c r="T1875" t="s">
        <v>343</v>
      </c>
    </row>
    <row r="1876" spans="2:20" x14ac:dyDescent="0.25">
      <c r="B1876">
        <v>1871</v>
      </c>
      <c r="C1876" t="s">
        <v>2215</v>
      </c>
      <c r="D1876" s="10">
        <v>0.30702824538232881</v>
      </c>
      <c r="E1876" s="10">
        <v>0.66156712593898992</v>
      </c>
      <c r="F1876" s="10">
        <v>0.65198887479582013</v>
      </c>
      <c r="G1876" s="10">
        <v>0.43719552690963248</v>
      </c>
      <c r="H1876" s="6">
        <v>0.26458387840613962</v>
      </c>
      <c r="I1876" s="10">
        <v>3.2245440254767521</v>
      </c>
      <c r="J1876" s="7">
        <v>4.0754015403349372E-2</v>
      </c>
      <c r="K1876" s="5">
        <v>0.1697087112841886</v>
      </c>
      <c r="L1876">
        <v>113.9547669675562</v>
      </c>
      <c r="M1876" s="10">
        <v>-0.80697948889068072</v>
      </c>
      <c r="N1876" s="24" t="s">
        <v>343</v>
      </c>
      <c r="O1876" s="24">
        <v>2.5812306665591511</v>
      </c>
      <c r="P1876">
        <v>46.180039654865347</v>
      </c>
      <c r="Q1876" t="s">
        <v>346</v>
      </c>
      <c r="R1876" t="s">
        <v>347</v>
      </c>
      <c r="S1876" t="s">
        <v>343</v>
      </c>
      <c r="T1876" t="s">
        <v>343</v>
      </c>
    </row>
    <row r="1877" spans="2:20" x14ac:dyDescent="0.25">
      <c r="B1877">
        <v>1872</v>
      </c>
      <c r="C1877" t="s">
        <v>2216</v>
      </c>
      <c r="D1877" s="10">
        <v>0.2003585632277379</v>
      </c>
      <c r="E1877" s="10">
        <v>0.4335643345643887</v>
      </c>
      <c r="F1877" s="10">
        <v>0.51718564126851985</v>
      </c>
      <c r="G1877" s="10">
        <v>0.38313624696848309</v>
      </c>
      <c r="H1877" s="6">
        <v>0.21641796319455109</v>
      </c>
      <c r="I1877" s="10">
        <v>9.7834747529538362</v>
      </c>
      <c r="J1877" s="7">
        <v>2.3091394385079698E-2</v>
      </c>
      <c r="K1877" s="5">
        <v>0.10333819172681211</v>
      </c>
      <c r="L1877">
        <v>159.7315127078304</v>
      </c>
      <c r="M1877" s="10">
        <v>-0.72944125951389027</v>
      </c>
      <c r="N1877" s="24" t="s">
        <v>343</v>
      </c>
      <c r="O1877" s="24">
        <v>7.2335244291665859</v>
      </c>
      <c r="P1877">
        <v>54.704623075454982</v>
      </c>
      <c r="Q1877" t="s">
        <v>47</v>
      </c>
      <c r="R1877" t="s">
        <v>350</v>
      </c>
      <c r="S1877" t="s">
        <v>343</v>
      </c>
      <c r="T1877" t="s">
        <v>343</v>
      </c>
    </row>
    <row r="1878" spans="2:20" x14ac:dyDescent="0.25">
      <c r="B1878">
        <v>1873</v>
      </c>
      <c r="C1878" t="s">
        <v>2217</v>
      </c>
      <c r="D1878" s="10">
        <v>0.28080670859940449</v>
      </c>
      <c r="E1878" s="10">
        <v>0.81288241522911053</v>
      </c>
      <c r="F1878" s="10">
        <v>0.69373040888516491</v>
      </c>
      <c r="G1878" s="10">
        <v>0.41002869701578171</v>
      </c>
      <c r="H1878" s="6">
        <v>0.15916852027012851</v>
      </c>
      <c r="I1878" s="10">
        <v>10.81868847373647</v>
      </c>
      <c r="J1878" s="7">
        <v>2.5112101753043872E-2</v>
      </c>
      <c r="K1878" s="5">
        <v>0.1106210199364199</v>
      </c>
      <c r="L1878">
        <v>365.86615256691772</v>
      </c>
      <c r="M1878" s="10">
        <v>-0.38028330323230292</v>
      </c>
      <c r="N1878" s="24" t="s">
        <v>343</v>
      </c>
      <c r="O1878" s="24">
        <v>28.183001806061821</v>
      </c>
      <c r="P1878">
        <v>54.179298399646761</v>
      </c>
      <c r="Q1878" t="s">
        <v>47</v>
      </c>
      <c r="R1878" t="s">
        <v>350</v>
      </c>
      <c r="S1878" t="s">
        <v>343</v>
      </c>
      <c r="T1878" t="s">
        <v>343</v>
      </c>
    </row>
    <row r="1879" spans="2:20" x14ac:dyDescent="0.25">
      <c r="B1879">
        <v>1874</v>
      </c>
      <c r="C1879" t="s">
        <v>2218</v>
      </c>
      <c r="D1879" s="10">
        <v>0.2336863195638624</v>
      </c>
      <c r="E1879" s="10">
        <v>0.30372238523137518</v>
      </c>
      <c r="F1879" s="10">
        <v>0.62267377230228238</v>
      </c>
      <c r="G1879" s="10">
        <v>0.37484845623798752</v>
      </c>
      <c r="H1879" s="6">
        <v>0.1979796643179926</v>
      </c>
      <c r="I1879" s="10">
        <v>7.3718863708923319</v>
      </c>
      <c r="J1879" s="7">
        <v>4.4031633549499918E-2</v>
      </c>
      <c r="K1879" s="5">
        <v>0.12042082176801081</v>
      </c>
      <c r="L1879">
        <v>206.1277507213824</v>
      </c>
      <c r="M1879" s="10">
        <v>-0.65085371277725301</v>
      </c>
      <c r="N1879" s="24" t="s">
        <v>343</v>
      </c>
      <c r="O1879" s="24">
        <v>11.948777233364821</v>
      </c>
      <c r="P1879">
        <v>62.30649710043771</v>
      </c>
      <c r="Q1879" t="s">
        <v>47</v>
      </c>
      <c r="R1879" t="s">
        <v>350</v>
      </c>
      <c r="S1879" t="s">
        <v>343</v>
      </c>
      <c r="T1879" t="s">
        <v>343</v>
      </c>
    </row>
    <row r="1880" spans="2:20" x14ac:dyDescent="0.25">
      <c r="B1880">
        <v>1875</v>
      </c>
      <c r="C1880" t="s">
        <v>2219</v>
      </c>
      <c r="D1880" s="10">
        <v>0.29471976846240988</v>
      </c>
      <c r="E1880" s="10">
        <v>0.74196376967903477</v>
      </c>
      <c r="F1880" s="10">
        <v>0.485091896266445</v>
      </c>
      <c r="G1880" s="10">
        <v>0.35555700502425008</v>
      </c>
      <c r="H1880" s="6">
        <v>0.26624707133721509</v>
      </c>
      <c r="I1880" s="10">
        <v>5.0182365387406556</v>
      </c>
      <c r="J1880" s="7">
        <v>3.6595601499103687E-2</v>
      </c>
      <c r="K1880" s="5">
        <v>0.10191810311490671</v>
      </c>
      <c r="L1880">
        <v>191.5001918292721</v>
      </c>
      <c r="M1880" s="10">
        <v>-0.67563037608648202</v>
      </c>
      <c r="N1880" s="24" t="s">
        <v>343</v>
      </c>
      <c r="O1880" s="24">
        <v>10.46217743481108</v>
      </c>
      <c r="P1880">
        <v>57.490121192423217</v>
      </c>
      <c r="Q1880" t="s">
        <v>47</v>
      </c>
      <c r="R1880" t="s">
        <v>350</v>
      </c>
      <c r="S1880" t="s">
        <v>343</v>
      </c>
      <c r="T1880" t="s">
        <v>343</v>
      </c>
    </row>
    <row r="1881" spans="2:20" x14ac:dyDescent="0.25">
      <c r="B1881">
        <v>1876</v>
      </c>
      <c r="C1881" t="s">
        <v>2220</v>
      </c>
      <c r="D1881" s="10">
        <v>0.2765585083458581</v>
      </c>
      <c r="E1881" s="10">
        <v>0.41630879471909549</v>
      </c>
      <c r="F1881" s="10">
        <v>0.56377108820542443</v>
      </c>
      <c r="G1881" s="10">
        <v>0.4526691059350505</v>
      </c>
      <c r="H1881" s="6">
        <v>0.19921148198516861</v>
      </c>
      <c r="I1881" s="10">
        <v>6.3661715421184102</v>
      </c>
      <c r="J1881" s="7">
        <v>2.1252008402688389E-2</v>
      </c>
      <c r="K1881" s="5">
        <v>0.10906097635808761</v>
      </c>
      <c r="L1881">
        <v>183.4177091470734</v>
      </c>
      <c r="M1881" s="10">
        <v>-0.68932076377157459</v>
      </c>
      <c r="N1881" s="24" t="s">
        <v>343</v>
      </c>
      <c r="O1881" s="24">
        <v>9.640754173705524</v>
      </c>
      <c r="P1881">
        <v>51.759327667228227</v>
      </c>
      <c r="Q1881" t="s">
        <v>47</v>
      </c>
      <c r="R1881" t="s">
        <v>350</v>
      </c>
      <c r="S1881" t="s">
        <v>343</v>
      </c>
      <c r="T1881" t="s">
        <v>343</v>
      </c>
    </row>
    <row r="1882" spans="2:20" x14ac:dyDescent="0.25">
      <c r="B1882">
        <v>1877</v>
      </c>
      <c r="C1882" t="s">
        <v>2221</v>
      </c>
      <c r="D1882" s="10">
        <v>0.28423159143995602</v>
      </c>
      <c r="E1882" s="10">
        <v>0.32672197373975831</v>
      </c>
      <c r="F1882" s="10">
        <v>0.56138989762466351</v>
      </c>
      <c r="G1882" s="10">
        <v>0.3021840921300421</v>
      </c>
      <c r="H1882" s="6">
        <v>0.1760261444592304</v>
      </c>
      <c r="I1882" s="10">
        <v>10.21379680251904</v>
      </c>
      <c r="J1882" s="7">
        <v>3.2677406138328799E-2</v>
      </c>
      <c r="K1882" s="5">
        <v>0.12673219037544181</v>
      </c>
      <c r="L1882">
        <v>80.850016479432625</v>
      </c>
      <c r="M1882" s="10">
        <v>-0.86305345603927186</v>
      </c>
      <c r="N1882" s="24" t="s">
        <v>343</v>
      </c>
      <c r="O1882" s="24">
        <v>0</v>
      </c>
      <c r="P1882">
        <v>54.850619465677767</v>
      </c>
      <c r="Q1882" t="s">
        <v>47</v>
      </c>
      <c r="R1882" t="s">
        <v>350</v>
      </c>
      <c r="S1882" t="s">
        <v>343</v>
      </c>
      <c r="T1882" t="s">
        <v>343</v>
      </c>
    </row>
    <row r="1883" spans="2:20" x14ac:dyDescent="0.25">
      <c r="B1883">
        <v>1878</v>
      </c>
      <c r="C1883" t="s">
        <v>2222</v>
      </c>
      <c r="D1883" s="10">
        <v>0.26498589402897138</v>
      </c>
      <c r="E1883" s="10">
        <v>1.2069225508689521</v>
      </c>
      <c r="F1883" s="10">
        <v>0.56805303116674477</v>
      </c>
      <c r="G1883" s="10">
        <v>0.27391320826148469</v>
      </c>
      <c r="H1883" s="6">
        <v>0.17751383322580799</v>
      </c>
      <c r="I1883" s="10">
        <v>8.4360115674476504</v>
      </c>
      <c r="J1883" s="7">
        <v>2.8876351769278909E-2</v>
      </c>
      <c r="K1883" s="5">
        <v>0.1088271579003985</v>
      </c>
      <c r="L1883">
        <v>291.86816444146677</v>
      </c>
      <c r="M1883" s="10">
        <v>-0.50562364544986338</v>
      </c>
      <c r="N1883" s="24" t="s">
        <v>343</v>
      </c>
      <c r="O1883" s="24">
        <v>20.6625812730082</v>
      </c>
      <c r="P1883">
        <v>24.34006023066917</v>
      </c>
      <c r="Q1883" t="s">
        <v>348</v>
      </c>
      <c r="R1883" t="s">
        <v>375</v>
      </c>
      <c r="S1883" t="s">
        <v>343</v>
      </c>
      <c r="T1883" t="s">
        <v>343</v>
      </c>
    </row>
    <row r="1884" spans="2:20" x14ac:dyDescent="0.25">
      <c r="B1884">
        <v>1879</v>
      </c>
      <c r="C1884" t="s">
        <v>2223</v>
      </c>
      <c r="D1884" s="10">
        <v>0.1883886031151531</v>
      </c>
      <c r="E1884" s="10">
        <v>1.307873683610898</v>
      </c>
      <c r="F1884" s="10">
        <v>0.57927970436716325</v>
      </c>
      <c r="G1884" s="10">
        <v>0.30324677989135329</v>
      </c>
      <c r="H1884" s="6">
        <v>0.26505502628875971</v>
      </c>
      <c r="I1884" s="10">
        <v>11.177664315174789</v>
      </c>
      <c r="J1884" s="7">
        <v>1.4081113296595329E-2</v>
      </c>
      <c r="K1884" s="5">
        <v>0.18228134585283731</v>
      </c>
      <c r="L1884">
        <v>205.53211747847439</v>
      </c>
      <c r="M1884" s="10">
        <v>-0.65186261688929037</v>
      </c>
      <c r="N1884" s="24" t="s">
        <v>343</v>
      </c>
      <c r="O1884" s="24">
        <v>11.888242986642579</v>
      </c>
      <c r="P1884">
        <v>9.9631699589821352</v>
      </c>
      <c r="Q1884" t="s">
        <v>348</v>
      </c>
      <c r="R1884" t="s">
        <v>375</v>
      </c>
      <c r="S1884" t="s">
        <v>343</v>
      </c>
      <c r="T1884" t="s">
        <v>343</v>
      </c>
    </row>
    <row r="1885" spans="2:20" x14ac:dyDescent="0.25">
      <c r="B1885">
        <v>1880</v>
      </c>
      <c r="C1885" t="s">
        <v>2224</v>
      </c>
      <c r="D1885" s="10">
        <v>0.24720430702351021</v>
      </c>
      <c r="E1885" s="10">
        <v>0.52844211319501722</v>
      </c>
      <c r="F1885" s="10">
        <v>0.44810500140261</v>
      </c>
      <c r="G1885" s="10">
        <v>0.37521763384347789</v>
      </c>
      <c r="H1885" s="6">
        <v>0.2278374790097559</v>
      </c>
      <c r="I1885" s="10">
        <v>5.3998726897564566</v>
      </c>
      <c r="J1885" s="7">
        <v>4.1071331829649407E-2</v>
      </c>
      <c r="K1885" s="5">
        <v>0.10627701009855969</v>
      </c>
      <c r="L1885">
        <v>130.0436889598522</v>
      </c>
      <c r="M1885" s="10">
        <v>-0.77972751840457466</v>
      </c>
      <c r="N1885" s="24" t="s">
        <v>343</v>
      </c>
      <c r="O1885" s="24">
        <v>4.2163488957255169</v>
      </c>
      <c r="P1885">
        <v>57.836830201526404</v>
      </c>
      <c r="Q1885" t="s">
        <v>47</v>
      </c>
      <c r="R1885" t="s">
        <v>350</v>
      </c>
      <c r="S1885" t="s">
        <v>343</v>
      </c>
      <c r="T1885" t="s">
        <v>343</v>
      </c>
    </row>
    <row r="1886" spans="2:20" x14ac:dyDescent="0.25">
      <c r="B1886">
        <v>1881</v>
      </c>
      <c r="C1886" t="s">
        <v>2225</v>
      </c>
      <c r="D1886" s="10">
        <v>0.31754715832392127</v>
      </c>
      <c r="E1886" s="10">
        <v>0.89322809021768723</v>
      </c>
      <c r="F1886" s="10">
        <v>0.61843829269334205</v>
      </c>
      <c r="G1886" s="10">
        <v>0.28074035638225159</v>
      </c>
      <c r="H1886" s="6">
        <v>0.22307592834330711</v>
      </c>
      <c r="I1886" s="10">
        <v>12.26184180134088</v>
      </c>
      <c r="J1886" s="7">
        <v>3.8765851927189628E-2</v>
      </c>
      <c r="K1886" s="5">
        <v>0.18179345142193279</v>
      </c>
      <c r="L1886">
        <v>213.88298693245</v>
      </c>
      <c r="M1886" s="10">
        <v>-0.63771762644169894</v>
      </c>
      <c r="N1886" s="24" t="s">
        <v>343</v>
      </c>
      <c r="O1886" s="24">
        <v>12.73694241349806</v>
      </c>
      <c r="P1886">
        <v>15.636680487539101</v>
      </c>
      <c r="Q1886" t="s">
        <v>348</v>
      </c>
      <c r="R1886" t="s">
        <v>353</v>
      </c>
      <c r="S1886" t="s">
        <v>343</v>
      </c>
      <c r="T1886" t="s">
        <v>343</v>
      </c>
    </row>
    <row r="1887" spans="2:20" x14ac:dyDescent="0.25">
      <c r="B1887">
        <v>1882</v>
      </c>
      <c r="C1887" t="s">
        <v>2226</v>
      </c>
      <c r="D1887" s="10">
        <v>0.30998209063953902</v>
      </c>
      <c r="E1887" s="10">
        <v>0.60575397284408339</v>
      </c>
      <c r="F1887" s="10">
        <v>0.56666986157499522</v>
      </c>
      <c r="G1887" s="10">
        <v>0.43993908950978911</v>
      </c>
      <c r="H1887" s="6">
        <v>0.154808148253612</v>
      </c>
      <c r="I1887" s="10">
        <v>4.7147341001639678</v>
      </c>
      <c r="J1887" s="7">
        <v>3.7219862491042789E-2</v>
      </c>
      <c r="K1887" s="5">
        <v>0.17817170817572531</v>
      </c>
      <c r="L1887">
        <v>122.2317271020141</v>
      </c>
      <c r="M1887" s="10">
        <v>-0.79295968859536381</v>
      </c>
      <c r="N1887" s="24" t="s">
        <v>343</v>
      </c>
      <c r="O1887" s="24">
        <v>3.422418684278171</v>
      </c>
      <c r="P1887">
        <v>51.092014034328031</v>
      </c>
      <c r="Q1887" t="s">
        <v>47</v>
      </c>
      <c r="R1887" t="s">
        <v>350</v>
      </c>
      <c r="S1887" t="s">
        <v>343</v>
      </c>
      <c r="T1887" t="s">
        <v>343</v>
      </c>
    </row>
    <row r="1888" spans="2:20" x14ac:dyDescent="0.25">
      <c r="B1888">
        <v>1883</v>
      </c>
      <c r="C1888" t="s">
        <v>2227</v>
      </c>
      <c r="D1888" s="10">
        <v>0.1669077977275219</v>
      </c>
      <c r="E1888" s="10">
        <v>0.84293518253940025</v>
      </c>
      <c r="F1888" s="10">
        <v>0.6456510037058617</v>
      </c>
      <c r="G1888" s="10">
        <v>0.3304253681463864</v>
      </c>
      <c r="H1888" s="6">
        <v>0.20392269566453619</v>
      </c>
      <c r="I1888" s="10">
        <v>6.6290697180368836</v>
      </c>
      <c r="J1888" s="7">
        <v>2.9570368565195449E-2</v>
      </c>
      <c r="K1888" s="5">
        <v>0.1095723514835218</v>
      </c>
      <c r="L1888">
        <v>230.37400832516181</v>
      </c>
      <c r="M1888" s="10">
        <v>-0.60978456613504062</v>
      </c>
      <c r="N1888" s="24" t="s">
        <v>343</v>
      </c>
      <c r="O1888" s="24">
        <v>14.412926031897561</v>
      </c>
      <c r="P1888">
        <v>57.911995204588038</v>
      </c>
      <c r="Q1888" t="s">
        <v>47</v>
      </c>
      <c r="R1888" t="s">
        <v>350</v>
      </c>
      <c r="S1888" t="s">
        <v>343</v>
      </c>
      <c r="T1888" t="s">
        <v>343</v>
      </c>
    </row>
    <row r="1889" spans="2:20" x14ac:dyDescent="0.25">
      <c r="B1889">
        <v>1884</v>
      </c>
      <c r="C1889" t="s">
        <v>2228</v>
      </c>
      <c r="D1889" s="10">
        <v>0.1863703705167099</v>
      </c>
      <c r="E1889" s="10">
        <v>0.78029445298357625</v>
      </c>
      <c r="F1889" s="10">
        <v>0.65199088904771196</v>
      </c>
      <c r="G1889" s="10">
        <v>0.42699183322420559</v>
      </c>
      <c r="H1889" s="6">
        <v>0.173511779778347</v>
      </c>
      <c r="I1889" s="10">
        <v>9.5032839284074342</v>
      </c>
      <c r="J1889" s="7">
        <v>1.7729310409849632E-2</v>
      </c>
      <c r="K1889" s="5">
        <v>0.1023931748558316</v>
      </c>
      <c r="L1889">
        <v>213.66620971224111</v>
      </c>
      <c r="M1889" s="10">
        <v>-0.63808481116731464</v>
      </c>
      <c r="N1889" s="24" t="s">
        <v>343</v>
      </c>
      <c r="O1889" s="24">
        <v>12.714911329961121</v>
      </c>
      <c r="P1889">
        <v>57.767774822336051</v>
      </c>
      <c r="Q1889" t="s">
        <v>47</v>
      </c>
      <c r="R1889" t="s">
        <v>350</v>
      </c>
      <c r="S1889" t="s">
        <v>343</v>
      </c>
      <c r="T1889" t="s">
        <v>343</v>
      </c>
    </row>
    <row r="1890" spans="2:20" x14ac:dyDescent="0.25">
      <c r="B1890">
        <v>1885</v>
      </c>
      <c r="C1890" t="s">
        <v>2229</v>
      </c>
      <c r="D1890" s="10">
        <v>0.18107660375272991</v>
      </c>
      <c r="E1890" s="10">
        <v>0.59595616058853418</v>
      </c>
      <c r="F1890" s="10">
        <v>0.49993913171784649</v>
      </c>
      <c r="G1890" s="10">
        <v>0.29483203979633971</v>
      </c>
      <c r="H1890" s="6">
        <v>0.15603022887809251</v>
      </c>
      <c r="I1890" s="10">
        <v>11.105495108177159</v>
      </c>
      <c r="J1890" s="7">
        <v>4.0936361026185801E-2</v>
      </c>
      <c r="K1890" s="5">
        <v>0.1047492414150548</v>
      </c>
      <c r="L1890">
        <v>174.80009344744391</v>
      </c>
      <c r="M1890" s="10">
        <v>-0.70391757820198597</v>
      </c>
      <c r="N1890" s="24" t="s">
        <v>343</v>
      </c>
      <c r="O1890" s="24">
        <v>8.7649453078808399</v>
      </c>
      <c r="P1890">
        <v>25.057999209811609</v>
      </c>
      <c r="Q1890" t="s">
        <v>348</v>
      </c>
      <c r="R1890" t="s">
        <v>371</v>
      </c>
      <c r="S1890" t="s">
        <v>343</v>
      </c>
      <c r="T1890" t="s">
        <v>343</v>
      </c>
    </row>
    <row r="1891" spans="2:20" x14ac:dyDescent="0.25">
      <c r="B1891">
        <v>1886</v>
      </c>
      <c r="C1891" t="s">
        <v>2230</v>
      </c>
      <c r="D1891" s="10">
        <v>0.27615678559764728</v>
      </c>
      <c r="E1891" s="10">
        <v>1.0704329375988271</v>
      </c>
      <c r="F1891" s="10">
        <v>0.45258996607096219</v>
      </c>
      <c r="G1891" s="10">
        <v>0.30889703811820451</v>
      </c>
      <c r="H1891" s="6">
        <v>0.25433284290211572</v>
      </c>
      <c r="I1891" s="10">
        <v>5.9279961832442476</v>
      </c>
      <c r="J1891" s="7">
        <v>2.2353797526664321E-2</v>
      </c>
      <c r="K1891" s="5">
        <v>0.1560859161345069</v>
      </c>
      <c r="L1891">
        <v>251.684541215769</v>
      </c>
      <c r="M1891" s="10">
        <v>-0.57368805117548594</v>
      </c>
      <c r="N1891" s="24" t="s">
        <v>343</v>
      </c>
      <c r="O1891" s="24">
        <v>16.57871692947084</v>
      </c>
      <c r="P1891">
        <v>22.89804874305894</v>
      </c>
      <c r="Q1891" t="s">
        <v>348</v>
      </c>
      <c r="R1891" t="s">
        <v>375</v>
      </c>
      <c r="S1891" t="s">
        <v>343</v>
      </c>
      <c r="T1891" t="s">
        <v>343</v>
      </c>
    </row>
    <row r="1892" spans="2:20" x14ac:dyDescent="0.25">
      <c r="B1892">
        <v>1887</v>
      </c>
      <c r="C1892" t="s">
        <v>2231</v>
      </c>
      <c r="D1892" s="10">
        <v>0.29084565277711122</v>
      </c>
      <c r="E1892" s="10">
        <v>0.43914005525227962</v>
      </c>
      <c r="F1892" s="10">
        <v>0.62284080258920382</v>
      </c>
      <c r="G1892" s="10">
        <v>0.25302914737794918</v>
      </c>
      <c r="H1892" s="6">
        <v>0.177473371314392</v>
      </c>
      <c r="I1892" s="10">
        <v>13.42931709030025</v>
      </c>
      <c r="J1892" s="7">
        <v>1.0704134128430069E-2</v>
      </c>
      <c r="K1892" s="5">
        <v>0.16368359432641461</v>
      </c>
      <c r="L1892">
        <v>147.94279573361061</v>
      </c>
      <c r="M1892" s="10">
        <v>-0.74940939455763855</v>
      </c>
      <c r="N1892" s="24" t="s">
        <v>343</v>
      </c>
      <c r="O1892" s="24">
        <v>6.035436326541685</v>
      </c>
      <c r="P1892">
        <v>54.484379478051942</v>
      </c>
      <c r="Q1892" t="s">
        <v>47</v>
      </c>
      <c r="R1892" t="s">
        <v>350</v>
      </c>
      <c r="S1892" t="s">
        <v>343</v>
      </c>
      <c r="T1892" t="s">
        <v>343</v>
      </c>
    </row>
    <row r="1893" spans="2:20" x14ac:dyDescent="0.25">
      <c r="B1893">
        <v>1888</v>
      </c>
      <c r="C1893" t="s">
        <v>2232</v>
      </c>
      <c r="D1893" s="10">
        <v>0.19416181860970749</v>
      </c>
      <c r="E1893" s="10">
        <v>0.35838006038850378</v>
      </c>
      <c r="F1893" s="10">
        <v>0.69421832500060732</v>
      </c>
      <c r="G1893" s="10">
        <v>0.29670889228082631</v>
      </c>
      <c r="H1893" s="6">
        <v>0.16241807437070971</v>
      </c>
      <c r="I1893" s="10">
        <v>10.767224115166179</v>
      </c>
      <c r="J1893" s="7">
        <v>4.4362096221115491E-2</v>
      </c>
      <c r="K1893" s="5">
        <v>0.158962072168392</v>
      </c>
      <c r="L1893">
        <v>93.192481869856891</v>
      </c>
      <c r="M1893" s="10">
        <v>-0.84214736284628544</v>
      </c>
      <c r="N1893" s="24" t="s">
        <v>343</v>
      </c>
      <c r="O1893" s="24">
        <v>0.47115822922287259</v>
      </c>
      <c r="P1893">
        <v>50.51972049659966</v>
      </c>
      <c r="Q1893" t="s">
        <v>47</v>
      </c>
      <c r="R1893" t="s">
        <v>350</v>
      </c>
      <c r="S1893" t="s">
        <v>343</v>
      </c>
      <c r="T1893" t="s">
        <v>343</v>
      </c>
    </row>
    <row r="1894" spans="2:20" x14ac:dyDescent="0.25">
      <c r="B1894">
        <v>1889</v>
      </c>
      <c r="C1894" t="s">
        <v>2233</v>
      </c>
      <c r="D1894" s="10">
        <v>0.24093643087229269</v>
      </c>
      <c r="E1894" s="10">
        <v>1.1444429763410069</v>
      </c>
      <c r="F1894" s="10">
        <v>0.55613107651103422</v>
      </c>
      <c r="G1894" s="10">
        <v>0.34786904017192632</v>
      </c>
      <c r="H1894" s="6">
        <v>0.25975805949125519</v>
      </c>
      <c r="I1894" s="10">
        <v>5.394425349348035</v>
      </c>
      <c r="J1894" s="7">
        <v>4.0140498619767109E-2</v>
      </c>
      <c r="K1894" s="5">
        <v>0.1514403009392303</v>
      </c>
      <c r="L1894">
        <v>163.94662352556051</v>
      </c>
      <c r="M1894" s="10">
        <v>-0.72230155956037889</v>
      </c>
      <c r="N1894" s="24" t="s">
        <v>343</v>
      </c>
      <c r="O1894" s="24">
        <v>7.6619064263772714</v>
      </c>
      <c r="P1894">
        <v>55.137707858186729</v>
      </c>
      <c r="Q1894" t="s">
        <v>47</v>
      </c>
      <c r="R1894" t="s">
        <v>350</v>
      </c>
      <c r="S1894" t="s">
        <v>343</v>
      </c>
      <c r="T1894" t="s">
        <v>343</v>
      </c>
    </row>
    <row r="1895" spans="2:20" x14ac:dyDescent="0.25">
      <c r="B1895">
        <v>1890</v>
      </c>
      <c r="C1895" t="s">
        <v>2234</v>
      </c>
      <c r="D1895" s="10">
        <v>0.29451248448179201</v>
      </c>
      <c r="E1895" s="10">
        <v>1.0325230343427481</v>
      </c>
      <c r="F1895" s="10">
        <v>0.50749933049433493</v>
      </c>
      <c r="G1895" s="10">
        <v>0.4481501218991133</v>
      </c>
      <c r="H1895" s="6">
        <v>0.14960195946841881</v>
      </c>
      <c r="I1895" s="10">
        <v>10.983420891914269</v>
      </c>
      <c r="J1895" s="7">
        <v>3.1793812440327238E-2</v>
      </c>
      <c r="K1895" s="5">
        <v>0.1165949886098015</v>
      </c>
      <c r="L1895">
        <v>301.73009877550078</v>
      </c>
      <c r="M1895" s="10">
        <v>-0.48891916123795032</v>
      </c>
      <c r="N1895" s="24" t="s">
        <v>343</v>
      </c>
      <c r="O1895" s="24">
        <v>21.664850325722981</v>
      </c>
      <c r="P1895">
        <v>52.635459876019539</v>
      </c>
      <c r="Q1895" t="s">
        <v>47</v>
      </c>
      <c r="R1895" t="s">
        <v>350</v>
      </c>
      <c r="S1895" t="s">
        <v>343</v>
      </c>
      <c r="T1895" t="s">
        <v>343</v>
      </c>
    </row>
    <row r="1896" spans="2:20" x14ac:dyDescent="0.25">
      <c r="B1896">
        <v>1891</v>
      </c>
      <c r="C1896" t="s">
        <v>2235</v>
      </c>
      <c r="D1896" s="10">
        <v>0.2772482471626001</v>
      </c>
      <c r="E1896" s="10">
        <v>0.84837873656103779</v>
      </c>
      <c r="F1896" s="10">
        <v>0.48073469259170498</v>
      </c>
      <c r="G1896" s="10">
        <v>0.32555865425612962</v>
      </c>
      <c r="H1896" s="6">
        <v>0.2318257177074784</v>
      </c>
      <c r="I1896" s="10">
        <v>10.659670641896801</v>
      </c>
      <c r="J1896" s="7">
        <v>1.0434249879962309E-2</v>
      </c>
      <c r="K1896" s="5">
        <v>0.1798906199903508</v>
      </c>
      <c r="L1896">
        <v>229.56897375416341</v>
      </c>
      <c r="M1896" s="10">
        <v>-0.61114816143245387</v>
      </c>
      <c r="N1896" s="24" t="s">
        <v>343</v>
      </c>
      <c r="O1896" s="24">
        <v>14.33111031405277</v>
      </c>
      <c r="P1896">
        <v>15.589783543936869</v>
      </c>
      <c r="Q1896" t="s">
        <v>348</v>
      </c>
      <c r="R1896" t="s">
        <v>371</v>
      </c>
      <c r="S1896" t="s">
        <v>343</v>
      </c>
      <c r="T1896" t="s">
        <v>343</v>
      </c>
    </row>
    <row r="1897" spans="2:20" x14ac:dyDescent="0.25">
      <c r="B1897">
        <v>1892</v>
      </c>
      <c r="C1897" t="s">
        <v>2236</v>
      </c>
      <c r="D1897" s="10">
        <v>0.2467579528786957</v>
      </c>
      <c r="E1897" s="10">
        <v>0.81456874751979558</v>
      </c>
      <c r="F1897" s="10">
        <v>0.51473585532155208</v>
      </c>
      <c r="G1897" s="10">
        <v>0.3807436534863361</v>
      </c>
      <c r="H1897" s="6">
        <v>0.21791207166963941</v>
      </c>
      <c r="I1897" s="10">
        <v>11.27952478992715</v>
      </c>
      <c r="J1897" s="7">
        <v>1.7970062001118139E-2</v>
      </c>
      <c r="K1897" s="5">
        <v>0.13111771895422361</v>
      </c>
      <c r="L1897">
        <v>159.1910825982236</v>
      </c>
      <c r="M1897" s="10">
        <v>-0.73035665865647181</v>
      </c>
      <c r="N1897" s="24" t="s">
        <v>343</v>
      </c>
      <c r="O1897" s="24">
        <v>7.1786004806116894</v>
      </c>
      <c r="P1897">
        <v>54.902105405425047</v>
      </c>
      <c r="Q1897" t="s">
        <v>47</v>
      </c>
      <c r="R1897" t="s">
        <v>350</v>
      </c>
      <c r="S1897" t="s">
        <v>343</v>
      </c>
      <c r="T1897" t="s">
        <v>343</v>
      </c>
    </row>
    <row r="1898" spans="2:20" x14ac:dyDescent="0.25">
      <c r="B1898">
        <v>1893</v>
      </c>
      <c r="C1898" t="s">
        <v>2237</v>
      </c>
      <c r="D1898" s="10">
        <v>0.25445563047340369</v>
      </c>
      <c r="E1898" s="10">
        <v>0.84715251744056874</v>
      </c>
      <c r="F1898" s="10">
        <v>0.52525908335657689</v>
      </c>
      <c r="G1898" s="10">
        <v>0.33409622584313342</v>
      </c>
      <c r="H1898" s="6">
        <v>0.25807266425584291</v>
      </c>
      <c r="I1898" s="10">
        <v>13.074687971990789</v>
      </c>
      <c r="J1898" s="7">
        <v>2.582174607915386E-2</v>
      </c>
      <c r="K1898" s="5">
        <v>0.19368692863072409</v>
      </c>
      <c r="L1898">
        <v>171.17804745583189</v>
      </c>
      <c r="M1898" s="10">
        <v>-0.71005272451632528</v>
      </c>
      <c r="N1898" s="24" t="s">
        <v>343</v>
      </c>
      <c r="O1898" s="24">
        <v>8.3968365290204794</v>
      </c>
      <c r="P1898">
        <v>50.085597838490592</v>
      </c>
      <c r="Q1898" t="s">
        <v>47</v>
      </c>
      <c r="R1898" t="s">
        <v>350</v>
      </c>
      <c r="S1898" t="s">
        <v>343</v>
      </c>
      <c r="T1898" t="s">
        <v>343</v>
      </c>
    </row>
    <row r="1899" spans="2:20" x14ac:dyDescent="0.25">
      <c r="B1899">
        <v>1894</v>
      </c>
      <c r="C1899" t="s">
        <v>2238</v>
      </c>
      <c r="D1899" s="10">
        <v>0.24133768750660481</v>
      </c>
      <c r="E1899" s="10">
        <v>0.78072648370854014</v>
      </c>
      <c r="F1899" s="10">
        <v>0.55020743329296073</v>
      </c>
      <c r="G1899" s="10">
        <v>0.25029420716894712</v>
      </c>
      <c r="H1899" s="6">
        <v>0.24480707063509169</v>
      </c>
      <c r="I1899" s="10">
        <v>10.828889039171189</v>
      </c>
      <c r="J1899" s="7">
        <v>3.1982972313624708E-2</v>
      </c>
      <c r="K1899" s="5">
        <v>0.13656149079994809</v>
      </c>
      <c r="L1899">
        <v>101.4340068268171</v>
      </c>
      <c r="M1899" s="10">
        <v>-0.82818758387569125</v>
      </c>
      <c r="N1899" s="24" t="s">
        <v>343</v>
      </c>
      <c r="O1899" s="24">
        <v>1.3087449674585301</v>
      </c>
      <c r="P1899">
        <v>57.657779227528302</v>
      </c>
      <c r="Q1899" t="s">
        <v>47</v>
      </c>
      <c r="R1899" t="s">
        <v>350</v>
      </c>
      <c r="S1899" t="s">
        <v>343</v>
      </c>
      <c r="T1899" t="s">
        <v>343</v>
      </c>
    </row>
    <row r="1900" spans="2:20" x14ac:dyDescent="0.25">
      <c r="B1900">
        <v>1895</v>
      </c>
      <c r="C1900" t="s">
        <v>2239</v>
      </c>
      <c r="D1900" s="10">
        <v>0.2076077522110113</v>
      </c>
      <c r="E1900" s="10">
        <v>0.73218152541429693</v>
      </c>
      <c r="F1900" s="10">
        <v>0.61040585203579245</v>
      </c>
      <c r="G1900" s="10">
        <v>0.35077717769727462</v>
      </c>
      <c r="H1900" s="6">
        <v>0.2257942826909462</v>
      </c>
      <c r="I1900" s="10">
        <v>6.8710132217251783</v>
      </c>
      <c r="J1900" s="7">
        <v>3.4785408085992862E-2</v>
      </c>
      <c r="K1900" s="5">
        <v>0.12498546017756471</v>
      </c>
      <c r="L1900">
        <v>215.52838187026251</v>
      </c>
      <c r="M1900" s="10">
        <v>-0.63493059979661193</v>
      </c>
      <c r="N1900" s="24" t="s">
        <v>343</v>
      </c>
      <c r="O1900" s="24">
        <v>12.904164012203291</v>
      </c>
      <c r="P1900">
        <v>69.888348583807726</v>
      </c>
      <c r="Q1900" t="s">
        <v>47</v>
      </c>
      <c r="R1900" t="s">
        <v>350</v>
      </c>
      <c r="S1900" t="s">
        <v>343</v>
      </c>
      <c r="T1900" t="s">
        <v>343</v>
      </c>
    </row>
    <row r="1901" spans="2:20" x14ac:dyDescent="0.25">
      <c r="B1901">
        <v>1896</v>
      </c>
      <c r="C1901" t="s">
        <v>2240</v>
      </c>
      <c r="D1901" s="10">
        <v>0.25040351885744261</v>
      </c>
      <c r="E1901" s="10">
        <v>0.84965966317473218</v>
      </c>
      <c r="F1901" s="10">
        <v>0.51102239458085907</v>
      </c>
      <c r="G1901" s="10">
        <v>0.25450100227486261</v>
      </c>
      <c r="H1901" s="6">
        <v>0.16718574910456441</v>
      </c>
      <c r="I1901" s="10">
        <v>11.69569225521375</v>
      </c>
      <c r="J1901" s="7">
        <v>3.7589544423053199E-2</v>
      </c>
      <c r="K1901" s="5">
        <v>0.1849538273092651</v>
      </c>
      <c r="L1901">
        <v>138.93444155740701</v>
      </c>
      <c r="M1901" s="10">
        <v>-0.76466805528430759</v>
      </c>
      <c r="N1901" s="24" t="s">
        <v>343</v>
      </c>
      <c r="O1901" s="24">
        <v>5.1199166829415503</v>
      </c>
      <c r="P1901">
        <v>63.98329321148703</v>
      </c>
      <c r="Q1901" t="s">
        <v>47</v>
      </c>
      <c r="R1901" t="s">
        <v>350</v>
      </c>
      <c r="S1901" t="s">
        <v>343</v>
      </c>
      <c r="T1901" t="s">
        <v>343</v>
      </c>
    </row>
    <row r="1902" spans="2:20" x14ac:dyDescent="0.25">
      <c r="B1902">
        <v>1897</v>
      </c>
      <c r="C1902" t="s">
        <v>2241</v>
      </c>
      <c r="D1902" s="10">
        <v>0.27022164832801449</v>
      </c>
      <c r="E1902" s="10">
        <v>0.8813666882757365</v>
      </c>
      <c r="F1902" s="10">
        <v>0.45325395850185568</v>
      </c>
      <c r="G1902" s="10">
        <v>0.43441398341145793</v>
      </c>
      <c r="H1902" s="6">
        <v>0.19433535169058239</v>
      </c>
      <c r="I1902" s="10">
        <v>10.65447933582522</v>
      </c>
      <c r="J1902" s="7">
        <v>2.9448132399045542E-2</v>
      </c>
      <c r="K1902" s="5">
        <v>0.15390434550314819</v>
      </c>
      <c r="L1902">
        <v>315.53341165198049</v>
      </c>
      <c r="M1902" s="10">
        <v>-0.46553863423306852</v>
      </c>
      <c r="N1902" s="24" t="s">
        <v>343</v>
      </c>
      <c r="O1902" s="24">
        <v>23.067681946015892</v>
      </c>
      <c r="P1902">
        <v>27.851004998003241</v>
      </c>
      <c r="Q1902" t="s">
        <v>348</v>
      </c>
      <c r="R1902" t="s">
        <v>371</v>
      </c>
      <c r="S1902" t="s">
        <v>343</v>
      </c>
      <c r="T1902" t="s">
        <v>343</v>
      </c>
    </row>
    <row r="1903" spans="2:20" x14ac:dyDescent="0.25">
      <c r="B1903">
        <v>1898</v>
      </c>
      <c r="C1903" t="s">
        <v>2242</v>
      </c>
      <c r="D1903" s="10">
        <v>0.2997316665377292</v>
      </c>
      <c r="E1903" s="10">
        <v>1.0610925454919831</v>
      </c>
      <c r="F1903" s="10">
        <v>0.53705243900890709</v>
      </c>
      <c r="G1903" s="10">
        <v>0.40566813162920112</v>
      </c>
      <c r="H1903" s="6">
        <v>0.26167436420207701</v>
      </c>
      <c r="I1903" s="10">
        <v>9.3168510444443555</v>
      </c>
      <c r="J1903" s="7">
        <v>3.2966419974798322E-2</v>
      </c>
      <c r="K1903" s="5">
        <v>0.16857579181660029</v>
      </c>
      <c r="L1903">
        <v>252.37730283345411</v>
      </c>
      <c r="M1903" s="10">
        <v>-0.57251462767525996</v>
      </c>
      <c r="N1903" s="24" t="s">
        <v>343</v>
      </c>
      <c r="O1903" s="24">
        <v>16.6491223394844</v>
      </c>
      <c r="P1903">
        <v>54.734950778306072</v>
      </c>
      <c r="Q1903" t="s">
        <v>47</v>
      </c>
      <c r="R1903" t="s">
        <v>350</v>
      </c>
      <c r="S1903" t="s">
        <v>343</v>
      </c>
      <c r="T1903" t="s">
        <v>343</v>
      </c>
    </row>
    <row r="1904" spans="2:20" x14ac:dyDescent="0.25">
      <c r="B1904">
        <v>1899</v>
      </c>
      <c r="C1904" t="s">
        <v>2243</v>
      </c>
      <c r="D1904" s="10">
        <v>0.2618066166366797</v>
      </c>
      <c r="E1904" s="10">
        <v>1.0823278768074249</v>
      </c>
      <c r="F1904" s="10">
        <v>0.66246370020135958</v>
      </c>
      <c r="G1904" s="10">
        <v>0.32330332367552062</v>
      </c>
      <c r="H1904" s="6">
        <v>0.123480394587224</v>
      </c>
      <c r="I1904" s="10">
        <v>6.892161826632484</v>
      </c>
      <c r="J1904" s="7">
        <v>3.8393494437537729E-2</v>
      </c>
      <c r="K1904" s="5">
        <v>0.13879788441608831</v>
      </c>
      <c r="L1904">
        <v>197.5920081256408</v>
      </c>
      <c r="M1904" s="10">
        <v>-0.66531184772299612</v>
      </c>
      <c r="N1904" s="24" t="s">
        <v>343</v>
      </c>
      <c r="O1904" s="24">
        <v>11.08128913662024</v>
      </c>
      <c r="P1904">
        <v>25.03093854528592</v>
      </c>
      <c r="Q1904" t="s">
        <v>348</v>
      </c>
      <c r="R1904" t="s">
        <v>351</v>
      </c>
      <c r="S1904" t="s">
        <v>343</v>
      </c>
      <c r="T1904" t="s">
        <v>343</v>
      </c>
    </row>
    <row r="1905" spans="2:20" x14ac:dyDescent="0.25">
      <c r="B1905">
        <v>1900</v>
      </c>
      <c r="C1905" t="s">
        <v>2244</v>
      </c>
      <c r="D1905" s="10">
        <v>0.28177944592690529</v>
      </c>
      <c r="E1905" s="10">
        <v>0.71539198815415905</v>
      </c>
      <c r="F1905" s="10">
        <v>0.56957139282148983</v>
      </c>
      <c r="G1905" s="10">
        <v>0.38084810656208379</v>
      </c>
      <c r="H1905" s="6">
        <v>0.2391497735730059</v>
      </c>
      <c r="I1905" s="10">
        <v>13.131540940491069</v>
      </c>
      <c r="J1905" s="7">
        <v>3.5194445861578147E-2</v>
      </c>
      <c r="K1905" s="5">
        <v>0.18425697306464109</v>
      </c>
      <c r="L1905">
        <v>260.27173585658289</v>
      </c>
      <c r="M1905" s="10">
        <v>-0.55914276498278959</v>
      </c>
      <c r="N1905" s="24" t="s">
        <v>343</v>
      </c>
      <c r="O1905" s="24">
        <v>17.451434101032621</v>
      </c>
      <c r="P1905">
        <v>46.061280754087008</v>
      </c>
      <c r="Q1905" t="s">
        <v>346</v>
      </c>
      <c r="R1905" t="s">
        <v>347</v>
      </c>
      <c r="S1905" t="s">
        <v>343</v>
      </c>
      <c r="T1905" t="s">
        <v>343</v>
      </c>
    </row>
    <row r="1906" spans="2:20" x14ac:dyDescent="0.25">
      <c r="B1906">
        <v>1901</v>
      </c>
      <c r="C1906" t="s">
        <v>2245</v>
      </c>
      <c r="D1906" s="10">
        <v>0.1856114615927317</v>
      </c>
      <c r="E1906" s="10">
        <v>0.75489457501783752</v>
      </c>
      <c r="F1906" s="10">
        <v>0.6908437770138065</v>
      </c>
      <c r="G1906" s="10">
        <v>0.26464619416893298</v>
      </c>
      <c r="H1906" s="6">
        <v>0.1577715525680819</v>
      </c>
      <c r="I1906" s="10">
        <v>8.6403021702768932</v>
      </c>
      <c r="J1906" s="7">
        <v>4.3418431627234723E-2</v>
      </c>
      <c r="K1906" s="5">
        <v>0.18718389523351109</v>
      </c>
      <c r="L1906">
        <v>78.573064806183154</v>
      </c>
      <c r="M1906" s="10">
        <v>-0.86691023524594568</v>
      </c>
      <c r="N1906" s="24" t="s">
        <v>343</v>
      </c>
      <c r="O1906" s="24">
        <v>0</v>
      </c>
      <c r="P1906">
        <v>49.107810536337261</v>
      </c>
      <c r="Q1906" t="s">
        <v>346</v>
      </c>
      <c r="R1906" t="s">
        <v>347</v>
      </c>
      <c r="S1906" t="s">
        <v>343</v>
      </c>
      <c r="T1906" t="s">
        <v>343</v>
      </c>
    </row>
    <row r="1907" spans="2:20" x14ac:dyDescent="0.25">
      <c r="B1907">
        <v>1902</v>
      </c>
      <c r="C1907" t="s">
        <v>2246</v>
      </c>
      <c r="D1907" s="10">
        <v>0.23384919590716641</v>
      </c>
      <c r="E1907" s="10">
        <v>0.7110668867098453</v>
      </c>
      <c r="F1907" s="10">
        <v>0.57094159808307021</v>
      </c>
      <c r="G1907" s="10">
        <v>0.3945620971317832</v>
      </c>
      <c r="H1907" s="6">
        <v>0.14775254149406869</v>
      </c>
      <c r="I1907" s="10">
        <v>9.9091371474095844</v>
      </c>
      <c r="J1907" s="7">
        <v>4.0612606513933093E-2</v>
      </c>
      <c r="K1907" s="5">
        <v>0.14149304845610691</v>
      </c>
      <c r="L1907">
        <v>179.0105917635548</v>
      </c>
      <c r="M1907" s="10">
        <v>-0.69678569106266119</v>
      </c>
      <c r="N1907" s="24" t="s">
        <v>343</v>
      </c>
      <c r="O1907" s="24">
        <v>9.1928585362403297</v>
      </c>
      <c r="P1907">
        <v>58.163367748623493</v>
      </c>
      <c r="Q1907" t="s">
        <v>47</v>
      </c>
      <c r="R1907" t="s">
        <v>350</v>
      </c>
      <c r="S1907" t="s">
        <v>343</v>
      </c>
      <c r="T1907" t="s">
        <v>343</v>
      </c>
    </row>
    <row r="1908" spans="2:20" x14ac:dyDescent="0.25">
      <c r="B1908">
        <v>1903</v>
      </c>
      <c r="C1908" t="s">
        <v>2247</v>
      </c>
      <c r="D1908" s="10">
        <v>0.16149305917233489</v>
      </c>
      <c r="E1908" s="10">
        <v>0.89018935098828122</v>
      </c>
      <c r="F1908" s="10">
        <v>0.51173369239968047</v>
      </c>
      <c r="G1908" s="10">
        <v>0.42100112997812328</v>
      </c>
      <c r="H1908" s="6">
        <v>0.15483369216334791</v>
      </c>
      <c r="I1908" s="10">
        <v>7.5689939683000196</v>
      </c>
      <c r="J1908" s="7">
        <v>1.5927644722839831E-2</v>
      </c>
      <c r="K1908" s="5">
        <v>0.1228687643600323</v>
      </c>
      <c r="L1908">
        <v>214.03548721500371</v>
      </c>
      <c r="M1908" s="10">
        <v>-0.6374593162080322</v>
      </c>
      <c r="N1908" s="24" t="s">
        <v>343</v>
      </c>
      <c r="O1908" s="24">
        <v>12.752441027518071</v>
      </c>
      <c r="P1908">
        <v>64.357378355455467</v>
      </c>
      <c r="Q1908" t="s">
        <v>47</v>
      </c>
      <c r="R1908" t="s">
        <v>350</v>
      </c>
      <c r="S1908" t="s">
        <v>343</v>
      </c>
      <c r="T1908" t="s">
        <v>343</v>
      </c>
    </row>
    <row r="1909" spans="2:20" x14ac:dyDescent="0.25">
      <c r="B1909">
        <v>1904</v>
      </c>
      <c r="C1909" t="s">
        <v>2248</v>
      </c>
      <c r="D1909" s="10">
        <v>0.19946861832345969</v>
      </c>
      <c r="E1909" s="10">
        <v>0.79868889170561475</v>
      </c>
      <c r="F1909" s="10">
        <v>0.49026163928375582</v>
      </c>
      <c r="G1909" s="10">
        <v>0.42078404267841157</v>
      </c>
      <c r="H1909" s="6">
        <v>0.12896264872452709</v>
      </c>
      <c r="I1909" s="10">
        <v>11.588968396962651</v>
      </c>
      <c r="J1909" s="7">
        <v>4.3159669435097817E-2</v>
      </c>
      <c r="K1909" s="5">
        <v>0.16152878152118141</v>
      </c>
      <c r="L1909">
        <v>330.19672338150912</v>
      </c>
      <c r="M1909" s="10">
        <v>-0.44070141153579689</v>
      </c>
      <c r="N1909" s="24" t="s">
        <v>343</v>
      </c>
      <c r="O1909" s="24">
        <v>24.557915307852181</v>
      </c>
      <c r="P1909">
        <v>17.754310295907079</v>
      </c>
      <c r="Q1909" t="s">
        <v>348</v>
      </c>
      <c r="R1909" t="s">
        <v>371</v>
      </c>
      <c r="S1909" t="s">
        <v>343</v>
      </c>
      <c r="T1909" t="s">
        <v>343</v>
      </c>
    </row>
    <row r="1910" spans="2:20" x14ac:dyDescent="0.25">
      <c r="B1910">
        <v>1905</v>
      </c>
      <c r="C1910" t="s">
        <v>2249</v>
      </c>
      <c r="D1910" s="10">
        <v>0.27623387441808078</v>
      </c>
      <c r="E1910" s="10">
        <v>1.278556109449813</v>
      </c>
      <c r="F1910" s="10">
        <v>0.62057636916424985</v>
      </c>
      <c r="G1910" s="10">
        <v>0.30254106049194429</v>
      </c>
      <c r="H1910" s="6">
        <v>0.26879697364292521</v>
      </c>
      <c r="I1910" s="10">
        <v>6.7514345702581622</v>
      </c>
      <c r="J1910" s="7">
        <v>1.714615973976142E-2</v>
      </c>
      <c r="K1910" s="5">
        <v>0.19068551171294901</v>
      </c>
      <c r="L1910">
        <v>103.05344116818161</v>
      </c>
      <c r="M1910" s="10">
        <v>-0.82544453018345587</v>
      </c>
      <c r="N1910" s="24" t="s">
        <v>343</v>
      </c>
      <c r="O1910" s="24">
        <v>1.4733281889926459</v>
      </c>
      <c r="P1910">
        <v>53.205206022710009</v>
      </c>
      <c r="Q1910" t="s">
        <v>47</v>
      </c>
      <c r="R1910" t="s">
        <v>350</v>
      </c>
      <c r="S1910" t="s">
        <v>343</v>
      </c>
      <c r="T1910" t="s">
        <v>343</v>
      </c>
    </row>
    <row r="1911" spans="2:20" x14ac:dyDescent="0.25">
      <c r="B1911">
        <v>1906</v>
      </c>
      <c r="C1911" t="s">
        <v>2250</v>
      </c>
      <c r="D1911" s="10">
        <v>0.31868959221589821</v>
      </c>
      <c r="E1911" s="10">
        <v>1.06599739360812</v>
      </c>
      <c r="F1911" s="10">
        <v>0.57945913430213347</v>
      </c>
      <c r="G1911" s="10">
        <v>0.29802416296090178</v>
      </c>
      <c r="H1911" s="6">
        <v>0.25048037148377178</v>
      </c>
      <c r="I1911" s="10">
        <v>11.916978306598461</v>
      </c>
      <c r="J1911" s="7">
        <v>4.4694232499550277E-2</v>
      </c>
      <c r="K1911" s="5">
        <v>0.1591324136594294</v>
      </c>
      <c r="L1911">
        <v>156.92245636846499</v>
      </c>
      <c r="M1911" s="10">
        <v>-0.73419933594007059</v>
      </c>
      <c r="N1911" s="24" t="s">
        <v>343</v>
      </c>
      <c r="O1911" s="24">
        <v>6.9480398435957653</v>
      </c>
      <c r="P1911">
        <v>46.352456369842542</v>
      </c>
      <c r="Q1911" t="s">
        <v>346</v>
      </c>
      <c r="R1911" t="s">
        <v>347</v>
      </c>
      <c r="S1911" t="s">
        <v>343</v>
      </c>
      <c r="T1911" t="s">
        <v>343</v>
      </c>
    </row>
    <row r="1912" spans="2:20" x14ac:dyDescent="0.25">
      <c r="B1912">
        <v>1907</v>
      </c>
      <c r="C1912" t="s">
        <v>2251</v>
      </c>
      <c r="D1912" s="10">
        <v>0.17586849593395451</v>
      </c>
      <c r="E1912" s="10">
        <v>1.2885220221298901</v>
      </c>
      <c r="F1912" s="10">
        <v>0.59703972153881479</v>
      </c>
      <c r="G1912" s="10">
        <v>0.35470749133858931</v>
      </c>
      <c r="H1912" s="6">
        <v>0.19815839529483409</v>
      </c>
      <c r="I1912" s="10">
        <v>4.1873557153873886</v>
      </c>
      <c r="J1912" s="7">
        <v>3.4546533970000223E-2</v>
      </c>
      <c r="K1912" s="5">
        <v>0.19065113164873501</v>
      </c>
      <c r="L1912">
        <v>165.2851884558761</v>
      </c>
      <c r="M1912" s="10">
        <v>-0.72003425215518624</v>
      </c>
      <c r="N1912" s="24" t="s">
        <v>343</v>
      </c>
      <c r="O1912" s="24">
        <v>7.7979448706888306</v>
      </c>
      <c r="P1912">
        <v>55.293140305185887</v>
      </c>
      <c r="Q1912" t="s">
        <v>47</v>
      </c>
      <c r="R1912" t="s">
        <v>350</v>
      </c>
      <c r="S1912" t="s">
        <v>343</v>
      </c>
      <c r="T1912" t="s">
        <v>343</v>
      </c>
    </row>
    <row r="1913" spans="2:20" x14ac:dyDescent="0.25">
      <c r="B1913">
        <v>1908</v>
      </c>
      <c r="C1913" t="s">
        <v>2252</v>
      </c>
      <c r="D1913" s="10">
        <v>0.22423909053780611</v>
      </c>
      <c r="E1913" s="10">
        <v>1.080050690715368</v>
      </c>
      <c r="F1913" s="10">
        <v>0.6363329652268741</v>
      </c>
      <c r="G1913" s="10">
        <v>0.45290987562456658</v>
      </c>
      <c r="H1913" s="6">
        <v>0.22726547678356379</v>
      </c>
      <c r="I1913" s="10">
        <v>10.79858083537048</v>
      </c>
      <c r="J1913" s="7">
        <v>3.1963604345946188E-2</v>
      </c>
      <c r="K1913" s="5">
        <v>0.13266175667239841</v>
      </c>
      <c r="L1913">
        <v>640.97191526058805</v>
      </c>
      <c r="M1913" s="10">
        <v>8.5700317614112578E-2</v>
      </c>
      <c r="N1913" s="24" t="s">
        <v>343</v>
      </c>
      <c r="O1913" s="24">
        <v>65.433879306637223</v>
      </c>
      <c r="P1913">
        <v>18.635896598771669</v>
      </c>
      <c r="Q1913" t="s">
        <v>348</v>
      </c>
      <c r="R1913" t="s">
        <v>375</v>
      </c>
      <c r="S1913" t="s">
        <v>343</v>
      </c>
      <c r="T1913" t="s">
        <v>343</v>
      </c>
    </row>
    <row r="1914" spans="2:20" x14ac:dyDescent="0.25">
      <c r="B1914">
        <v>1909</v>
      </c>
      <c r="C1914" t="s">
        <v>2253</v>
      </c>
      <c r="D1914" s="10">
        <v>0.28801135499186548</v>
      </c>
      <c r="E1914" s="10">
        <v>1.368091363376196</v>
      </c>
      <c r="F1914" s="10">
        <v>0.62873490070887217</v>
      </c>
      <c r="G1914" s="10">
        <v>0.44251505507333883</v>
      </c>
      <c r="H1914" s="6">
        <v>0.20348930443852609</v>
      </c>
      <c r="I1914" s="10">
        <v>8.2457036415418088</v>
      </c>
      <c r="J1914" s="7">
        <v>2.1351297169264979E-2</v>
      </c>
      <c r="K1914" s="5">
        <v>0.1869325117259881</v>
      </c>
      <c r="L1914">
        <v>259.10905537455352</v>
      </c>
      <c r="M1914" s="10">
        <v>-0.56111215324859198</v>
      </c>
      <c r="N1914" s="24" t="s">
        <v>343</v>
      </c>
      <c r="O1914" s="24">
        <v>17.333270805084481</v>
      </c>
      <c r="P1914">
        <v>49.876120272924638</v>
      </c>
      <c r="Q1914" t="s">
        <v>346</v>
      </c>
      <c r="R1914" t="s">
        <v>347</v>
      </c>
      <c r="S1914" t="s">
        <v>343</v>
      </c>
      <c r="T1914" t="s">
        <v>343</v>
      </c>
    </row>
    <row r="1915" spans="2:20" x14ac:dyDescent="0.25">
      <c r="B1915">
        <v>1910</v>
      </c>
      <c r="C1915" t="s">
        <v>2254</v>
      </c>
      <c r="D1915" s="10">
        <v>0.1926457015406238</v>
      </c>
      <c r="E1915" s="10">
        <v>0.99931045608079594</v>
      </c>
      <c r="F1915" s="10">
        <v>0.451274458043739</v>
      </c>
      <c r="G1915" s="10">
        <v>0.31912046598631599</v>
      </c>
      <c r="H1915" s="6">
        <v>0.24173684166762491</v>
      </c>
      <c r="I1915" s="10">
        <v>10.68628919214099</v>
      </c>
      <c r="J1915" s="7">
        <v>1.4658763372073931E-2</v>
      </c>
      <c r="K1915" s="5">
        <v>0.1106938490795764</v>
      </c>
      <c r="L1915">
        <v>250.57315062764749</v>
      </c>
      <c r="M1915" s="10">
        <v>-0.57557056285156483</v>
      </c>
      <c r="N1915" s="24" t="s">
        <v>343</v>
      </c>
      <c r="O1915" s="24">
        <v>16.465766228906109</v>
      </c>
      <c r="P1915">
        <v>19.744570824333941</v>
      </c>
      <c r="Q1915" t="s">
        <v>348</v>
      </c>
      <c r="R1915" t="s">
        <v>404</v>
      </c>
      <c r="S1915" t="s">
        <v>343</v>
      </c>
      <c r="T1915" t="s">
        <v>343</v>
      </c>
    </row>
    <row r="1916" spans="2:20" x14ac:dyDescent="0.25">
      <c r="B1916">
        <v>1911</v>
      </c>
      <c r="C1916" t="s">
        <v>2255</v>
      </c>
      <c r="D1916" s="10">
        <v>0.2488135918883658</v>
      </c>
      <c r="E1916" s="10">
        <v>1.3599051519793599</v>
      </c>
      <c r="F1916" s="10">
        <v>0.64866869537670735</v>
      </c>
      <c r="G1916" s="10">
        <v>0.41156249136026968</v>
      </c>
      <c r="H1916" s="6">
        <v>0.24671477873355169</v>
      </c>
      <c r="I1916" s="10">
        <v>8.8453520735133466</v>
      </c>
      <c r="J1916" s="7">
        <v>1.4416055575727961E-2</v>
      </c>
      <c r="K1916" s="5">
        <v>0.13408926979907981</v>
      </c>
      <c r="L1916">
        <v>321.88135934989339</v>
      </c>
      <c r="M1916" s="10">
        <v>-0.45478626167549718</v>
      </c>
      <c r="N1916" s="24" t="s">
        <v>343</v>
      </c>
      <c r="O1916" s="24">
        <v>23.712824299470171</v>
      </c>
      <c r="P1916">
        <v>52.38997017254006</v>
      </c>
      <c r="Q1916" t="s">
        <v>47</v>
      </c>
      <c r="R1916" t="s">
        <v>350</v>
      </c>
      <c r="S1916" t="s">
        <v>343</v>
      </c>
      <c r="T1916" t="s">
        <v>343</v>
      </c>
    </row>
    <row r="1917" spans="2:20" x14ac:dyDescent="0.25">
      <c r="B1917">
        <v>1912</v>
      </c>
      <c r="C1917" t="s">
        <v>2256</v>
      </c>
      <c r="D1917" s="10">
        <v>0.277291407364748</v>
      </c>
      <c r="E1917" s="10">
        <v>0.47398687945036871</v>
      </c>
      <c r="F1917" s="10">
        <v>0.57850285983344496</v>
      </c>
      <c r="G1917" s="10">
        <v>0.44268990810012071</v>
      </c>
      <c r="H1917" s="6">
        <v>0.1549185642229802</v>
      </c>
      <c r="I1917" s="10">
        <v>4.4773696047396214</v>
      </c>
      <c r="J1917" s="7">
        <v>4.0330131740656659E-2</v>
      </c>
      <c r="K1917" s="5">
        <v>0.14697476727660169</v>
      </c>
      <c r="L1917">
        <v>95.427468573583269</v>
      </c>
      <c r="M1917" s="10">
        <v>-0.83836166535108003</v>
      </c>
      <c r="N1917" s="24" t="s">
        <v>343</v>
      </c>
      <c r="O1917" s="24">
        <v>0.69830007893520474</v>
      </c>
      <c r="P1917">
        <v>59.647080220138577</v>
      </c>
      <c r="Q1917" t="s">
        <v>47</v>
      </c>
      <c r="R1917" t="s">
        <v>350</v>
      </c>
      <c r="S1917" t="s">
        <v>343</v>
      </c>
      <c r="T1917" t="s">
        <v>343</v>
      </c>
    </row>
    <row r="1918" spans="2:20" x14ac:dyDescent="0.25">
      <c r="B1918">
        <v>1913</v>
      </c>
      <c r="C1918" t="s">
        <v>2257</v>
      </c>
      <c r="D1918" s="10">
        <v>0.25855767204162872</v>
      </c>
      <c r="E1918" s="10">
        <v>0.3577254489123442</v>
      </c>
      <c r="F1918" s="10">
        <v>0.54184421801184091</v>
      </c>
      <c r="G1918" s="10">
        <v>0.29740382245787311</v>
      </c>
      <c r="H1918" s="6">
        <v>0.1889621655975369</v>
      </c>
      <c r="I1918" s="10">
        <v>8.2469069680546774</v>
      </c>
      <c r="J1918" s="7">
        <v>2.5135464616987319E-2</v>
      </c>
      <c r="K1918" s="5">
        <v>0.16204548213396769</v>
      </c>
      <c r="L1918">
        <v>75.142323561047931</v>
      </c>
      <c r="M1918" s="10">
        <v>-0.87272134298844473</v>
      </c>
      <c r="N1918" s="24" t="s">
        <v>343</v>
      </c>
      <c r="O1918" s="24">
        <v>0</v>
      </c>
      <c r="P1918">
        <v>67.626402365837009</v>
      </c>
      <c r="Q1918" t="s">
        <v>47</v>
      </c>
      <c r="R1918" t="s">
        <v>350</v>
      </c>
      <c r="S1918" t="s">
        <v>343</v>
      </c>
      <c r="T1918" t="s">
        <v>343</v>
      </c>
    </row>
    <row r="1919" spans="2:20" x14ac:dyDescent="0.25">
      <c r="B1919">
        <v>1914</v>
      </c>
      <c r="C1919" t="s">
        <v>2258</v>
      </c>
      <c r="D1919" s="10">
        <v>0.1900839575384666</v>
      </c>
      <c r="E1919" s="10">
        <v>0.937037703724245</v>
      </c>
      <c r="F1919" s="10">
        <v>0.57975505082969825</v>
      </c>
      <c r="G1919" s="10">
        <v>0.42266504291264673</v>
      </c>
      <c r="H1919" s="6">
        <v>0.21522716012843571</v>
      </c>
      <c r="I1919" s="10">
        <v>13.610148677311569</v>
      </c>
      <c r="J1919" s="7">
        <v>2.9594814990209151E-2</v>
      </c>
      <c r="K1919" s="5">
        <v>0.12794322827012899</v>
      </c>
      <c r="L1919">
        <v>398.69981243261748</v>
      </c>
      <c r="M1919" s="10">
        <v>-0.3246685187216094</v>
      </c>
      <c r="N1919" s="24" t="s">
        <v>343</v>
      </c>
      <c r="O1919" s="24">
        <v>31.51988887670344</v>
      </c>
      <c r="P1919">
        <v>18.70938607405165</v>
      </c>
      <c r="Q1919" t="s">
        <v>348</v>
      </c>
      <c r="R1919" t="s">
        <v>353</v>
      </c>
      <c r="S1919" t="s">
        <v>343</v>
      </c>
      <c r="T1919" t="s">
        <v>343</v>
      </c>
    </row>
    <row r="1920" spans="2:20" x14ac:dyDescent="0.25">
      <c r="B1920">
        <v>1915</v>
      </c>
      <c r="C1920" t="s">
        <v>2259</v>
      </c>
      <c r="D1920" s="10">
        <v>0.2168615309897183</v>
      </c>
      <c r="E1920" s="10">
        <v>1.381842526379752</v>
      </c>
      <c r="F1920" s="10">
        <v>0.59923737659890453</v>
      </c>
      <c r="G1920" s="10">
        <v>0.29893703792001891</v>
      </c>
      <c r="H1920" s="6">
        <v>0.26676612459124133</v>
      </c>
      <c r="I1920" s="10">
        <v>11.303246613604671</v>
      </c>
      <c r="J1920" s="7">
        <v>4.2614263767307849E-2</v>
      </c>
      <c r="K1920" s="5">
        <v>0.18780273354120419</v>
      </c>
      <c r="L1920">
        <v>233.8437516142119</v>
      </c>
      <c r="M1920" s="10">
        <v>-0.60390739538656935</v>
      </c>
      <c r="N1920" s="24" t="s">
        <v>343</v>
      </c>
      <c r="O1920" s="24">
        <v>14.765556276805841</v>
      </c>
      <c r="P1920">
        <v>46.270235596193473</v>
      </c>
      <c r="Q1920" t="s">
        <v>346</v>
      </c>
      <c r="R1920" t="s">
        <v>347</v>
      </c>
      <c r="S1920" t="s">
        <v>343</v>
      </c>
      <c r="T1920" t="s">
        <v>343</v>
      </c>
    </row>
    <row r="1921" spans="2:20" x14ac:dyDescent="0.25">
      <c r="B1921">
        <v>1916</v>
      </c>
      <c r="C1921" t="s">
        <v>2260</v>
      </c>
      <c r="D1921" s="10">
        <v>0.28540668551766363</v>
      </c>
      <c r="E1921" s="10">
        <v>0.75936577203263633</v>
      </c>
      <c r="F1921" s="10">
        <v>0.47887164056718717</v>
      </c>
      <c r="G1921" s="10">
        <v>0.31552206769518631</v>
      </c>
      <c r="H1921" s="6">
        <v>0.2224034068644247</v>
      </c>
      <c r="I1921" s="10">
        <v>6.3020821022359179</v>
      </c>
      <c r="J1921" s="7">
        <v>1.893741466834822E-2</v>
      </c>
      <c r="K1921" s="5">
        <v>0.18583213987344521</v>
      </c>
      <c r="L1921">
        <v>92.913122211769576</v>
      </c>
      <c r="M1921" s="10">
        <v>-0.84262055186173657</v>
      </c>
      <c r="N1921" s="24" t="s">
        <v>343</v>
      </c>
      <c r="O1921" s="24">
        <v>0.44276688829580729</v>
      </c>
      <c r="P1921">
        <v>61.089052365853917</v>
      </c>
      <c r="Q1921" t="s">
        <v>47</v>
      </c>
      <c r="R1921" t="s">
        <v>350</v>
      </c>
      <c r="S1921" t="s">
        <v>343</v>
      </c>
      <c r="T1921" t="s">
        <v>343</v>
      </c>
    </row>
    <row r="1922" spans="2:20" x14ac:dyDescent="0.25">
      <c r="B1922">
        <v>1917</v>
      </c>
      <c r="C1922" t="s">
        <v>2261</v>
      </c>
      <c r="D1922" s="10">
        <v>0.2486762422611227</v>
      </c>
      <c r="E1922" s="10">
        <v>0.5332476984122555</v>
      </c>
      <c r="F1922" s="10">
        <v>0.54852800278487568</v>
      </c>
      <c r="G1922" s="10">
        <v>0.28374055198716591</v>
      </c>
      <c r="H1922" s="6">
        <v>0.2546452516116236</v>
      </c>
      <c r="I1922" s="10">
        <v>13.385255626975299</v>
      </c>
      <c r="J1922" s="7">
        <v>3.6737811989950298E-2</v>
      </c>
      <c r="K1922" s="5">
        <v>0.17593697823172841</v>
      </c>
      <c r="L1922">
        <v>95.056737912729787</v>
      </c>
      <c r="M1922" s="10">
        <v>-0.83898962171961189</v>
      </c>
      <c r="N1922" s="24" t="s">
        <v>343</v>
      </c>
      <c r="O1922" s="24">
        <v>0.66062269682328889</v>
      </c>
      <c r="P1922">
        <v>49.167356230712237</v>
      </c>
      <c r="Q1922" t="s">
        <v>346</v>
      </c>
      <c r="R1922" t="s">
        <v>347</v>
      </c>
      <c r="S1922" t="s">
        <v>343</v>
      </c>
      <c r="T1922" t="s">
        <v>343</v>
      </c>
    </row>
    <row r="1923" spans="2:20" x14ac:dyDescent="0.25">
      <c r="B1923">
        <v>1918</v>
      </c>
      <c r="C1923" t="s">
        <v>2262</v>
      </c>
      <c r="D1923" s="10">
        <v>0.160836738166866</v>
      </c>
      <c r="E1923" s="10">
        <v>0.87369559411286524</v>
      </c>
      <c r="F1923" s="10">
        <v>0.5272524146489278</v>
      </c>
      <c r="G1923" s="10">
        <v>0.35155755579599701</v>
      </c>
      <c r="H1923" s="6">
        <v>0.24691680764806309</v>
      </c>
      <c r="I1923" s="10">
        <v>11.568409049080181</v>
      </c>
      <c r="J1923" s="7">
        <v>2.6466266664337771E-2</v>
      </c>
      <c r="K1923" s="5">
        <v>0.1108644398742146</v>
      </c>
      <c r="L1923">
        <v>192.70445436058071</v>
      </c>
      <c r="M1923" s="10">
        <v>-0.67359055471271567</v>
      </c>
      <c r="N1923" s="24" t="s">
        <v>343</v>
      </c>
      <c r="O1923" s="24">
        <v>10.58456671723706</v>
      </c>
      <c r="P1923">
        <v>57.229017982295197</v>
      </c>
      <c r="Q1923" t="s">
        <v>47</v>
      </c>
      <c r="R1923" t="s">
        <v>350</v>
      </c>
      <c r="S1923" t="s">
        <v>343</v>
      </c>
      <c r="T1923" t="s">
        <v>343</v>
      </c>
    </row>
    <row r="1924" spans="2:20" x14ac:dyDescent="0.25">
      <c r="B1924">
        <v>1919</v>
      </c>
      <c r="C1924" t="s">
        <v>2263</v>
      </c>
      <c r="D1924" s="10">
        <v>0.28175852160449499</v>
      </c>
      <c r="E1924" s="10">
        <v>1.013678487036777</v>
      </c>
      <c r="F1924" s="10">
        <v>0.53110632565269</v>
      </c>
      <c r="G1924" s="10">
        <v>0.42552839673747311</v>
      </c>
      <c r="H1924" s="6">
        <v>0.20730945955178459</v>
      </c>
      <c r="I1924" s="10">
        <v>7.0089183318597454</v>
      </c>
      <c r="J1924" s="7">
        <v>1.744641306916981E-2</v>
      </c>
      <c r="K1924" s="5">
        <v>0.1074376403581371</v>
      </c>
      <c r="L1924">
        <v>273.98058365627548</v>
      </c>
      <c r="M1924" s="10">
        <v>-0.53592224618018536</v>
      </c>
      <c r="N1924" s="24" t="s">
        <v>343</v>
      </c>
      <c r="O1924" s="24">
        <v>18.84466522918888</v>
      </c>
      <c r="P1924">
        <v>55.738380648665093</v>
      </c>
      <c r="Q1924" t="s">
        <v>47</v>
      </c>
      <c r="R1924" t="s">
        <v>350</v>
      </c>
      <c r="S1924" t="s">
        <v>343</v>
      </c>
      <c r="T1924" t="s">
        <v>343</v>
      </c>
    </row>
    <row r="1925" spans="2:20" x14ac:dyDescent="0.25">
      <c r="B1925">
        <v>1920</v>
      </c>
      <c r="C1925" t="s">
        <v>2264</v>
      </c>
      <c r="D1925" s="10">
        <v>0.16564981679043819</v>
      </c>
      <c r="E1925" s="10">
        <v>0.64669656506747786</v>
      </c>
      <c r="F1925" s="10">
        <v>0.46374708398590009</v>
      </c>
      <c r="G1925" s="10">
        <v>0.35617147023581269</v>
      </c>
      <c r="H1925" s="6">
        <v>0.25404830400928341</v>
      </c>
      <c r="I1925" s="10">
        <v>9.6393136235380368</v>
      </c>
      <c r="J1925" s="7">
        <v>3.9854008820314257E-2</v>
      </c>
      <c r="K1925" s="5">
        <v>0.14732248823633751</v>
      </c>
      <c r="L1925">
        <v>106.8247784865886</v>
      </c>
      <c r="M1925" s="10">
        <v>-0.8190565090752927</v>
      </c>
      <c r="N1925" s="24" t="s">
        <v>343</v>
      </c>
      <c r="O1925" s="24">
        <v>1.8566094554824419</v>
      </c>
      <c r="P1925">
        <v>57.47230327998421</v>
      </c>
      <c r="Q1925" t="s">
        <v>47</v>
      </c>
      <c r="R1925" t="s">
        <v>350</v>
      </c>
      <c r="S1925" t="s">
        <v>343</v>
      </c>
      <c r="T1925" t="s">
        <v>343</v>
      </c>
    </row>
    <row r="1926" spans="2:20" x14ac:dyDescent="0.25">
      <c r="B1926">
        <v>1921</v>
      </c>
      <c r="C1926" t="s">
        <v>2265</v>
      </c>
      <c r="D1926" s="10">
        <v>0.27931740523699722</v>
      </c>
      <c r="E1926" s="10">
        <v>1.0862462943491851</v>
      </c>
      <c r="F1926" s="10">
        <v>0.48155930688005988</v>
      </c>
      <c r="G1926" s="10">
        <v>0.26715680213248139</v>
      </c>
      <c r="H1926" s="6">
        <v>0.1766132591737852</v>
      </c>
      <c r="I1926" s="10">
        <v>7.6935416444002849</v>
      </c>
      <c r="J1926" s="7">
        <v>3.3798221070741263E-2</v>
      </c>
      <c r="K1926" s="5">
        <v>0.17270765679111211</v>
      </c>
      <c r="L1926">
        <v>162.64421958518119</v>
      </c>
      <c r="M1926" s="10">
        <v>-0.72450761623472903</v>
      </c>
      <c r="N1926" s="24" t="s">
        <v>343</v>
      </c>
      <c r="O1926" s="24">
        <v>7.5295430259162544</v>
      </c>
      <c r="P1926">
        <v>60.01358618194233</v>
      </c>
      <c r="Q1926" t="s">
        <v>47</v>
      </c>
      <c r="R1926" t="s">
        <v>350</v>
      </c>
      <c r="S1926" t="s">
        <v>343</v>
      </c>
      <c r="T1926" t="s">
        <v>343</v>
      </c>
    </row>
    <row r="1927" spans="2:20" x14ac:dyDescent="0.25">
      <c r="B1927">
        <v>1922</v>
      </c>
      <c r="C1927" t="s">
        <v>2266</v>
      </c>
      <c r="D1927" s="10">
        <v>0.192396889626438</v>
      </c>
      <c r="E1927" s="10">
        <v>1.3726259577502979</v>
      </c>
      <c r="F1927" s="10">
        <v>0.48207633757241752</v>
      </c>
      <c r="G1927" s="10">
        <v>0.29539070508997739</v>
      </c>
      <c r="H1927" s="6">
        <v>0.17689252956724669</v>
      </c>
      <c r="I1927" s="10">
        <v>4.0635943328116007</v>
      </c>
      <c r="J1927" s="7">
        <v>1.332225889019116E-2</v>
      </c>
      <c r="K1927" s="5">
        <v>0.11170740982656981</v>
      </c>
      <c r="L1927">
        <v>244.34391488256429</v>
      </c>
      <c r="M1927" s="10">
        <v>-0.5861218570126836</v>
      </c>
      <c r="N1927" s="24" t="s">
        <v>343</v>
      </c>
      <c r="O1927" s="24">
        <v>15.83268857923898</v>
      </c>
      <c r="P1927">
        <v>19.245602125347741</v>
      </c>
      <c r="Q1927" t="s">
        <v>348</v>
      </c>
      <c r="R1927" t="s">
        <v>375</v>
      </c>
      <c r="S1927" t="s">
        <v>343</v>
      </c>
      <c r="T1927" t="s">
        <v>343</v>
      </c>
    </row>
    <row r="1928" spans="2:20" x14ac:dyDescent="0.25">
      <c r="B1928">
        <v>1923</v>
      </c>
      <c r="C1928" t="s">
        <v>2267</v>
      </c>
      <c r="D1928" s="10">
        <v>0.31329175681910082</v>
      </c>
      <c r="E1928" s="10">
        <v>1.2866594338816779</v>
      </c>
      <c r="F1928" s="10">
        <v>0.53703843323762845</v>
      </c>
      <c r="G1928" s="10">
        <v>0.36382961080189458</v>
      </c>
      <c r="H1928" s="6">
        <v>0.23714484648640041</v>
      </c>
      <c r="I1928" s="10">
        <v>11.86632346998006</v>
      </c>
      <c r="J1928" s="7">
        <v>2.8961501835114371E-2</v>
      </c>
      <c r="K1928" s="5">
        <v>0.16093655935892179</v>
      </c>
      <c r="L1928">
        <v>286.05351057555117</v>
      </c>
      <c r="M1928" s="10">
        <v>-0.51547270653778043</v>
      </c>
      <c r="N1928" s="24" t="s">
        <v>343</v>
      </c>
      <c r="O1928" s="24">
        <v>20.07163760773317</v>
      </c>
      <c r="P1928">
        <v>50.652698768737892</v>
      </c>
      <c r="Q1928" t="s">
        <v>47</v>
      </c>
      <c r="R1928" t="s">
        <v>350</v>
      </c>
      <c r="S1928" t="s">
        <v>343</v>
      </c>
      <c r="T1928" t="s">
        <v>343</v>
      </c>
    </row>
    <row r="1929" spans="2:20" x14ac:dyDescent="0.25">
      <c r="B1929">
        <v>1924</v>
      </c>
      <c r="C1929" t="s">
        <v>2268</v>
      </c>
      <c r="D1929" s="10">
        <v>0.2188705202083335</v>
      </c>
      <c r="E1929" s="10">
        <v>0.62074391086341474</v>
      </c>
      <c r="F1929" s="10">
        <v>0.67256780166744579</v>
      </c>
      <c r="G1929" s="10">
        <v>0.36830124022552319</v>
      </c>
      <c r="H1929" s="6">
        <v>0.14018154984525161</v>
      </c>
      <c r="I1929" s="10">
        <v>5.1018593764027376</v>
      </c>
      <c r="J1929" s="7">
        <v>3.9811734826764103E-2</v>
      </c>
      <c r="K1929" s="5">
        <v>0.15014626215471921</v>
      </c>
      <c r="L1929">
        <v>133.12201477334261</v>
      </c>
      <c r="M1929" s="10">
        <v>-0.7745133440642411</v>
      </c>
      <c r="N1929" s="24" t="s">
        <v>343</v>
      </c>
      <c r="O1929" s="24">
        <v>4.5291993561455328</v>
      </c>
      <c r="P1929">
        <v>61.815944607727303</v>
      </c>
      <c r="Q1929" t="s">
        <v>47</v>
      </c>
      <c r="R1929" t="s">
        <v>350</v>
      </c>
      <c r="S1929" t="s">
        <v>343</v>
      </c>
      <c r="T1929" t="s">
        <v>343</v>
      </c>
    </row>
    <row r="1930" spans="2:20" x14ac:dyDescent="0.25">
      <c r="B1930">
        <v>1925</v>
      </c>
      <c r="C1930" t="s">
        <v>2269</v>
      </c>
      <c r="D1930" s="10">
        <v>0.21230905861409269</v>
      </c>
      <c r="E1930" s="10">
        <v>0.65939605145905811</v>
      </c>
      <c r="F1930" s="10">
        <v>0.49356711669944509</v>
      </c>
      <c r="G1930" s="10">
        <v>0.36691929877987139</v>
      </c>
      <c r="H1930" s="6">
        <v>0.16587378261876279</v>
      </c>
      <c r="I1930" s="10">
        <v>8.0384212577494942</v>
      </c>
      <c r="J1930" s="7">
        <v>1.2342718287753971E-2</v>
      </c>
      <c r="K1930" s="5">
        <v>0.16896899487476541</v>
      </c>
      <c r="L1930">
        <v>86.543567956890953</v>
      </c>
      <c r="M1930" s="10">
        <v>-0.85340952235004663</v>
      </c>
      <c r="N1930" s="24" t="s">
        <v>343</v>
      </c>
      <c r="O1930" s="24">
        <v>0</v>
      </c>
      <c r="P1930">
        <v>62.696256213044812</v>
      </c>
      <c r="Q1930" t="s">
        <v>47</v>
      </c>
      <c r="R1930" t="s">
        <v>350</v>
      </c>
      <c r="S1930" t="s">
        <v>343</v>
      </c>
      <c r="T1930" t="s">
        <v>343</v>
      </c>
    </row>
    <row r="1931" spans="2:20" x14ac:dyDescent="0.25">
      <c r="B1931">
        <v>1926</v>
      </c>
      <c r="C1931" t="s">
        <v>2270</v>
      </c>
      <c r="D1931" s="10">
        <v>0.18382208805319111</v>
      </c>
      <c r="E1931" s="10">
        <v>0.70869534689454738</v>
      </c>
      <c r="F1931" s="10">
        <v>0.54821005199544914</v>
      </c>
      <c r="G1931" s="10">
        <v>0.25694076835136748</v>
      </c>
      <c r="H1931" s="6">
        <v>0.21128586763100141</v>
      </c>
      <c r="I1931" s="10">
        <v>10.72901932977436</v>
      </c>
      <c r="J1931" s="7">
        <v>2.4569617902894102E-2</v>
      </c>
      <c r="K1931" s="5">
        <v>0.14136064648579549</v>
      </c>
      <c r="L1931">
        <v>144.06974142637731</v>
      </c>
      <c r="M1931" s="10">
        <v>-0.75596970740658809</v>
      </c>
      <c r="N1931" s="24" t="s">
        <v>343</v>
      </c>
      <c r="O1931" s="24">
        <v>5.6418175556047103</v>
      </c>
      <c r="P1931">
        <v>31.81962193978919</v>
      </c>
      <c r="Q1931" t="s">
        <v>348</v>
      </c>
      <c r="R1931" t="s">
        <v>353</v>
      </c>
      <c r="S1931" t="s">
        <v>343</v>
      </c>
      <c r="T1931" t="s">
        <v>343</v>
      </c>
    </row>
    <row r="1932" spans="2:20" x14ac:dyDescent="0.25">
      <c r="B1932">
        <v>1927</v>
      </c>
      <c r="C1932" t="s">
        <v>2271</v>
      </c>
      <c r="D1932" s="10">
        <v>0.20889667447843441</v>
      </c>
      <c r="E1932" s="10">
        <v>0.7340080562330098</v>
      </c>
      <c r="F1932" s="10">
        <v>0.52101844797777586</v>
      </c>
      <c r="G1932" s="10">
        <v>0.40581309637964591</v>
      </c>
      <c r="H1932" s="6">
        <v>0.18300983983004229</v>
      </c>
      <c r="I1932" s="10">
        <v>13.254350577095529</v>
      </c>
      <c r="J1932" s="7">
        <v>3.8182506468086817E-2</v>
      </c>
      <c r="K1932" s="5">
        <v>0.1658631767359009</v>
      </c>
      <c r="L1932">
        <v>188.90161462340109</v>
      </c>
      <c r="M1932" s="10">
        <v>-0.6800319357033523</v>
      </c>
      <c r="N1932" s="24" t="s">
        <v>343</v>
      </c>
      <c r="O1932" s="24">
        <v>10.19808385779886</v>
      </c>
      <c r="P1932">
        <v>58.274178525930921</v>
      </c>
      <c r="Q1932" t="s">
        <v>47</v>
      </c>
      <c r="R1932" t="s">
        <v>350</v>
      </c>
      <c r="S1932" t="s">
        <v>343</v>
      </c>
      <c r="T1932" t="s">
        <v>343</v>
      </c>
    </row>
    <row r="1933" spans="2:20" x14ac:dyDescent="0.25">
      <c r="B1933">
        <v>1928</v>
      </c>
      <c r="C1933" t="s">
        <v>2272</v>
      </c>
      <c r="D1933" s="10">
        <v>0.30026412189251211</v>
      </c>
      <c r="E1933" s="10">
        <v>0.41035144911260729</v>
      </c>
      <c r="F1933" s="10">
        <v>0.6447196612633479</v>
      </c>
      <c r="G1933" s="10">
        <v>0.44007420377758139</v>
      </c>
      <c r="H1933" s="6">
        <v>0.26110855648323428</v>
      </c>
      <c r="I1933" s="10">
        <v>3.6899869949176889</v>
      </c>
      <c r="J1933" s="7">
        <v>4.0042504803857293E-2</v>
      </c>
      <c r="K1933" s="5">
        <v>0.11516282379098609</v>
      </c>
      <c r="L1933">
        <v>157.8699520899944</v>
      </c>
      <c r="M1933" s="10">
        <v>-0.73259443503675359</v>
      </c>
      <c r="N1933" s="24" t="s">
        <v>343</v>
      </c>
      <c r="O1933" s="24">
        <v>7.0443338977947896</v>
      </c>
      <c r="P1933">
        <v>48.145468861175338</v>
      </c>
      <c r="Q1933" t="s">
        <v>346</v>
      </c>
      <c r="R1933" t="s">
        <v>347</v>
      </c>
      <c r="S1933" t="s">
        <v>343</v>
      </c>
      <c r="T1933" t="s">
        <v>343</v>
      </c>
    </row>
    <row r="1934" spans="2:20" x14ac:dyDescent="0.25">
      <c r="B1934">
        <v>1929</v>
      </c>
      <c r="C1934" t="s">
        <v>2273</v>
      </c>
      <c r="D1934" s="10">
        <v>0.31941349402035962</v>
      </c>
      <c r="E1934" s="10">
        <v>1.138159122778218</v>
      </c>
      <c r="F1934" s="10">
        <v>0.45303287240341222</v>
      </c>
      <c r="G1934" s="10">
        <v>0.35231416850057801</v>
      </c>
      <c r="H1934" s="6">
        <v>0.26377591044287052</v>
      </c>
      <c r="I1934" s="10">
        <v>7.3255691246244137</v>
      </c>
      <c r="J1934" s="7">
        <v>3.713769717171158E-2</v>
      </c>
      <c r="K1934" s="5">
        <v>0.1203864559570047</v>
      </c>
      <c r="L1934">
        <v>344.12333096266548</v>
      </c>
      <c r="M1934" s="10">
        <v>-0.41711204371146487</v>
      </c>
      <c r="N1934" s="24" t="s">
        <v>343</v>
      </c>
      <c r="O1934" s="24">
        <v>25.973277377312112</v>
      </c>
      <c r="P1934">
        <v>53.89574030592145</v>
      </c>
      <c r="Q1934" t="s">
        <v>47</v>
      </c>
      <c r="R1934" t="s">
        <v>350</v>
      </c>
      <c r="S1934" t="s">
        <v>343</v>
      </c>
      <c r="T1934" t="s">
        <v>343</v>
      </c>
    </row>
    <row r="1935" spans="2:20" x14ac:dyDescent="0.25">
      <c r="B1935">
        <v>1930</v>
      </c>
      <c r="C1935" t="s">
        <v>2274</v>
      </c>
      <c r="D1935" s="10">
        <v>0.21892952488109571</v>
      </c>
      <c r="E1935" s="10">
        <v>0.70187318997177051</v>
      </c>
      <c r="F1935" s="10">
        <v>0.49110128283933152</v>
      </c>
      <c r="G1935" s="10">
        <v>0.39814244308980978</v>
      </c>
      <c r="H1935" s="6">
        <v>0.19538719632206841</v>
      </c>
      <c r="I1935" s="10">
        <v>9.761124973749908</v>
      </c>
      <c r="J1935" s="7">
        <v>2.0699835125929461E-2</v>
      </c>
      <c r="K1935" s="5">
        <v>0.1858167360623304</v>
      </c>
      <c r="L1935">
        <v>138.79786355471239</v>
      </c>
      <c r="M1935" s="10">
        <v>-0.76489939581167588</v>
      </c>
      <c r="N1935" s="24" t="s">
        <v>343</v>
      </c>
      <c r="O1935" s="24">
        <v>5.1060362512994431</v>
      </c>
      <c r="P1935">
        <v>58.07439079877274</v>
      </c>
      <c r="Q1935" t="s">
        <v>47</v>
      </c>
      <c r="R1935" t="s">
        <v>350</v>
      </c>
      <c r="S1935" t="s">
        <v>343</v>
      </c>
      <c r="T1935" t="s">
        <v>343</v>
      </c>
    </row>
    <row r="1936" spans="2:20" x14ac:dyDescent="0.25">
      <c r="B1936">
        <v>1931</v>
      </c>
      <c r="C1936" t="s">
        <v>2275</v>
      </c>
      <c r="D1936" s="10">
        <v>0.23177770095272679</v>
      </c>
      <c r="E1936" s="10">
        <v>1.267801974375997</v>
      </c>
      <c r="F1936" s="10">
        <v>0.49476680101224652</v>
      </c>
      <c r="G1936" s="10">
        <v>0.44108340824804132</v>
      </c>
      <c r="H1936" s="6">
        <v>0.20085928355485219</v>
      </c>
      <c r="I1936" s="10">
        <v>11.572402359971401</v>
      </c>
      <c r="J1936" s="7">
        <v>2.7742534622016639E-2</v>
      </c>
      <c r="K1936" s="5">
        <v>0.1312906321532584</v>
      </c>
      <c r="L1936">
        <v>267.12525104528982</v>
      </c>
      <c r="M1936" s="10">
        <v>-0.54753404478772927</v>
      </c>
      <c r="N1936" s="24" t="s">
        <v>343</v>
      </c>
      <c r="O1936" s="24">
        <v>18.147957312736249</v>
      </c>
      <c r="P1936">
        <v>22.299876161561791</v>
      </c>
      <c r="Q1936" t="s">
        <v>348</v>
      </c>
      <c r="R1936" t="s">
        <v>371</v>
      </c>
      <c r="S1936" t="s">
        <v>343</v>
      </c>
      <c r="T1936" t="s">
        <v>343</v>
      </c>
    </row>
    <row r="1937" spans="2:20" x14ac:dyDescent="0.25">
      <c r="B1937">
        <v>1932</v>
      </c>
      <c r="C1937" t="s">
        <v>2276</v>
      </c>
      <c r="D1937" s="10">
        <v>0.2755313501124379</v>
      </c>
      <c r="E1937" s="10">
        <v>1.319634685432119</v>
      </c>
      <c r="F1937" s="10">
        <v>0.69817032808144008</v>
      </c>
      <c r="G1937" s="10">
        <v>0.38137700608856351</v>
      </c>
      <c r="H1937" s="6">
        <v>0.22869406377356569</v>
      </c>
      <c r="I1937" s="10">
        <v>13.13024293710551</v>
      </c>
      <c r="J1937" s="7">
        <v>3.5944729183274307E-2</v>
      </c>
      <c r="K1937" s="5">
        <v>0.19362305240947231</v>
      </c>
      <c r="L1937">
        <v>295.3060451915124</v>
      </c>
      <c r="M1937" s="10">
        <v>-0.49980044456792388</v>
      </c>
      <c r="N1937" s="24" t="s">
        <v>343</v>
      </c>
      <c r="O1937" s="24">
        <v>21.011973325924568</v>
      </c>
      <c r="P1937">
        <v>44.029072209183212</v>
      </c>
      <c r="Q1937" t="s">
        <v>346</v>
      </c>
      <c r="R1937" t="s">
        <v>347</v>
      </c>
      <c r="S1937" t="s">
        <v>343</v>
      </c>
      <c r="T1937" t="s">
        <v>343</v>
      </c>
    </row>
    <row r="1938" spans="2:20" x14ac:dyDescent="0.25">
      <c r="B1938">
        <v>1933</v>
      </c>
      <c r="C1938" t="s">
        <v>2277</v>
      </c>
      <c r="D1938" s="10">
        <v>0.30179132487441201</v>
      </c>
      <c r="E1938" s="10">
        <v>0.32687444023845691</v>
      </c>
      <c r="F1938" s="10">
        <v>0.58840150467123897</v>
      </c>
      <c r="G1938" s="10">
        <v>0.38835165937483129</v>
      </c>
      <c r="H1938" s="6">
        <v>0.188589738785126</v>
      </c>
      <c r="I1938" s="10">
        <v>3.005470465584354</v>
      </c>
      <c r="J1938" s="7">
        <v>1.534057135309095E-2</v>
      </c>
      <c r="K1938" s="5">
        <v>0.1043894367767589</v>
      </c>
      <c r="L1938">
        <v>110.7029421219423</v>
      </c>
      <c r="M1938" s="10">
        <v>-0.81248754187030803</v>
      </c>
      <c r="N1938" s="24" t="s">
        <v>343</v>
      </c>
      <c r="O1938" s="24">
        <v>2.2507474877815241</v>
      </c>
      <c r="P1938">
        <v>59.439722323653072</v>
      </c>
      <c r="Q1938" t="s">
        <v>47</v>
      </c>
      <c r="R1938" t="s">
        <v>350</v>
      </c>
      <c r="S1938" t="s">
        <v>343</v>
      </c>
      <c r="T1938" t="s">
        <v>343</v>
      </c>
    </row>
    <row r="1939" spans="2:20" x14ac:dyDescent="0.25">
      <c r="B1939">
        <v>1934</v>
      </c>
      <c r="C1939" t="s">
        <v>2278</v>
      </c>
      <c r="D1939" s="10">
        <v>0.25488709346988547</v>
      </c>
      <c r="E1939" s="10">
        <v>1.3873533769210269</v>
      </c>
      <c r="F1939" s="10">
        <v>0.47612914873971468</v>
      </c>
      <c r="G1939" s="10">
        <v>0.39870897094447</v>
      </c>
      <c r="H1939" s="6">
        <v>0.14851477019107151</v>
      </c>
      <c r="I1939" s="10">
        <v>9.9053972096865515</v>
      </c>
      <c r="J1939" s="7">
        <v>3.0824921714009561E-2</v>
      </c>
      <c r="K1939" s="5">
        <v>0.14710820242052619</v>
      </c>
      <c r="L1939">
        <v>285.6747698477165</v>
      </c>
      <c r="M1939" s="10">
        <v>-0.51611423063378759</v>
      </c>
      <c r="N1939" s="24" t="s">
        <v>343</v>
      </c>
      <c r="O1939" s="24">
        <v>20.033146161972741</v>
      </c>
      <c r="P1939">
        <v>49.817179849566131</v>
      </c>
      <c r="Q1939" t="s">
        <v>346</v>
      </c>
      <c r="R1939" t="s">
        <v>347</v>
      </c>
      <c r="S1939" t="s">
        <v>343</v>
      </c>
      <c r="T1939" t="s">
        <v>343</v>
      </c>
    </row>
    <row r="1940" spans="2:20" x14ac:dyDescent="0.25">
      <c r="B1940">
        <v>1935</v>
      </c>
      <c r="C1940" t="s">
        <v>2279</v>
      </c>
      <c r="D1940" s="10">
        <v>0.22264411170845269</v>
      </c>
      <c r="E1940" s="10">
        <v>1.081025004650203</v>
      </c>
      <c r="F1940" s="10">
        <v>0.51077177621190706</v>
      </c>
      <c r="G1940" s="10">
        <v>0.29731053931989432</v>
      </c>
      <c r="H1940" s="6">
        <v>0.2320453752934396</v>
      </c>
      <c r="I1940" s="10">
        <v>3.0763061771412961</v>
      </c>
      <c r="J1940" s="7">
        <v>3.5213080382314008E-2</v>
      </c>
      <c r="K1940" s="5">
        <v>0.13087378062240351</v>
      </c>
      <c r="L1940">
        <v>92.196866589576828</v>
      </c>
      <c r="M1940" s="10">
        <v>-0.84383377031638829</v>
      </c>
      <c r="N1940" s="24" t="s">
        <v>343</v>
      </c>
      <c r="O1940" s="24">
        <v>0.36997378101669648</v>
      </c>
      <c r="P1940">
        <v>52.960149799362583</v>
      </c>
      <c r="Q1940" t="s">
        <v>47</v>
      </c>
      <c r="R1940" t="s">
        <v>350</v>
      </c>
      <c r="S1940" t="s">
        <v>343</v>
      </c>
      <c r="T1940" t="s">
        <v>343</v>
      </c>
    </row>
    <row r="1941" spans="2:20" x14ac:dyDescent="0.25">
      <c r="B1941">
        <v>1936</v>
      </c>
      <c r="C1941" t="s">
        <v>2280</v>
      </c>
      <c r="D1941" s="10">
        <v>0.2260194945357798</v>
      </c>
      <c r="E1941" s="10">
        <v>0.87243144859225841</v>
      </c>
      <c r="F1941" s="10">
        <v>0.48363374447196028</v>
      </c>
      <c r="G1941" s="10">
        <v>0.36818913243770202</v>
      </c>
      <c r="H1941" s="6">
        <v>0.23066788340294969</v>
      </c>
      <c r="I1941" s="10">
        <v>11.65980816294876</v>
      </c>
      <c r="J1941" s="7">
        <v>3.9749715427637097E-2</v>
      </c>
      <c r="K1941" s="5">
        <v>0.1946166785198376</v>
      </c>
      <c r="L1941">
        <v>140.93818173223681</v>
      </c>
      <c r="M1941" s="10">
        <v>-0.76127405112837765</v>
      </c>
      <c r="N1941" s="24" t="s">
        <v>343</v>
      </c>
      <c r="O1941" s="24">
        <v>5.3235569322973433</v>
      </c>
      <c r="P1941">
        <v>23.278683164777981</v>
      </c>
      <c r="Q1941" t="s">
        <v>348</v>
      </c>
      <c r="R1941" t="s">
        <v>371</v>
      </c>
      <c r="S1941" t="s">
        <v>343</v>
      </c>
      <c r="T1941" t="s">
        <v>343</v>
      </c>
    </row>
    <row r="1942" spans="2:20" x14ac:dyDescent="0.25">
      <c r="B1942">
        <v>1937</v>
      </c>
      <c r="C1942" t="s">
        <v>2281</v>
      </c>
      <c r="D1942" s="10">
        <v>0.27129890343948909</v>
      </c>
      <c r="E1942" s="10">
        <v>0.72848036920980852</v>
      </c>
      <c r="F1942" s="10">
        <v>0.47239718810105652</v>
      </c>
      <c r="G1942" s="10">
        <v>0.42527852519978038</v>
      </c>
      <c r="H1942" s="6">
        <v>0.15674716550876691</v>
      </c>
      <c r="I1942" s="10">
        <v>4.6463325671580851</v>
      </c>
      <c r="J1942" s="7">
        <v>1.3908510334987779E-2</v>
      </c>
      <c r="K1942" s="5">
        <v>0.1940533018546389</v>
      </c>
      <c r="L1942">
        <v>115.1912162068339</v>
      </c>
      <c r="M1942" s="10">
        <v>-0.80488514856181981</v>
      </c>
      <c r="N1942" s="24" t="s">
        <v>343</v>
      </c>
      <c r="O1942" s="24">
        <v>2.7068910862908102</v>
      </c>
      <c r="P1942">
        <v>48.154259734042661</v>
      </c>
      <c r="Q1942" t="s">
        <v>346</v>
      </c>
      <c r="R1942" t="s">
        <v>347</v>
      </c>
      <c r="S1942" t="s">
        <v>343</v>
      </c>
      <c r="T1942" t="s">
        <v>343</v>
      </c>
    </row>
    <row r="1943" spans="2:20" x14ac:dyDescent="0.25">
      <c r="B1943">
        <v>1938</v>
      </c>
      <c r="C1943" t="s">
        <v>2282</v>
      </c>
      <c r="D1943" s="10">
        <v>0.16051492217668459</v>
      </c>
      <c r="E1943" s="10">
        <v>0.87036994587068417</v>
      </c>
      <c r="F1943" s="10">
        <v>0.64726732738605208</v>
      </c>
      <c r="G1943" s="10">
        <v>0.30515580065736508</v>
      </c>
      <c r="H1943" s="6">
        <v>0.24493747796715121</v>
      </c>
      <c r="I1943" s="10">
        <v>12.840827032789781</v>
      </c>
      <c r="J1943" s="7">
        <v>2.153861431073922E-2</v>
      </c>
      <c r="K1943" s="5">
        <v>0.12234811272602859</v>
      </c>
      <c r="L1943">
        <v>175.59245576897069</v>
      </c>
      <c r="M1943" s="10">
        <v>-0.70257544759740653</v>
      </c>
      <c r="N1943" s="24" t="s">
        <v>343</v>
      </c>
      <c r="O1943" s="24">
        <v>8.845473144155612</v>
      </c>
      <c r="P1943">
        <v>55.910491668409918</v>
      </c>
      <c r="Q1943" t="s">
        <v>47</v>
      </c>
      <c r="R1943" t="s">
        <v>350</v>
      </c>
      <c r="S1943" t="s">
        <v>343</v>
      </c>
      <c r="T1943" t="s">
        <v>343</v>
      </c>
    </row>
    <row r="1944" spans="2:20" x14ac:dyDescent="0.25">
      <c r="B1944">
        <v>1939</v>
      </c>
      <c r="C1944" t="s">
        <v>2283</v>
      </c>
      <c r="D1944" s="10">
        <v>0.25913429399357452</v>
      </c>
      <c r="E1944" s="10">
        <v>0.65708719637628876</v>
      </c>
      <c r="F1944" s="10">
        <v>0.56889568345169228</v>
      </c>
      <c r="G1944" s="10">
        <v>0.4373775099113093</v>
      </c>
      <c r="H1944" s="6">
        <v>0.2120473794630241</v>
      </c>
      <c r="I1944" s="10">
        <v>4.7063665932064263</v>
      </c>
      <c r="J1944" s="7">
        <v>2.8957888221491281E-2</v>
      </c>
      <c r="K1944" s="5">
        <v>0.12538940356980291</v>
      </c>
      <c r="L1944">
        <v>173.82910621607101</v>
      </c>
      <c r="M1944" s="10">
        <v>-0.70556226983418047</v>
      </c>
      <c r="N1944" s="24" t="s">
        <v>343</v>
      </c>
      <c r="O1944" s="24">
        <v>8.6662638099491751</v>
      </c>
      <c r="P1944">
        <v>57.201373785349851</v>
      </c>
      <c r="Q1944" t="s">
        <v>47</v>
      </c>
      <c r="R1944" t="s">
        <v>350</v>
      </c>
      <c r="S1944" t="s">
        <v>343</v>
      </c>
      <c r="T1944" t="s">
        <v>343</v>
      </c>
    </row>
    <row r="1945" spans="2:20" x14ac:dyDescent="0.25">
      <c r="B1945">
        <v>1940</v>
      </c>
      <c r="C1945" t="s">
        <v>2284</v>
      </c>
      <c r="D1945" s="10">
        <v>0.2168788816706172</v>
      </c>
      <c r="E1945" s="10">
        <v>0.98495659506620292</v>
      </c>
      <c r="F1945" s="10">
        <v>0.60411463558068312</v>
      </c>
      <c r="G1945" s="10">
        <v>0.37648402894843902</v>
      </c>
      <c r="H1945" s="6">
        <v>0.1554452415473048</v>
      </c>
      <c r="I1945" s="10">
        <v>11.40761880103838</v>
      </c>
      <c r="J1945" s="7">
        <v>3.4536991497008923E-2</v>
      </c>
      <c r="K1945" s="5">
        <v>0.17121886077811951</v>
      </c>
      <c r="L1945">
        <v>194.06116904839129</v>
      </c>
      <c r="M1945" s="10">
        <v>-0.67129250462284729</v>
      </c>
      <c r="N1945" s="24" t="s">
        <v>343</v>
      </c>
      <c r="O1945" s="24">
        <v>10.722449722629159</v>
      </c>
      <c r="P1945">
        <v>51.740366908057013</v>
      </c>
      <c r="Q1945" t="s">
        <v>47</v>
      </c>
      <c r="R1945" t="s">
        <v>350</v>
      </c>
      <c r="S1945" t="s">
        <v>343</v>
      </c>
      <c r="T1945" t="s">
        <v>343</v>
      </c>
    </row>
    <row r="1946" spans="2:20" x14ac:dyDescent="0.25">
      <c r="B1946">
        <v>1941</v>
      </c>
      <c r="C1946" t="s">
        <v>2285</v>
      </c>
      <c r="D1946" s="10">
        <v>0.2870715730043335</v>
      </c>
      <c r="E1946" s="10">
        <v>0.40227830408927029</v>
      </c>
      <c r="F1946" s="10">
        <v>0.52612532421791891</v>
      </c>
      <c r="G1946" s="10">
        <v>0.33309846731527237</v>
      </c>
      <c r="H1946" s="6">
        <v>0.2178058716253056</v>
      </c>
      <c r="I1946" s="10">
        <v>6.182343205953468</v>
      </c>
      <c r="J1946" s="7">
        <v>3.5551270343372222E-2</v>
      </c>
      <c r="K1946" s="5">
        <v>0.18451907098245759</v>
      </c>
      <c r="L1946">
        <v>103.8658895137773</v>
      </c>
      <c r="M1946" s="10">
        <v>-0.82406837717915515</v>
      </c>
      <c r="N1946" s="24" t="s">
        <v>343</v>
      </c>
      <c r="O1946" s="24">
        <v>1.5558973692506941</v>
      </c>
      <c r="P1946">
        <v>61.03519755161161</v>
      </c>
      <c r="Q1946" t="s">
        <v>47</v>
      </c>
      <c r="R1946" t="s">
        <v>350</v>
      </c>
      <c r="S1946" t="s">
        <v>343</v>
      </c>
      <c r="T1946" t="s">
        <v>343</v>
      </c>
    </row>
    <row r="1947" spans="2:20" x14ac:dyDescent="0.25">
      <c r="B1947">
        <v>1942</v>
      </c>
      <c r="C1947" t="s">
        <v>2286</v>
      </c>
      <c r="D1947" s="10">
        <v>0.17487850237170119</v>
      </c>
      <c r="E1947" s="10">
        <v>0.98323486320299103</v>
      </c>
      <c r="F1947" s="10">
        <v>0.58396072237750563</v>
      </c>
      <c r="G1947" s="10">
        <v>0.37710025150806448</v>
      </c>
      <c r="H1947" s="6">
        <v>0.15504142894358411</v>
      </c>
      <c r="I1947" s="10">
        <v>9.1297927001327945</v>
      </c>
      <c r="J1947" s="7">
        <v>1.8864071089025589E-2</v>
      </c>
      <c r="K1947" s="5">
        <v>0.16305121384621729</v>
      </c>
      <c r="L1947">
        <v>204.618395574565</v>
      </c>
      <c r="M1947" s="10">
        <v>-0.6534103105364949</v>
      </c>
      <c r="N1947" s="24" t="s">
        <v>343</v>
      </c>
      <c r="O1947" s="24">
        <v>11.795381367810309</v>
      </c>
      <c r="P1947">
        <v>29.23240649671234</v>
      </c>
      <c r="Q1947" t="s">
        <v>348</v>
      </c>
      <c r="R1947" t="s">
        <v>375</v>
      </c>
      <c r="S1947" t="s">
        <v>343</v>
      </c>
      <c r="T1947" t="s">
        <v>343</v>
      </c>
    </row>
    <row r="1948" spans="2:20" x14ac:dyDescent="0.25">
      <c r="B1948">
        <v>1943</v>
      </c>
      <c r="C1948" t="s">
        <v>2287</v>
      </c>
      <c r="D1948" s="10">
        <v>0.25411236271174248</v>
      </c>
      <c r="E1948" s="10">
        <v>0.60287933515228853</v>
      </c>
      <c r="F1948" s="10">
        <v>0.50696794845616122</v>
      </c>
      <c r="G1948" s="10">
        <v>0.32840917925159679</v>
      </c>
      <c r="H1948" s="6">
        <v>0.1597849431120027</v>
      </c>
      <c r="I1948" s="10">
        <v>9.6927765861509556</v>
      </c>
      <c r="J1948" s="7">
        <v>1.048568142060155E-2</v>
      </c>
      <c r="K1948" s="5">
        <v>0.18214735073082949</v>
      </c>
      <c r="L1948">
        <v>146.07923678853089</v>
      </c>
      <c r="M1948" s="10">
        <v>-0.75256595491604839</v>
      </c>
      <c r="N1948" s="24" t="s">
        <v>343</v>
      </c>
      <c r="O1948" s="24">
        <v>5.8460427050370916</v>
      </c>
      <c r="P1948">
        <v>54.211662360988093</v>
      </c>
      <c r="Q1948" t="s">
        <v>47</v>
      </c>
      <c r="R1948" t="s">
        <v>350</v>
      </c>
      <c r="S1948" t="s">
        <v>343</v>
      </c>
      <c r="T1948" t="s">
        <v>343</v>
      </c>
    </row>
    <row r="1949" spans="2:20" x14ac:dyDescent="0.25">
      <c r="B1949">
        <v>1944</v>
      </c>
      <c r="C1949" t="s">
        <v>2288</v>
      </c>
      <c r="D1949" s="10">
        <v>0.23695566238177981</v>
      </c>
      <c r="E1949" s="10">
        <v>0.319398311957581</v>
      </c>
      <c r="F1949" s="10">
        <v>0.52008943148134101</v>
      </c>
      <c r="G1949" s="10">
        <v>0.42436783240659842</v>
      </c>
      <c r="H1949" s="6">
        <v>0.24720139602047339</v>
      </c>
      <c r="I1949" s="10">
        <v>5.2743671351185037</v>
      </c>
      <c r="J1949" s="7">
        <v>3.4283594230202573E-2</v>
      </c>
      <c r="K1949" s="5">
        <v>0.1060127832625942</v>
      </c>
      <c r="L1949">
        <v>129.4933957433397</v>
      </c>
      <c r="M1949" s="10">
        <v>-0.78065962401751021</v>
      </c>
      <c r="N1949" s="24" t="s">
        <v>343</v>
      </c>
      <c r="O1949" s="24">
        <v>4.1604225589493922</v>
      </c>
      <c r="P1949">
        <v>54.835747741096519</v>
      </c>
      <c r="Q1949" t="s">
        <v>47</v>
      </c>
      <c r="R1949" t="s">
        <v>350</v>
      </c>
      <c r="S1949" t="s">
        <v>343</v>
      </c>
      <c r="T1949" t="s">
        <v>343</v>
      </c>
    </row>
    <row r="1950" spans="2:20" x14ac:dyDescent="0.25">
      <c r="B1950">
        <v>1945</v>
      </c>
      <c r="C1950" t="s">
        <v>2289</v>
      </c>
      <c r="D1950" s="10">
        <v>0.26277208414483638</v>
      </c>
      <c r="E1950" s="10">
        <v>0.90797634277916517</v>
      </c>
      <c r="F1950" s="10">
        <v>0.60958186553535054</v>
      </c>
      <c r="G1950" s="10">
        <v>0.34611008761487139</v>
      </c>
      <c r="H1950" s="6">
        <v>0.25942373538597291</v>
      </c>
      <c r="I1950" s="10">
        <v>6.2856657187866016</v>
      </c>
      <c r="J1950" s="7">
        <v>4.1819420056892008E-2</v>
      </c>
      <c r="K1950" s="5">
        <v>0.16085020573267639</v>
      </c>
      <c r="L1950">
        <v>151.88337576193939</v>
      </c>
      <c r="M1950" s="10">
        <v>-0.74273470431539734</v>
      </c>
      <c r="N1950" s="24" t="s">
        <v>343</v>
      </c>
      <c r="O1950" s="24">
        <v>6.4359177410761532</v>
      </c>
      <c r="P1950">
        <v>56.897674878040696</v>
      </c>
      <c r="Q1950" t="s">
        <v>47</v>
      </c>
      <c r="R1950" t="s">
        <v>350</v>
      </c>
      <c r="S1950" t="s">
        <v>343</v>
      </c>
      <c r="T1950" t="s">
        <v>343</v>
      </c>
    </row>
    <row r="1951" spans="2:20" x14ac:dyDescent="0.25">
      <c r="B1951">
        <v>1946</v>
      </c>
      <c r="C1951" t="s">
        <v>2290</v>
      </c>
      <c r="D1951" s="10">
        <v>0.17037657511727489</v>
      </c>
      <c r="E1951" s="10">
        <v>0.93629253143796598</v>
      </c>
      <c r="F1951" s="10">
        <v>0.47909103273899989</v>
      </c>
      <c r="G1951" s="10">
        <v>0.43826693914595399</v>
      </c>
      <c r="H1951" s="6">
        <v>0.15853239875373171</v>
      </c>
      <c r="I1951" s="10">
        <v>4.1825856068091074</v>
      </c>
      <c r="J1951" s="7">
        <v>3.7913096578620367E-2</v>
      </c>
      <c r="K1951" s="5">
        <v>0.16651623447121619</v>
      </c>
      <c r="L1951">
        <v>203.55411301197029</v>
      </c>
      <c r="M1951" s="10">
        <v>-0.65521302901561973</v>
      </c>
      <c r="N1951" s="24" t="s">
        <v>343</v>
      </c>
      <c r="O1951" s="24">
        <v>11.687218259062821</v>
      </c>
      <c r="P1951">
        <v>54.896296601523758</v>
      </c>
      <c r="Q1951" t="s">
        <v>47</v>
      </c>
      <c r="R1951" t="s">
        <v>350</v>
      </c>
      <c r="S1951" t="s">
        <v>343</v>
      </c>
      <c r="T1951" t="s">
        <v>343</v>
      </c>
    </row>
    <row r="1952" spans="2:20" x14ac:dyDescent="0.25">
      <c r="B1952">
        <v>1947</v>
      </c>
      <c r="C1952" t="s">
        <v>2291</v>
      </c>
      <c r="D1952" s="10">
        <v>0.25279740598850098</v>
      </c>
      <c r="E1952" s="10">
        <v>0.76922590518268952</v>
      </c>
      <c r="F1952" s="10">
        <v>0.60047768338354002</v>
      </c>
      <c r="G1952" s="10">
        <v>0.3521577777865218</v>
      </c>
      <c r="H1952" s="6">
        <v>0.25920765556277792</v>
      </c>
      <c r="I1952" s="10">
        <v>3.058179059147903</v>
      </c>
      <c r="J1952" s="7">
        <v>3.1786313607191669E-2</v>
      </c>
      <c r="K1952" s="5">
        <v>0.1180803109911477</v>
      </c>
      <c r="L1952">
        <v>107.41017630325101</v>
      </c>
      <c r="M1952" s="10">
        <v>-0.81806494208093761</v>
      </c>
      <c r="N1952" s="24" t="s">
        <v>343</v>
      </c>
      <c r="O1952" s="24">
        <v>1.9161034751437429</v>
      </c>
      <c r="P1952">
        <v>54.546623890355121</v>
      </c>
      <c r="Q1952" t="s">
        <v>47</v>
      </c>
      <c r="R1952" t="s">
        <v>350</v>
      </c>
      <c r="S1952" t="s">
        <v>343</v>
      </c>
      <c r="T1952" t="s">
        <v>343</v>
      </c>
    </row>
    <row r="1953" spans="2:20" x14ac:dyDescent="0.25">
      <c r="B1953">
        <v>1948</v>
      </c>
      <c r="C1953" t="s">
        <v>2292</v>
      </c>
      <c r="D1953" s="10">
        <v>0.2498375340735238</v>
      </c>
      <c r="E1953" s="10">
        <v>0.37951485580534849</v>
      </c>
      <c r="F1953" s="10">
        <v>0.66158105227001307</v>
      </c>
      <c r="G1953" s="10">
        <v>0.3852810457202252</v>
      </c>
      <c r="H1953" s="6">
        <v>0.15581982697535299</v>
      </c>
      <c r="I1953" s="10">
        <v>5.6341484236766943</v>
      </c>
      <c r="J1953" s="7">
        <v>4.4214965419306008E-2</v>
      </c>
      <c r="K1953" s="5">
        <v>0.17390716988583749</v>
      </c>
      <c r="L1953">
        <v>107.1623857945916</v>
      </c>
      <c r="M1953" s="10">
        <v>-0.81848465818323191</v>
      </c>
      <c r="N1953" s="24" t="s">
        <v>343</v>
      </c>
      <c r="O1953" s="24">
        <v>1.890920509006079</v>
      </c>
      <c r="P1953">
        <v>52.29466835263441</v>
      </c>
      <c r="Q1953" t="s">
        <v>47</v>
      </c>
      <c r="R1953" t="s">
        <v>350</v>
      </c>
      <c r="S1953" t="s">
        <v>343</v>
      </c>
      <c r="T1953" t="s">
        <v>343</v>
      </c>
    </row>
    <row r="1954" spans="2:20" x14ac:dyDescent="0.25">
      <c r="B1954">
        <v>1949</v>
      </c>
      <c r="C1954" t="s">
        <v>2293</v>
      </c>
      <c r="D1954" s="10">
        <v>0.24970561510658729</v>
      </c>
      <c r="E1954" s="10">
        <v>1.28267724808461</v>
      </c>
      <c r="F1954" s="10">
        <v>0.47131003880700001</v>
      </c>
      <c r="G1954" s="10">
        <v>0.45950377262150721</v>
      </c>
      <c r="H1954" s="6">
        <v>0.13759010483138781</v>
      </c>
      <c r="I1954" s="10">
        <v>8.6760259142294078</v>
      </c>
      <c r="J1954" s="7">
        <v>2.515908723330244E-2</v>
      </c>
      <c r="K1954" s="5">
        <v>0.18970519112162881</v>
      </c>
      <c r="L1954">
        <v>355.17749528763648</v>
      </c>
      <c r="M1954" s="10">
        <v>-0.3983881192573015</v>
      </c>
      <c r="N1954" s="24" t="s">
        <v>343</v>
      </c>
      <c r="O1954" s="24">
        <v>27.09671284456191</v>
      </c>
      <c r="P1954">
        <v>49.528201473840703</v>
      </c>
      <c r="Q1954" t="s">
        <v>346</v>
      </c>
      <c r="R1954" t="s">
        <v>347</v>
      </c>
      <c r="S1954" t="s">
        <v>343</v>
      </c>
      <c r="T1954" t="s">
        <v>343</v>
      </c>
    </row>
    <row r="1955" spans="2:20" x14ac:dyDescent="0.25">
      <c r="B1955">
        <v>1950</v>
      </c>
      <c r="C1955" t="s">
        <v>2294</v>
      </c>
      <c r="D1955" s="10">
        <v>0.25655802665543281</v>
      </c>
      <c r="E1955" s="10">
        <v>0.97257388795067778</v>
      </c>
      <c r="F1955" s="10">
        <v>0.6733399329481945</v>
      </c>
      <c r="G1955" s="10">
        <v>0.27233248502187912</v>
      </c>
      <c r="H1955" s="6">
        <v>0.12873358171068919</v>
      </c>
      <c r="I1955" s="10">
        <v>10.849569853674801</v>
      </c>
      <c r="J1955" s="7">
        <v>2.8376741284583361E-2</v>
      </c>
      <c r="K1955" s="5">
        <v>0.18530681676641619</v>
      </c>
      <c r="L1955">
        <v>125.3169395709195</v>
      </c>
      <c r="M1955" s="10">
        <v>-0.78773384940077784</v>
      </c>
      <c r="N1955" s="24" t="s">
        <v>343</v>
      </c>
      <c r="O1955" s="24">
        <v>3.7359690359533322</v>
      </c>
      <c r="P1955">
        <v>50.114955787044487</v>
      </c>
      <c r="Q1955" t="s">
        <v>47</v>
      </c>
      <c r="R1955" t="s">
        <v>350</v>
      </c>
      <c r="S1955" t="s">
        <v>343</v>
      </c>
      <c r="T1955" t="s">
        <v>343</v>
      </c>
    </row>
    <row r="1956" spans="2:20" x14ac:dyDescent="0.25">
      <c r="B1956">
        <v>1951</v>
      </c>
      <c r="C1956" t="s">
        <v>2295</v>
      </c>
      <c r="D1956" s="10">
        <v>0.26823486995621798</v>
      </c>
      <c r="E1956" s="10">
        <v>0.42728462952586649</v>
      </c>
      <c r="F1956" s="10">
        <v>0.4606558768777127</v>
      </c>
      <c r="G1956" s="10">
        <v>0.40208041272134931</v>
      </c>
      <c r="H1956" s="6">
        <v>0.156316986124895</v>
      </c>
      <c r="I1956" s="10">
        <v>11.72915587601125</v>
      </c>
      <c r="J1956" s="7">
        <v>1.0430036738543379E-2</v>
      </c>
      <c r="K1956" s="5">
        <v>0.1232719047017672</v>
      </c>
      <c r="L1956">
        <v>110.45306067054889</v>
      </c>
      <c r="M1956" s="10">
        <v>-0.81291079968345781</v>
      </c>
      <c r="N1956" s="24" t="s">
        <v>343</v>
      </c>
      <c r="O1956" s="24">
        <v>2.2253520189925382</v>
      </c>
      <c r="P1956">
        <v>21.0072133681801</v>
      </c>
      <c r="Q1956" t="s">
        <v>348</v>
      </c>
      <c r="R1956" t="s">
        <v>371</v>
      </c>
      <c r="S1956" t="s">
        <v>343</v>
      </c>
      <c r="T1956" t="s">
        <v>343</v>
      </c>
    </row>
    <row r="1957" spans="2:20" x14ac:dyDescent="0.25">
      <c r="B1957">
        <v>1952</v>
      </c>
      <c r="C1957" t="s">
        <v>2296</v>
      </c>
      <c r="D1957" s="10">
        <v>0.28879823994892317</v>
      </c>
      <c r="E1957" s="10">
        <v>0.86202363425356232</v>
      </c>
      <c r="F1957" s="10">
        <v>0.53071639900852696</v>
      </c>
      <c r="G1957" s="10">
        <v>0.27055189014150538</v>
      </c>
      <c r="H1957" s="6">
        <v>0.17778698110158531</v>
      </c>
      <c r="I1957" s="10">
        <v>3.7674255681030631</v>
      </c>
      <c r="J1957" s="7">
        <v>4.3108297699179919E-2</v>
      </c>
      <c r="K1957" s="5">
        <v>0.13077930060735771</v>
      </c>
      <c r="L1957">
        <v>127.7310557403393</v>
      </c>
      <c r="M1957" s="10">
        <v>-0.78364473624387621</v>
      </c>
      <c r="N1957" s="24" t="s">
        <v>343</v>
      </c>
      <c r="O1957" s="24">
        <v>3.9813158253674321</v>
      </c>
      <c r="P1957">
        <v>22.3315004214593</v>
      </c>
      <c r="Q1957" t="s">
        <v>348</v>
      </c>
      <c r="R1957" t="s">
        <v>353</v>
      </c>
      <c r="S1957" t="s">
        <v>343</v>
      </c>
      <c r="T1957" t="s">
        <v>343</v>
      </c>
    </row>
    <row r="1958" spans="2:20" x14ac:dyDescent="0.25">
      <c r="B1958">
        <v>1953</v>
      </c>
      <c r="C1958" t="s">
        <v>2297</v>
      </c>
      <c r="D1958" s="10">
        <v>0.20317131522051429</v>
      </c>
      <c r="E1958" s="10">
        <v>0.84697974754331851</v>
      </c>
      <c r="F1958" s="10">
        <v>0.59873242196187859</v>
      </c>
      <c r="G1958" s="10">
        <v>0.42455060046816723</v>
      </c>
      <c r="H1958" s="6">
        <v>0.25913225701639581</v>
      </c>
      <c r="I1958" s="10">
        <v>5.996541752037805</v>
      </c>
      <c r="J1958" s="7">
        <v>3.041713292263528E-2</v>
      </c>
      <c r="K1958" s="5">
        <v>0.14746308004989339</v>
      </c>
      <c r="L1958">
        <v>155.05416805224391</v>
      </c>
      <c r="M1958" s="10">
        <v>-0.73736390707029131</v>
      </c>
      <c r="N1958" s="24" t="s">
        <v>343</v>
      </c>
      <c r="O1958" s="24">
        <v>6.7581655757825203</v>
      </c>
      <c r="P1958">
        <v>53.583019381323602</v>
      </c>
      <c r="Q1958" t="s">
        <v>47</v>
      </c>
      <c r="R1958" t="s">
        <v>350</v>
      </c>
      <c r="S1958" t="s">
        <v>343</v>
      </c>
      <c r="T1958" t="s">
        <v>343</v>
      </c>
    </row>
    <row r="1959" spans="2:20" x14ac:dyDescent="0.25">
      <c r="B1959">
        <v>1954</v>
      </c>
      <c r="C1959" t="s">
        <v>2298</v>
      </c>
      <c r="D1959" s="10">
        <v>0.29200790562881002</v>
      </c>
      <c r="E1959" s="10">
        <v>0.36644205567221971</v>
      </c>
      <c r="F1959" s="10">
        <v>0.58544783763081953</v>
      </c>
      <c r="G1959" s="10">
        <v>0.3712197438556426</v>
      </c>
      <c r="H1959" s="6">
        <v>0.15632369995590431</v>
      </c>
      <c r="I1959" s="10">
        <v>11.47246376615831</v>
      </c>
      <c r="J1959" s="7">
        <v>2.3677999436696691E-2</v>
      </c>
      <c r="K1959" s="5">
        <v>0.1150443125066541</v>
      </c>
      <c r="L1959">
        <v>145.48957881317949</v>
      </c>
      <c r="M1959" s="10">
        <v>-0.7535647379139937</v>
      </c>
      <c r="N1959" s="24" t="s">
        <v>343</v>
      </c>
      <c r="O1959" s="24">
        <v>5.7861157251603856</v>
      </c>
      <c r="P1959">
        <v>59.558953664942678</v>
      </c>
      <c r="Q1959" t="s">
        <v>47</v>
      </c>
      <c r="R1959" t="s">
        <v>350</v>
      </c>
      <c r="S1959" t="s">
        <v>343</v>
      </c>
      <c r="T1959" t="s">
        <v>343</v>
      </c>
    </row>
    <row r="1960" spans="2:20" x14ac:dyDescent="0.25">
      <c r="B1960">
        <v>1955</v>
      </c>
      <c r="C1960" t="s">
        <v>2299</v>
      </c>
      <c r="D1960" s="10">
        <v>0.23972090916215261</v>
      </c>
      <c r="E1960" s="10">
        <v>0.9675456739632422</v>
      </c>
      <c r="F1960" s="10">
        <v>0.46506167884855271</v>
      </c>
      <c r="G1960" s="10">
        <v>0.44639510333342097</v>
      </c>
      <c r="H1960" s="6">
        <v>0.17481980174263401</v>
      </c>
      <c r="I1960" s="10">
        <v>8.2895576240969984</v>
      </c>
      <c r="J1960" s="7">
        <v>1.155975175605917E-2</v>
      </c>
      <c r="K1960" s="5">
        <v>0.19062555049604621</v>
      </c>
      <c r="L1960">
        <v>198.9200416973986</v>
      </c>
      <c r="M1960" s="10">
        <v>-0.66306237869583373</v>
      </c>
      <c r="N1960" s="24" t="s">
        <v>343</v>
      </c>
      <c r="O1960" s="24">
        <v>11.21625727824998</v>
      </c>
      <c r="P1960">
        <v>55.299316368153427</v>
      </c>
      <c r="Q1960" t="s">
        <v>47</v>
      </c>
      <c r="R1960" t="s">
        <v>350</v>
      </c>
      <c r="S1960" t="s">
        <v>343</v>
      </c>
      <c r="T1960" t="s">
        <v>343</v>
      </c>
    </row>
    <row r="1961" spans="2:20" x14ac:dyDescent="0.25">
      <c r="B1961">
        <v>1956</v>
      </c>
      <c r="C1961" t="s">
        <v>2300</v>
      </c>
      <c r="D1961" s="10">
        <v>0.17232932466149301</v>
      </c>
      <c r="E1961" s="10">
        <v>1.189159038813721</v>
      </c>
      <c r="F1961" s="10">
        <v>0.64771742362432172</v>
      </c>
      <c r="G1961" s="10">
        <v>0.43051045242787112</v>
      </c>
      <c r="H1961" s="6">
        <v>0.2301233812115358</v>
      </c>
      <c r="I1961" s="10">
        <v>5.004056860592069</v>
      </c>
      <c r="J1961" s="7">
        <v>2.2684667251424161E-2</v>
      </c>
      <c r="K1961" s="5">
        <v>0.1153516798225286</v>
      </c>
      <c r="L1961">
        <v>124.9813879297981</v>
      </c>
      <c r="M1961" s="10">
        <v>-0.7883022183334375</v>
      </c>
      <c r="N1961" s="24" t="s">
        <v>343</v>
      </c>
      <c r="O1961" s="24">
        <v>3.7018668999937532</v>
      </c>
      <c r="P1961">
        <v>51.66010659476833</v>
      </c>
      <c r="Q1961" t="s">
        <v>47</v>
      </c>
      <c r="R1961" t="s">
        <v>350</v>
      </c>
      <c r="S1961" t="s">
        <v>343</v>
      </c>
      <c r="T1961" t="s">
        <v>343</v>
      </c>
    </row>
    <row r="1962" spans="2:20" x14ac:dyDescent="0.25">
      <c r="B1962">
        <v>1957</v>
      </c>
      <c r="C1962" t="s">
        <v>2301</v>
      </c>
      <c r="D1962" s="10">
        <v>0.16936814867903671</v>
      </c>
      <c r="E1962" s="10">
        <v>1.123908859673326</v>
      </c>
      <c r="F1962" s="10">
        <v>0.69301985621776563</v>
      </c>
      <c r="G1962" s="10">
        <v>0.25647184824314118</v>
      </c>
      <c r="H1962" s="6">
        <v>0.16531111319809219</v>
      </c>
      <c r="I1962" s="10">
        <v>7.3143540868614032</v>
      </c>
      <c r="J1962" s="7">
        <v>1.012593355864788E-2</v>
      </c>
      <c r="K1962" s="5">
        <v>0.17233518100908191</v>
      </c>
      <c r="L1962">
        <v>109.4936130266772</v>
      </c>
      <c r="M1962" s="10">
        <v>-0.81453594516469507</v>
      </c>
      <c r="N1962" s="24" t="s">
        <v>343</v>
      </c>
      <c r="O1962" s="24">
        <v>2.1278432901183</v>
      </c>
      <c r="P1962">
        <v>48.693696810468879</v>
      </c>
      <c r="Q1962" t="s">
        <v>346</v>
      </c>
      <c r="R1962" t="s">
        <v>347</v>
      </c>
      <c r="S1962" t="s">
        <v>343</v>
      </c>
      <c r="T1962" t="s">
        <v>343</v>
      </c>
    </row>
    <row r="1963" spans="2:20" x14ac:dyDescent="0.25">
      <c r="B1963">
        <v>1958</v>
      </c>
      <c r="C1963" t="s">
        <v>2302</v>
      </c>
      <c r="D1963" s="10">
        <v>0.2134781309913697</v>
      </c>
      <c r="E1963" s="10">
        <v>0.52326635558060164</v>
      </c>
      <c r="F1963" s="10">
        <v>0.48711935518778021</v>
      </c>
      <c r="G1963" s="10">
        <v>0.27020655916934938</v>
      </c>
      <c r="H1963" s="6">
        <v>0.22265522275193711</v>
      </c>
      <c r="I1963" s="10">
        <v>5.9703760998995152</v>
      </c>
      <c r="J1963" s="7">
        <v>2.1351729829934839E-2</v>
      </c>
      <c r="K1963" s="5">
        <v>0.13243567436123821</v>
      </c>
      <c r="L1963">
        <v>87.467151273201068</v>
      </c>
      <c r="M1963" s="10">
        <v>-0.85184512510269872</v>
      </c>
      <c r="N1963" s="24" t="s">
        <v>343</v>
      </c>
      <c r="O1963" s="24">
        <v>0</v>
      </c>
      <c r="P1963">
        <v>58.575620383557222</v>
      </c>
      <c r="Q1963" t="s">
        <v>47</v>
      </c>
      <c r="R1963" t="s">
        <v>350</v>
      </c>
      <c r="S1963" t="s">
        <v>343</v>
      </c>
      <c r="T1963" t="s">
        <v>343</v>
      </c>
    </row>
    <row r="1964" spans="2:20" x14ac:dyDescent="0.25">
      <c r="B1964">
        <v>1959</v>
      </c>
      <c r="C1964" t="s">
        <v>2303</v>
      </c>
      <c r="D1964" s="10">
        <v>0.28558351633783491</v>
      </c>
      <c r="E1964" s="10">
        <v>1.248521782509632</v>
      </c>
      <c r="F1964" s="10">
        <v>0.67273405215202031</v>
      </c>
      <c r="G1964" s="10">
        <v>0.37225760429350152</v>
      </c>
      <c r="H1964" s="6">
        <v>0.18481167288727529</v>
      </c>
      <c r="I1964" s="10">
        <v>3.55718855779643</v>
      </c>
      <c r="J1964" s="7">
        <v>4.3300922342398372E-2</v>
      </c>
      <c r="K1964" s="5">
        <v>0.15450347578117671</v>
      </c>
      <c r="L1964">
        <v>375.76588860425733</v>
      </c>
      <c r="M1964" s="10">
        <v>-0.36351478919270441</v>
      </c>
      <c r="N1964" s="24" t="s">
        <v>343</v>
      </c>
      <c r="O1964" s="24">
        <v>29.189112648437739</v>
      </c>
      <c r="P1964">
        <v>22.725216036473071</v>
      </c>
      <c r="Q1964" t="s">
        <v>348</v>
      </c>
      <c r="R1964" t="s">
        <v>375</v>
      </c>
      <c r="S1964" t="s">
        <v>343</v>
      </c>
      <c r="T1964" t="s">
        <v>343</v>
      </c>
    </row>
    <row r="1965" spans="2:20" x14ac:dyDescent="0.25">
      <c r="B1965">
        <v>1960</v>
      </c>
      <c r="C1965" t="s">
        <v>2304</v>
      </c>
      <c r="D1965" s="10">
        <v>0.27322894955854649</v>
      </c>
      <c r="E1965" s="10">
        <v>0.67679638222528593</v>
      </c>
      <c r="F1965" s="10">
        <v>0.58477045494905511</v>
      </c>
      <c r="G1965" s="10">
        <v>0.35402922078725652</v>
      </c>
      <c r="H1965" s="6">
        <v>0.14946674289887579</v>
      </c>
      <c r="I1965" s="10">
        <v>11.39989860157875</v>
      </c>
      <c r="J1965" s="7">
        <v>1.5399357748063881E-2</v>
      </c>
      <c r="K1965" s="5">
        <v>0.1044815133174644</v>
      </c>
      <c r="L1965">
        <v>369.21215292151061</v>
      </c>
      <c r="M1965" s="10">
        <v>-0.37461573253032993</v>
      </c>
      <c r="N1965" s="24" t="s">
        <v>343</v>
      </c>
      <c r="O1965" s="24">
        <v>28.523056048180209</v>
      </c>
      <c r="P1965">
        <v>52.500435096623988</v>
      </c>
      <c r="Q1965" t="s">
        <v>47</v>
      </c>
      <c r="R1965" t="s">
        <v>350</v>
      </c>
      <c r="S1965" t="s">
        <v>343</v>
      </c>
      <c r="T1965" t="s">
        <v>343</v>
      </c>
    </row>
    <row r="1966" spans="2:20" x14ac:dyDescent="0.25">
      <c r="B1966">
        <v>1961</v>
      </c>
      <c r="C1966" t="s">
        <v>2305</v>
      </c>
      <c r="D1966" s="10">
        <v>0.28617839434758507</v>
      </c>
      <c r="E1966" s="10">
        <v>1.341159216121135</v>
      </c>
      <c r="F1966" s="10">
        <v>0.68334278052378505</v>
      </c>
      <c r="G1966" s="10">
        <v>0.27708432873495781</v>
      </c>
      <c r="H1966" s="6">
        <v>0.23010883514537039</v>
      </c>
      <c r="I1966" s="10">
        <v>6.2086302701217457</v>
      </c>
      <c r="J1966" s="7">
        <v>2.908938881813013E-2</v>
      </c>
      <c r="K1966" s="5">
        <v>0.1194761264660458</v>
      </c>
      <c r="L1966">
        <v>270.74974402324989</v>
      </c>
      <c r="M1966" s="10">
        <v>-0.54139475368359147</v>
      </c>
      <c r="N1966" s="24" t="s">
        <v>343</v>
      </c>
      <c r="O1966" s="24">
        <v>18.516314778984508</v>
      </c>
      <c r="P1966">
        <v>54.921325391923247</v>
      </c>
      <c r="Q1966" t="s">
        <v>47</v>
      </c>
      <c r="R1966" t="s">
        <v>350</v>
      </c>
      <c r="S1966" t="s">
        <v>343</v>
      </c>
      <c r="T1966" t="s">
        <v>343</v>
      </c>
    </row>
    <row r="1967" spans="2:20" x14ac:dyDescent="0.25">
      <c r="B1967">
        <v>1962</v>
      </c>
      <c r="C1967" t="s">
        <v>2306</v>
      </c>
      <c r="D1967" s="10">
        <v>0.24276304903065751</v>
      </c>
      <c r="E1967" s="10">
        <v>0.37892276064828512</v>
      </c>
      <c r="F1967" s="10">
        <v>0.48578234918835789</v>
      </c>
      <c r="G1967" s="10">
        <v>0.26845903021976297</v>
      </c>
      <c r="H1967" s="6">
        <v>0.1240558250035026</v>
      </c>
      <c r="I1967" s="10">
        <v>13.39644460726366</v>
      </c>
      <c r="J1967" s="7">
        <v>1.6531606203672271E-2</v>
      </c>
      <c r="K1967" s="5">
        <v>0.1422171676405152</v>
      </c>
      <c r="L1967">
        <v>121.4573813756319</v>
      </c>
      <c r="M1967" s="10">
        <v>-0.79427130207024521</v>
      </c>
      <c r="N1967" s="24" t="s">
        <v>343</v>
      </c>
      <c r="O1967" s="24">
        <v>3.3437218757852851</v>
      </c>
      <c r="P1967">
        <v>24.258401678474328</v>
      </c>
      <c r="Q1967" t="s">
        <v>348</v>
      </c>
      <c r="R1967" t="s">
        <v>355</v>
      </c>
      <c r="S1967" t="s">
        <v>343</v>
      </c>
      <c r="T1967" t="s">
        <v>343</v>
      </c>
    </row>
    <row r="1968" spans="2:20" x14ac:dyDescent="0.25">
      <c r="B1968">
        <v>1963</v>
      </c>
      <c r="C1968" t="s">
        <v>2307</v>
      </c>
      <c r="D1968" s="10">
        <v>0.2304318396728785</v>
      </c>
      <c r="E1968" s="10">
        <v>0.83482955737182696</v>
      </c>
      <c r="F1968" s="10">
        <v>0.64592556222665032</v>
      </c>
      <c r="G1968" s="10">
        <v>0.36407797235715489</v>
      </c>
      <c r="H1968" s="6">
        <v>0.16385022376094691</v>
      </c>
      <c r="I1968" s="10">
        <v>12.769375444906199</v>
      </c>
      <c r="J1968" s="7">
        <v>3.7418269560785991E-2</v>
      </c>
      <c r="K1968" s="5">
        <v>0.16433316563784781</v>
      </c>
      <c r="L1968">
        <v>244.98314082919779</v>
      </c>
      <c r="M1968" s="10">
        <v>-0.58503911407689513</v>
      </c>
      <c r="N1968" s="24" t="s">
        <v>343</v>
      </c>
      <c r="O1968" s="24">
        <v>15.897653155386291</v>
      </c>
      <c r="P1968">
        <v>59.153003935392043</v>
      </c>
      <c r="Q1968" t="s">
        <v>47</v>
      </c>
      <c r="R1968" t="s">
        <v>350</v>
      </c>
      <c r="S1968" t="s">
        <v>343</v>
      </c>
      <c r="T1968" t="s">
        <v>343</v>
      </c>
    </row>
    <row r="1969" spans="2:20" x14ac:dyDescent="0.25">
      <c r="B1969">
        <v>1964</v>
      </c>
      <c r="C1969" t="s">
        <v>2308</v>
      </c>
      <c r="D1969" s="10">
        <v>0.18359240427300541</v>
      </c>
      <c r="E1969" s="10">
        <v>0.95683681489530392</v>
      </c>
      <c r="F1969" s="10">
        <v>0.45554320961578609</v>
      </c>
      <c r="G1969" s="10">
        <v>0.25076274055449987</v>
      </c>
      <c r="H1969" s="6">
        <v>0.1734272308752568</v>
      </c>
      <c r="I1969" s="10">
        <v>10.87905228257079</v>
      </c>
      <c r="J1969" s="7">
        <v>2.9683923253352819E-2</v>
      </c>
      <c r="K1969" s="5">
        <v>0.1738683829900336</v>
      </c>
      <c r="L1969">
        <v>78.418460013490062</v>
      </c>
      <c r="M1969" s="10">
        <v>-0.86717211017140683</v>
      </c>
      <c r="N1969" s="24" t="s">
        <v>343</v>
      </c>
      <c r="O1969" s="24">
        <v>0</v>
      </c>
      <c r="P1969">
        <v>20.99662833059719</v>
      </c>
      <c r="Q1969" t="s">
        <v>348</v>
      </c>
      <c r="R1969" t="s">
        <v>371</v>
      </c>
      <c r="S1969" t="s">
        <v>343</v>
      </c>
      <c r="T1969" t="s">
        <v>343</v>
      </c>
    </row>
    <row r="1970" spans="2:20" x14ac:dyDescent="0.25">
      <c r="B1970">
        <v>1965</v>
      </c>
      <c r="C1970" t="s">
        <v>2309</v>
      </c>
      <c r="D1970" s="10">
        <v>0.2125108405774899</v>
      </c>
      <c r="E1970" s="10">
        <v>0.57241510832206521</v>
      </c>
      <c r="F1970" s="10">
        <v>0.66963107616870887</v>
      </c>
      <c r="G1970" s="10">
        <v>0.43222176664975659</v>
      </c>
      <c r="H1970" s="6">
        <v>0.1887327382481454</v>
      </c>
      <c r="I1970" s="10">
        <v>6.5929782594893984</v>
      </c>
      <c r="J1970" s="7">
        <v>1.7078260642329781E-2</v>
      </c>
      <c r="K1970" s="5">
        <v>0.10286334918751371</v>
      </c>
      <c r="L1970">
        <v>300.19536305999992</v>
      </c>
      <c r="M1970" s="10">
        <v>-0.49151874947902879</v>
      </c>
      <c r="N1970" s="24" t="s">
        <v>343</v>
      </c>
      <c r="O1970" s="24">
        <v>21.50887503125827</v>
      </c>
      <c r="P1970">
        <v>20.17224402894043</v>
      </c>
      <c r="Q1970" t="s">
        <v>348</v>
      </c>
      <c r="R1970" t="s">
        <v>351</v>
      </c>
      <c r="S1970" t="s">
        <v>343</v>
      </c>
      <c r="T1970" t="s">
        <v>343</v>
      </c>
    </row>
    <row r="1971" spans="2:20" x14ac:dyDescent="0.25">
      <c r="B1971">
        <v>1966</v>
      </c>
      <c r="C1971" t="s">
        <v>2310</v>
      </c>
      <c r="D1971" s="10">
        <v>0.22944309858782</v>
      </c>
      <c r="E1971" s="10">
        <v>1.14851820759225</v>
      </c>
      <c r="F1971" s="10">
        <v>0.61528144977190469</v>
      </c>
      <c r="G1971" s="10">
        <v>0.41755824235657651</v>
      </c>
      <c r="H1971" s="6">
        <v>0.2219803847964209</v>
      </c>
      <c r="I1971" s="10">
        <v>6.0791590794915518</v>
      </c>
      <c r="J1971" s="7">
        <v>4.0318445438359857E-2</v>
      </c>
      <c r="K1971" s="5">
        <v>0.114486570527485</v>
      </c>
      <c r="L1971">
        <v>273.69577491749368</v>
      </c>
      <c r="M1971" s="10">
        <v>-0.53640466503628914</v>
      </c>
      <c r="N1971" s="24" t="s">
        <v>343</v>
      </c>
      <c r="O1971" s="24">
        <v>18.815720097822648</v>
      </c>
      <c r="P1971">
        <v>60.619915722839721</v>
      </c>
      <c r="Q1971" t="s">
        <v>47</v>
      </c>
      <c r="R1971" t="s">
        <v>350</v>
      </c>
      <c r="S1971" t="s">
        <v>343</v>
      </c>
      <c r="T1971" t="s">
        <v>343</v>
      </c>
    </row>
    <row r="1972" spans="2:20" x14ac:dyDescent="0.25">
      <c r="B1972">
        <v>1967</v>
      </c>
      <c r="C1972" t="s">
        <v>2311</v>
      </c>
      <c r="D1972" s="10">
        <v>0.17417606874873881</v>
      </c>
      <c r="E1972" s="10">
        <v>0.98958524779178858</v>
      </c>
      <c r="F1972" s="10">
        <v>0.53626624381983179</v>
      </c>
      <c r="G1972" s="10">
        <v>0.41278139377643958</v>
      </c>
      <c r="H1972" s="6">
        <v>0.18891074912790551</v>
      </c>
      <c r="I1972" s="10">
        <v>8.2279862817424139</v>
      </c>
      <c r="J1972" s="7">
        <v>3.7440832399172043E-2</v>
      </c>
      <c r="K1972" s="5">
        <v>0.16933021517547911</v>
      </c>
      <c r="L1972">
        <v>258.35595374538229</v>
      </c>
      <c r="M1972" s="10">
        <v>-0.56238778273955725</v>
      </c>
      <c r="N1972" s="24" t="s">
        <v>343</v>
      </c>
      <c r="O1972" s="24">
        <v>17.256733035626571</v>
      </c>
      <c r="P1972">
        <v>63.150047518801458</v>
      </c>
      <c r="Q1972" t="s">
        <v>47</v>
      </c>
      <c r="R1972" t="s">
        <v>350</v>
      </c>
      <c r="S1972" t="s">
        <v>343</v>
      </c>
      <c r="T1972" t="s">
        <v>343</v>
      </c>
    </row>
    <row r="1973" spans="2:20" x14ac:dyDescent="0.25">
      <c r="B1973">
        <v>1968</v>
      </c>
      <c r="C1973" t="s">
        <v>2312</v>
      </c>
      <c r="D1973" s="10">
        <v>0.1952979124337938</v>
      </c>
      <c r="E1973" s="10">
        <v>0.31992038101675108</v>
      </c>
      <c r="F1973" s="10">
        <v>0.48952137410944102</v>
      </c>
      <c r="G1973" s="10">
        <v>0.24351937234896301</v>
      </c>
      <c r="H1973" s="6">
        <v>0.20914861684293251</v>
      </c>
      <c r="I1973" s="10">
        <v>6.9006275036040492</v>
      </c>
      <c r="J1973" s="7">
        <v>4.3295546529894348E-2</v>
      </c>
      <c r="K1973" s="5">
        <v>0.17724026545214161</v>
      </c>
      <c r="L1973">
        <v>43.014609853277847</v>
      </c>
      <c r="M1973" s="10">
        <v>-0.92714037157031348</v>
      </c>
      <c r="N1973" s="24" t="s">
        <v>343</v>
      </c>
      <c r="O1973" s="24">
        <v>0</v>
      </c>
      <c r="P1973">
        <v>60.309040914605298</v>
      </c>
      <c r="Q1973" t="s">
        <v>47</v>
      </c>
      <c r="R1973" t="s">
        <v>350</v>
      </c>
      <c r="S1973" t="s">
        <v>343</v>
      </c>
      <c r="T1973" t="s">
        <v>343</v>
      </c>
    </row>
    <row r="1974" spans="2:20" x14ac:dyDescent="0.25">
      <c r="B1974">
        <v>1969</v>
      </c>
      <c r="C1974" t="s">
        <v>2313</v>
      </c>
      <c r="D1974" s="10">
        <v>0.25571604705019818</v>
      </c>
      <c r="E1974" s="10">
        <v>0.96920544976585932</v>
      </c>
      <c r="F1974" s="10">
        <v>0.65229860562747322</v>
      </c>
      <c r="G1974" s="10">
        <v>0.25048100755080233</v>
      </c>
      <c r="H1974" s="6">
        <v>0.20936686176267261</v>
      </c>
      <c r="I1974" s="10">
        <v>12.91274156428006</v>
      </c>
      <c r="J1974" s="7">
        <v>1.0021986751242209E-2</v>
      </c>
      <c r="K1974" s="5">
        <v>0.1224742950921497</v>
      </c>
      <c r="L1974">
        <v>174.81649081421151</v>
      </c>
      <c r="M1974" s="10">
        <v>-0.70388980377711041</v>
      </c>
      <c r="N1974" s="24" t="s">
        <v>343</v>
      </c>
      <c r="O1974" s="24">
        <v>8.7666117733733735</v>
      </c>
      <c r="P1974">
        <v>50.848737733446811</v>
      </c>
      <c r="Q1974" t="s">
        <v>47</v>
      </c>
      <c r="R1974" t="s">
        <v>350</v>
      </c>
      <c r="S1974" t="s">
        <v>343</v>
      </c>
      <c r="T1974" t="s">
        <v>343</v>
      </c>
    </row>
    <row r="1975" spans="2:20" x14ac:dyDescent="0.25">
      <c r="B1975">
        <v>1970</v>
      </c>
      <c r="C1975" t="s">
        <v>2314</v>
      </c>
      <c r="D1975" s="10">
        <v>0.27770609827827042</v>
      </c>
      <c r="E1975" s="10">
        <v>0.84062605786029088</v>
      </c>
      <c r="F1975" s="10">
        <v>0.59684274356265099</v>
      </c>
      <c r="G1975" s="10">
        <v>0.36096460665316032</v>
      </c>
      <c r="H1975" s="6">
        <v>0.17599074748440119</v>
      </c>
      <c r="I1975" s="10">
        <v>4.3584465320935806</v>
      </c>
      <c r="J1975" s="7">
        <v>2.599909315189777E-2</v>
      </c>
      <c r="K1975" s="5">
        <v>0.1218170394655777</v>
      </c>
      <c r="L1975">
        <v>187.0772844329658</v>
      </c>
      <c r="M1975" s="10">
        <v>-0.68312204904534379</v>
      </c>
      <c r="N1975" s="24" t="s">
        <v>343</v>
      </c>
      <c r="O1975" s="24">
        <v>10.012677057279371</v>
      </c>
      <c r="P1975">
        <v>52.367183065825238</v>
      </c>
      <c r="Q1975" t="s">
        <v>47</v>
      </c>
      <c r="R1975" t="s">
        <v>350</v>
      </c>
      <c r="S1975" t="s">
        <v>343</v>
      </c>
      <c r="T1975" t="s">
        <v>343</v>
      </c>
    </row>
    <row r="1976" spans="2:20" x14ac:dyDescent="0.25">
      <c r="B1976">
        <v>1971</v>
      </c>
      <c r="C1976" t="s">
        <v>2315</v>
      </c>
      <c r="D1976" s="10">
        <v>0.31973560182287197</v>
      </c>
      <c r="E1976" s="10">
        <v>0.51563212187385843</v>
      </c>
      <c r="F1976" s="10">
        <v>0.5337081217664803</v>
      </c>
      <c r="G1976" s="10">
        <v>0.45877365155671912</v>
      </c>
      <c r="H1976" s="6">
        <v>0.26009568986320469</v>
      </c>
      <c r="I1976" s="10">
        <v>10.969143331765469</v>
      </c>
      <c r="J1976" s="7">
        <v>4.4994445517427262E-2</v>
      </c>
      <c r="K1976" s="5">
        <v>0.10836279674995079</v>
      </c>
      <c r="L1976">
        <v>278.79328016005837</v>
      </c>
      <c r="M1976" s="10">
        <v>-0.52777033499915782</v>
      </c>
      <c r="N1976" s="24" t="s">
        <v>343</v>
      </c>
      <c r="O1976" s="24">
        <v>19.33377990005053</v>
      </c>
      <c r="P1976">
        <v>45.34398473025265</v>
      </c>
      <c r="Q1976" t="s">
        <v>346</v>
      </c>
      <c r="R1976" t="s">
        <v>347</v>
      </c>
      <c r="S1976" t="s">
        <v>343</v>
      </c>
      <c r="T1976" t="s">
        <v>343</v>
      </c>
    </row>
    <row r="1977" spans="2:20" x14ac:dyDescent="0.25">
      <c r="B1977">
        <v>1972</v>
      </c>
      <c r="C1977" t="s">
        <v>2316</v>
      </c>
      <c r="D1977" s="10">
        <v>0.30929813301496922</v>
      </c>
      <c r="E1977" s="10">
        <v>1.395323049765482</v>
      </c>
      <c r="F1977" s="10">
        <v>0.55539731444865426</v>
      </c>
      <c r="G1977" s="10">
        <v>0.31530956421369738</v>
      </c>
      <c r="H1977" s="6">
        <v>0.26337807463146651</v>
      </c>
      <c r="I1977" s="10">
        <v>9.7198647375844356</v>
      </c>
      <c r="J1977" s="7">
        <v>3.8391577094013349E-2</v>
      </c>
      <c r="K1977" s="5">
        <v>0.1142779276817156</v>
      </c>
      <c r="L1977">
        <v>404.35877705498592</v>
      </c>
      <c r="M1977" s="10">
        <v>-0.31508316943937997</v>
      </c>
      <c r="N1977" s="24" t="s">
        <v>343</v>
      </c>
      <c r="O1977" s="24">
        <v>32.095009833637199</v>
      </c>
      <c r="P1977">
        <v>47.204781908465783</v>
      </c>
      <c r="Q1977" t="s">
        <v>346</v>
      </c>
      <c r="R1977" t="s">
        <v>347</v>
      </c>
      <c r="S1977" t="s">
        <v>343</v>
      </c>
      <c r="T1977" t="s">
        <v>343</v>
      </c>
    </row>
    <row r="1978" spans="2:20" x14ac:dyDescent="0.25">
      <c r="B1978">
        <v>1973</v>
      </c>
      <c r="C1978" t="s">
        <v>2317</v>
      </c>
      <c r="D1978" s="10">
        <v>0.26281043192563058</v>
      </c>
      <c r="E1978" s="10">
        <v>1.286878414310376</v>
      </c>
      <c r="F1978" s="10">
        <v>0.65490109057881785</v>
      </c>
      <c r="G1978" s="10">
        <v>0.31576245960917571</v>
      </c>
      <c r="H1978" s="6">
        <v>0.2072776326141699</v>
      </c>
      <c r="I1978" s="10">
        <v>11.86931310470005</v>
      </c>
      <c r="J1978" s="7">
        <v>3.9095014615009957E-2</v>
      </c>
      <c r="K1978" s="5">
        <v>0.1007615097288134</v>
      </c>
      <c r="L1978">
        <v>362.81334005731912</v>
      </c>
      <c r="M1978" s="10">
        <v>-0.38545426225932983</v>
      </c>
      <c r="N1978" s="24" t="s">
        <v>343</v>
      </c>
      <c r="O1978" s="24">
        <v>27.872744264440211</v>
      </c>
      <c r="P1978">
        <v>48.585819328796731</v>
      </c>
      <c r="Q1978" t="s">
        <v>346</v>
      </c>
      <c r="R1978" t="s">
        <v>347</v>
      </c>
      <c r="S1978" t="s">
        <v>343</v>
      </c>
      <c r="T1978" t="s">
        <v>343</v>
      </c>
    </row>
    <row r="1979" spans="2:20" x14ac:dyDescent="0.25">
      <c r="B1979">
        <v>1974</v>
      </c>
      <c r="C1979" t="s">
        <v>2318</v>
      </c>
      <c r="D1979" s="10">
        <v>0.2273996885270515</v>
      </c>
      <c r="E1979" s="10">
        <v>0.62175846453196981</v>
      </c>
      <c r="F1979" s="10">
        <v>0.52812107027278565</v>
      </c>
      <c r="G1979" s="10">
        <v>0.26954115270963641</v>
      </c>
      <c r="H1979" s="6">
        <v>0.13075363204431481</v>
      </c>
      <c r="I1979" s="10">
        <v>8.9673605942522734</v>
      </c>
      <c r="J1979" s="7">
        <v>3.1739636195421118E-2</v>
      </c>
      <c r="K1979" s="5">
        <v>0.1560339677789</v>
      </c>
      <c r="L1979">
        <v>170.81685193128001</v>
      </c>
      <c r="M1979" s="10">
        <v>-0.7106645299424138</v>
      </c>
      <c r="N1979" s="24" t="s">
        <v>343</v>
      </c>
      <c r="O1979" s="24">
        <v>8.3601282034551758</v>
      </c>
      <c r="P1979">
        <v>65.908291276525631</v>
      </c>
      <c r="Q1979" t="s">
        <v>47</v>
      </c>
      <c r="R1979" t="s">
        <v>350</v>
      </c>
      <c r="S1979" t="s">
        <v>343</v>
      </c>
      <c r="T1979" t="s">
        <v>343</v>
      </c>
    </row>
    <row r="1980" spans="2:20" x14ac:dyDescent="0.25">
      <c r="B1980">
        <v>1975</v>
      </c>
      <c r="C1980" t="s">
        <v>2319</v>
      </c>
      <c r="D1980" s="10">
        <v>0.26178837835331731</v>
      </c>
      <c r="E1980" s="10">
        <v>0.89517801287847787</v>
      </c>
      <c r="F1980" s="10">
        <v>0.46330449630858139</v>
      </c>
      <c r="G1980" s="10">
        <v>0.38835387682269029</v>
      </c>
      <c r="H1980" s="6">
        <v>0.19366913463839039</v>
      </c>
      <c r="I1980" s="10">
        <v>9.924947453770244</v>
      </c>
      <c r="J1980" s="7">
        <v>3.4951487822913317E-2</v>
      </c>
      <c r="K1980" s="5">
        <v>0.18586967768849599</v>
      </c>
      <c r="L1980">
        <v>192.53476269760861</v>
      </c>
      <c r="M1980" s="10">
        <v>-0.67387798429894075</v>
      </c>
      <c r="N1980" s="24" t="s">
        <v>343</v>
      </c>
      <c r="O1980" s="24">
        <v>10.56732094206356</v>
      </c>
      <c r="P1980">
        <v>54.452160800339989</v>
      </c>
      <c r="Q1980" t="s">
        <v>47</v>
      </c>
      <c r="R1980" t="s">
        <v>350</v>
      </c>
      <c r="S1980" t="s">
        <v>343</v>
      </c>
      <c r="T1980" t="s">
        <v>343</v>
      </c>
    </row>
    <row r="1981" spans="2:20" x14ac:dyDescent="0.25">
      <c r="B1981">
        <v>1976</v>
      </c>
      <c r="C1981" t="s">
        <v>2320</v>
      </c>
      <c r="D1981" s="10">
        <v>0.28570425889283713</v>
      </c>
      <c r="E1981" s="10">
        <v>0.64815235390131976</v>
      </c>
      <c r="F1981" s="10">
        <v>0.67693336477290289</v>
      </c>
      <c r="G1981" s="10">
        <v>0.38226887157868128</v>
      </c>
      <c r="H1981" s="6">
        <v>0.1476628990191011</v>
      </c>
      <c r="I1981" s="10">
        <v>13.59014695163123</v>
      </c>
      <c r="J1981" s="7">
        <v>3.8186419057426278E-2</v>
      </c>
      <c r="K1981" s="5">
        <v>0.11420972945612699</v>
      </c>
      <c r="L1981">
        <v>242.34331983531459</v>
      </c>
      <c r="M1981" s="10">
        <v>-0.5895105338431389</v>
      </c>
      <c r="N1981" s="24" t="s">
        <v>343</v>
      </c>
      <c r="O1981" s="24">
        <v>15.629367969411669</v>
      </c>
      <c r="P1981">
        <v>48.956054533198738</v>
      </c>
      <c r="Q1981" t="s">
        <v>346</v>
      </c>
      <c r="R1981" t="s">
        <v>347</v>
      </c>
      <c r="S1981" t="s">
        <v>343</v>
      </c>
      <c r="T1981" t="s">
        <v>343</v>
      </c>
    </row>
    <row r="1982" spans="2:20" x14ac:dyDescent="0.25">
      <c r="B1982">
        <v>1977</v>
      </c>
      <c r="C1982" t="s">
        <v>2321</v>
      </c>
      <c r="D1982" s="10">
        <v>0.178933790547742</v>
      </c>
      <c r="E1982" s="10">
        <v>1.1530453267996861</v>
      </c>
      <c r="F1982" s="10">
        <v>0.54070937231108895</v>
      </c>
      <c r="G1982" s="10">
        <v>0.26229093160341499</v>
      </c>
      <c r="H1982" s="6">
        <v>0.19248217828093561</v>
      </c>
      <c r="I1982" s="10">
        <v>4.0115770796907766</v>
      </c>
      <c r="J1982" s="7">
        <v>1.32298226657165E-2</v>
      </c>
      <c r="K1982" s="5">
        <v>0.17138714802689911</v>
      </c>
      <c r="L1982">
        <v>118.145500586409</v>
      </c>
      <c r="M1982" s="10">
        <v>-0.79988107987665269</v>
      </c>
      <c r="N1982" s="24" t="s">
        <v>343</v>
      </c>
      <c r="O1982" s="24">
        <v>3.007135207400836</v>
      </c>
      <c r="P1982">
        <v>61.903369883434287</v>
      </c>
      <c r="Q1982" t="s">
        <v>47</v>
      </c>
      <c r="R1982" t="s">
        <v>350</v>
      </c>
      <c r="S1982" t="s">
        <v>343</v>
      </c>
      <c r="T1982" t="s">
        <v>343</v>
      </c>
    </row>
    <row r="1983" spans="2:20" x14ac:dyDescent="0.25">
      <c r="B1983">
        <v>1978</v>
      </c>
      <c r="C1983" t="s">
        <v>2322</v>
      </c>
      <c r="D1983" s="10">
        <v>0.22558478235140611</v>
      </c>
      <c r="E1983" s="10">
        <v>1.3233645765161</v>
      </c>
      <c r="F1983" s="10">
        <v>0.53058075288995554</v>
      </c>
      <c r="G1983" s="10">
        <v>0.34283070315503728</v>
      </c>
      <c r="H1983" s="6">
        <v>0.14827247317478129</v>
      </c>
      <c r="I1983" s="10">
        <v>4.1535222469876967</v>
      </c>
      <c r="J1983" s="7">
        <v>3.4240320426375537E-2</v>
      </c>
      <c r="K1983" s="5">
        <v>0.1544975752006372</v>
      </c>
      <c r="L1983">
        <v>222.55073597197349</v>
      </c>
      <c r="M1983" s="10">
        <v>-0.62303589443260743</v>
      </c>
      <c r="N1983" s="24" t="s">
        <v>343</v>
      </c>
      <c r="O1983" s="24">
        <v>13.617846334043559</v>
      </c>
      <c r="P1983">
        <v>61.651732798631407</v>
      </c>
      <c r="Q1983" t="s">
        <v>47</v>
      </c>
      <c r="R1983" t="s">
        <v>350</v>
      </c>
      <c r="S1983" t="s">
        <v>343</v>
      </c>
      <c r="T1983" t="s">
        <v>343</v>
      </c>
    </row>
    <row r="1984" spans="2:20" x14ac:dyDescent="0.25">
      <c r="B1984">
        <v>1979</v>
      </c>
      <c r="C1984" t="s">
        <v>2323</v>
      </c>
      <c r="D1984" s="10">
        <v>0.29436836570169878</v>
      </c>
      <c r="E1984" s="10">
        <v>0.69471146760582192</v>
      </c>
      <c r="F1984" s="10">
        <v>0.49314390090774418</v>
      </c>
      <c r="G1984" s="10">
        <v>0.38675647994083429</v>
      </c>
      <c r="H1984" s="6">
        <v>0.22557828684733269</v>
      </c>
      <c r="I1984" s="10">
        <v>7.3296845320068726</v>
      </c>
      <c r="J1984" s="7">
        <v>3.8539283501145861E-2</v>
      </c>
      <c r="K1984" s="5">
        <v>0.1892925797982514</v>
      </c>
      <c r="L1984">
        <v>127.36832253578049</v>
      </c>
      <c r="M1984" s="10">
        <v>-0.78425914624534809</v>
      </c>
      <c r="N1984" s="24" t="s">
        <v>343</v>
      </c>
      <c r="O1984" s="24">
        <v>3.94445122527911</v>
      </c>
      <c r="P1984">
        <v>58.298616843578941</v>
      </c>
      <c r="Q1984" t="s">
        <v>47</v>
      </c>
      <c r="R1984" t="s">
        <v>350</v>
      </c>
      <c r="S1984" t="s">
        <v>343</v>
      </c>
      <c r="T1984" t="s">
        <v>343</v>
      </c>
    </row>
    <row r="1985" spans="2:20" x14ac:dyDescent="0.25">
      <c r="B1985">
        <v>1980</v>
      </c>
      <c r="C1985" t="s">
        <v>2324</v>
      </c>
      <c r="D1985" s="10">
        <v>0.22141327230928701</v>
      </c>
      <c r="E1985" s="10">
        <v>1.1861426740579899</v>
      </c>
      <c r="F1985" s="10">
        <v>0.67332986851936982</v>
      </c>
      <c r="G1985" s="10">
        <v>0.34857354999082402</v>
      </c>
      <c r="H1985" s="6">
        <v>0.13206436800995139</v>
      </c>
      <c r="I1985" s="10">
        <v>8.2000607274109214</v>
      </c>
      <c r="J1985" s="7">
        <v>1.143030256897822E-2</v>
      </c>
      <c r="K1985" s="5">
        <v>0.17582163963467451</v>
      </c>
      <c r="L1985">
        <v>159.22130630034681</v>
      </c>
      <c r="M1985" s="10">
        <v>-0.73030546470832303</v>
      </c>
      <c r="N1985" s="24" t="s">
        <v>343</v>
      </c>
      <c r="O1985" s="24">
        <v>7.1816721175006224</v>
      </c>
      <c r="P1985">
        <v>18.861938643431341</v>
      </c>
      <c r="Q1985" t="s">
        <v>348</v>
      </c>
      <c r="R1985" t="s">
        <v>375</v>
      </c>
      <c r="S1985" t="s">
        <v>343</v>
      </c>
      <c r="T1985" t="s">
        <v>343</v>
      </c>
    </row>
    <row r="1986" spans="2:20" x14ac:dyDescent="0.25">
      <c r="B1986">
        <v>1981</v>
      </c>
      <c r="C1986" t="s">
        <v>2325</v>
      </c>
      <c r="D1986" s="10">
        <v>0.25149956339634982</v>
      </c>
      <c r="E1986" s="10">
        <v>0.84824829698452531</v>
      </c>
      <c r="F1986" s="10">
        <v>0.49655138675883681</v>
      </c>
      <c r="G1986" s="10">
        <v>0.38835998801024618</v>
      </c>
      <c r="H1986" s="6">
        <v>0.26299561145938871</v>
      </c>
      <c r="I1986" s="10">
        <v>5.1985924626892892</v>
      </c>
      <c r="J1986" s="7">
        <v>2.039686131844199E-2</v>
      </c>
      <c r="K1986" s="5">
        <v>0.18100925716211719</v>
      </c>
      <c r="L1986">
        <v>58.781834971114051</v>
      </c>
      <c r="M1986" s="10">
        <v>-0.90043330233566776</v>
      </c>
      <c r="N1986" s="24" t="s">
        <v>343</v>
      </c>
      <c r="O1986" s="24">
        <v>0</v>
      </c>
      <c r="P1986">
        <v>54.19452592089231</v>
      </c>
      <c r="Q1986" t="s">
        <v>47</v>
      </c>
      <c r="R1986" t="s">
        <v>350</v>
      </c>
      <c r="S1986" t="s">
        <v>343</v>
      </c>
      <c r="T1986" t="s">
        <v>343</v>
      </c>
    </row>
    <row r="1987" spans="2:20" x14ac:dyDescent="0.25">
      <c r="B1987">
        <v>1982</v>
      </c>
      <c r="C1987" t="s">
        <v>2326</v>
      </c>
      <c r="D1987" s="10">
        <v>0.25404309773795181</v>
      </c>
      <c r="E1987" s="10">
        <v>0.73623641744273494</v>
      </c>
      <c r="F1987" s="10">
        <v>0.6055349456803597</v>
      </c>
      <c r="G1987" s="10">
        <v>0.41957948743492779</v>
      </c>
      <c r="H1987" s="6">
        <v>0.14930638341500291</v>
      </c>
      <c r="I1987" s="10">
        <v>3.909345766811557</v>
      </c>
      <c r="J1987" s="7">
        <v>2.1340406555899478E-2</v>
      </c>
      <c r="K1987" s="5">
        <v>0.16071850447539379</v>
      </c>
      <c r="L1987">
        <v>83.426510547092207</v>
      </c>
      <c r="M1987" s="10">
        <v>-0.85868930160287715</v>
      </c>
      <c r="N1987" s="24" t="s">
        <v>343</v>
      </c>
      <c r="O1987" s="24">
        <v>0</v>
      </c>
      <c r="P1987">
        <v>58.04902153094212</v>
      </c>
      <c r="Q1987" t="s">
        <v>47</v>
      </c>
      <c r="R1987" t="s">
        <v>350</v>
      </c>
      <c r="S1987" t="s">
        <v>343</v>
      </c>
      <c r="T1987" t="s">
        <v>343</v>
      </c>
    </row>
    <row r="1988" spans="2:20" x14ac:dyDescent="0.25">
      <c r="B1988">
        <v>1983</v>
      </c>
      <c r="C1988" t="s">
        <v>2327</v>
      </c>
      <c r="D1988" s="10">
        <v>0.18951620050138229</v>
      </c>
      <c r="E1988" s="10">
        <v>1.332264037308647</v>
      </c>
      <c r="F1988" s="10">
        <v>0.66899890301810672</v>
      </c>
      <c r="G1988" s="10">
        <v>0.39087939528678889</v>
      </c>
      <c r="H1988" s="6">
        <v>0.21909845040738679</v>
      </c>
      <c r="I1988" s="10">
        <v>3.2439388222057559</v>
      </c>
      <c r="J1988" s="7">
        <v>3.9910383834836832E-2</v>
      </c>
      <c r="K1988" s="5">
        <v>0.1770769313559076</v>
      </c>
      <c r="L1988">
        <v>125.9455612263888</v>
      </c>
      <c r="M1988" s="10">
        <v>-0.78666906837878148</v>
      </c>
      <c r="N1988" s="24" t="s">
        <v>343</v>
      </c>
      <c r="O1988" s="24">
        <v>3.7998558972731189</v>
      </c>
      <c r="P1988">
        <v>50.993949061619581</v>
      </c>
      <c r="Q1988" t="s">
        <v>47</v>
      </c>
      <c r="R1988" t="s">
        <v>350</v>
      </c>
      <c r="S1988" t="s">
        <v>343</v>
      </c>
      <c r="T1988" t="s">
        <v>343</v>
      </c>
    </row>
    <row r="1989" spans="2:20" x14ac:dyDescent="0.25">
      <c r="B1989">
        <v>1984</v>
      </c>
      <c r="C1989" t="s">
        <v>2328</v>
      </c>
      <c r="D1989" s="10">
        <v>0.21795767066436611</v>
      </c>
      <c r="E1989" s="10">
        <v>0.86144515759093454</v>
      </c>
      <c r="F1989" s="10">
        <v>0.44907753979683651</v>
      </c>
      <c r="G1989" s="10">
        <v>0.37554513188271521</v>
      </c>
      <c r="H1989" s="6">
        <v>0.25754435260942338</v>
      </c>
      <c r="I1989" s="10">
        <v>11.41051475490422</v>
      </c>
      <c r="J1989" s="7">
        <v>3.7312298635890348E-2</v>
      </c>
      <c r="K1989" s="5">
        <v>0.13333260283058679</v>
      </c>
      <c r="L1989">
        <v>242.4934420884336</v>
      </c>
      <c r="M1989" s="10">
        <v>-0.58925625159767425</v>
      </c>
      <c r="N1989" s="24" t="s">
        <v>343</v>
      </c>
      <c r="O1989" s="24">
        <v>15.64462490413954</v>
      </c>
      <c r="P1989">
        <v>25.077491167948629</v>
      </c>
      <c r="Q1989" t="s">
        <v>348</v>
      </c>
      <c r="R1989" t="s">
        <v>355</v>
      </c>
      <c r="S1989" t="s">
        <v>343</v>
      </c>
      <c r="T1989" t="s">
        <v>343</v>
      </c>
    </row>
    <row r="1990" spans="2:20" x14ac:dyDescent="0.25">
      <c r="B1990">
        <v>1985</v>
      </c>
      <c r="C1990" t="s">
        <v>2329</v>
      </c>
      <c r="D1990" s="10">
        <v>0.21352180619870911</v>
      </c>
      <c r="E1990" s="10">
        <v>0.81415155028321129</v>
      </c>
      <c r="F1990" s="10">
        <v>0.65548584337805083</v>
      </c>
      <c r="G1990" s="10">
        <v>0.42778985652778861</v>
      </c>
      <c r="H1990" s="6">
        <v>0.15718294709760941</v>
      </c>
      <c r="I1990" s="10">
        <v>8.3356313303020766</v>
      </c>
      <c r="J1990" s="7">
        <v>3.2974751482042729E-2</v>
      </c>
      <c r="K1990" s="5">
        <v>0.1198566715095359</v>
      </c>
      <c r="L1990">
        <v>270.71635460334892</v>
      </c>
      <c r="M1990" s="10">
        <v>-0.54145130983360124</v>
      </c>
      <c r="N1990" s="24" t="s">
        <v>343</v>
      </c>
      <c r="O1990" s="24">
        <v>18.512921409983932</v>
      </c>
      <c r="P1990">
        <v>57.702709978801757</v>
      </c>
      <c r="Q1990" t="s">
        <v>47</v>
      </c>
      <c r="R1990" t="s">
        <v>350</v>
      </c>
      <c r="S1990" t="s">
        <v>343</v>
      </c>
      <c r="T1990" t="s">
        <v>343</v>
      </c>
    </row>
    <row r="1991" spans="2:20" x14ac:dyDescent="0.25">
      <c r="B1991">
        <v>1986</v>
      </c>
      <c r="C1991" t="s">
        <v>2330</v>
      </c>
      <c r="D1991" s="10">
        <v>0.1641914733651304</v>
      </c>
      <c r="E1991" s="10">
        <v>1.0396778421585771</v>
      </c>
      <c r="F1991" s="10">
        <v>0.54675584963934132</v>
      </c>
      <c r="G1991" s="10">
        <v>0.4381294849313534</v>
      </c>
      <c r="H1991" s="6">
        <v>0.26014453485556949</v>
      </c>
      <c r="I1991" s="10">
        <v>12.277437728164861</v>
      </c>
      <c r="J1991" s="7">
        <v>3.81653113295004E-2</v>
      </c>
      <c r="K1991" s="5">
        <v>0.1866893972671316</v>
      </c>
      <c r="L1991">
        <v>171.2110851955876</v>
      </c>
      <c r="M1991" s="10">
        <v>-0.70999676405426437</v>
      </c>
      <c r="N1991" s="24" t="s">
        <v>343</v>
      </c>
      <c r="O1991" s="24">
        <v>8.4001941567441349</v>
      </c>
      <c r="P1991">
        <v>51.896607926550153</v>
      </c>
      <c r="Q1991" t="s">
        <v>47</v>
      </c>
      <c r="R1991" t="s">
        <v>350</v>
      </c>
      <c r="S1991" t="s">
        <v>343</v>
      </c>
      <c r="T1991" t="s">
        <v>343</v>
      </c>
    </row>
    <row r="1992" spans="2:20" x14ac:dyDescent="0.25">
      <c r="B1992">
        <v>1987</v>
      </c>
      <c r="C1992" t="s">
        <v>2331</v>
      </c>
      <c r="D1992" s="10">
        <v>0.1638706822226168</v>
      </c>
      <c r="E1992" s="10">
        <v>0.58735762112011281</v>
      </c>
      <c r="F1992" s="10">
        <v>0.61107338956895507</v>
      </c>
      <c r="G1992" s="10">
        <v>0.32555501617867688</v>
      </c>
      <c r="H1992" s="6">
        <v>0.17830119984904089</v>
      </c>
      <c r="I1992" s="10">
        <v>6.9692095854242799</v>
      </c>
      <c r="J1992" s="7">
        <v>2.5870039523019809E-2</v>
      </c>
      <c r="K1992" s="5">
        <v>0.16976190841687991</v>
      </c>
      <c r="L1992">
        <v>68.470211127368586</v>
      </c>
      <c r="M1992" s="10">
        <v>-0.88402279694599861</v>
      </c>
      <c r="N1992" s="24" t="s">
        <v>343</v>
      </c>
      <c r="O1992" s="24">
        <v>0</v>
      </c>
      <c r="P1992">
        <v>60.477521870268298</v>
      </c>
      <c r="Q1992" t="s">
        <v>47</v>
      </c>
      <c r="R1992" t="s">
        <v>350</v>
      </c>
      <c r="S1992" t="s">
        <v>343</v>
      </c>
      <c r="T1992" t="s">
        <v>343</v>
      </c>
    </row>
    <row r="1993" spans="2:20" x14ac:dyDescent="0.25">
      <c r="B1993">
        <v>1988</v>
      </c>
      <c r="C1993" t="s">
        <v>2332</v>
      </c>
      <c r="D1993" s="10">
        <v>0.29307152698812378</v>
      </c>
      <c r="E1993" s="10">
        <v>0.65727215786714721</v>
      </c>
      <c r="F1993" s="10">
        <v>0.53682518643864396</v>
      </c>
      <c r="G1993" s="10">
        <v>0.27811497529925489</v>
      </c>
      <c r="H1993" s="6">
        <v>0.26407962258788847</v>
      </c>
      <c r="I1993" s="10">
        <v>10.737907430307731</v>
      </c>
      <c r="J1993" s="7">
        <v>4.0620820660573882E-2</v>
      </c>
      <c r="K1993" s="5">
        <v>0.1086167752091186</v>
      </c>
      <c r="L1993">
        <v>159.31723568790099</v>
      </c>
      <c r="M1993" s="10">
        <v>-0.73014297620600876</v>
      </c>
      <c r="N1993" s="24" t="s">
        <v>343</v>
      </c>
      <c r="O1993" s="24">
        <v>7.1914214276394723</v>
      </c>
      <c r="P1993">
        <v>49.16186486629595</v>
      </c>
      <c r="Q1993" t="s">
        <v>346</v>
      </c>
      <c r="R1993" t="s">
        <v>347</v>
      </c>
      <c r="S1993" t="s">
        <v>343</v>
      </c>
      <c r="T1993" t="s">
        <v>343</v>
      </c>
    </row>
    <row r="1994" spans="2:20" x14ac:dyDescent="0.25">
      <c r="B1994">
        <v>1989</v>
      </c>
      <c r="C1994" t="s">
        <v>2333</v>
      </c>
      <c r="D1994" s="10">
        <v>0.20369132959565001</v>
      </c>
      <c r="E1994" s="10">
        <v>1.325250419862485</v>
      </c>
      <c r="F1994" s="10">
        <v>0.62083422665034838</v>
      </c>
      <c r="G1994" s="10">
        <v>0.41992928888177122</v>
      </c>
      <c r="H1994" s="6">
        <v>0.26570457872017877</v>
      </c>
      <c r="I1994" s="10">
        <v>8.3737257459947649</v>
      </c>
      <c r="J1994" s="7">
        <v>1.819755450860756E-2</v>
      </c>
      <c r="K1994" s="5">
        <v>0.18235640513638809</v>
      </c>
      <c r="L1994">
        <v>234.3045150715927</v>
      </c>
      <c r="M1994" s="10">
        <v>-0.60312693836479803</v>
      </c>
      <c r="N1994" s="24" t="s">
        <v>343</v>
      </c>
      <c r="O1994" s="24">
        <v>14.81238369811212</v>
      </c>
      <c r="P1994">
        <v>50.146672382485633</v>
      </c>
      <c r="Q1994" t="s">
        <v>47</v>
      </c>
      <c r="R1994" t="s">
        <v>350</v>
      </c>
      <c r="S1994" t="s">
        <v>343</v>
      </c>
      <c r="T1994" t="s">
        <v>343</v>
      </c>
    </row>
    <row r="1995" spans="2:20" x14ac:dyDescent="0.25">
      <c r="B1995">
        <v>1990</v>
      </c>
      <c r="C1995" t="s">
        <v>2334</v>
      </c>
      <c r="D1995" s="10">
        <v>0.24289260259821049</v>
      </c>
      <c r="E1995" s="10">
        <v>1.046382829980637</v>
      </c>
      <c r="F1995" s="10">
        <v>0.5061166777850018</v>
      </c>
      <c r="G1995" s="10">
        <v>0.28702568360588632</v>
      </c>
      <c r="H1995" s="6">
        <v>0.14821198576038599</v>
      </c>
      <c r="I1995" s="10">
        <v>9.7327699847450937</v>
      </c>
      <c r="J1995" s="7">
        <v>3.4660190852494832E-2</v>
      </c>
      <c r="K1995" s="5">
        <v>0.13314587429795491</v>
      </c>
      <c r="L1995">
        <v>143.18450293434941</v>
      </c>
      <c r="M1995" s="10">
        <v>-0.75746915486922484</v>
      </c>
      <c r="N1995" s="24" t="s">
        <v>343</v>
      </c>
      <c r="O1995" s="24">
        <v>5.551850707846512</v>
      </c>
      <c r="P1995">
        <v>61.276230346375371</v>
      </c>
      <c r="Q1995" t="s">
        <v>47</v>
      </c>
      <c r="R1995" t="s">
        <v>350</v>
      </c>
      <c r="S1995" t="s">
        <v>343</v>
      </c>
      <c r="T1995" t="s">
        <v>343</v>
      </c>
    </row>
    <row r="1996" spans="2:20" x14ac:dyDescent="0.25">
      <c r="B1996">
        <v>1991</v>
      </c>
      <c r="C1996" t="s">
        <v>2335</v>
      </c>
      <c r="D1996" s="10">
        <v>0.20779609177420369</v>
      </c>
      <c r="E1996" s="10">
        <v>1.2093008625481061</v>
      </c>
      <c r="F1996" s="10">
        <v>0.44570194103320299</v>
      </c>
      <c r="G1996" s="10">
        <v>0.44436914734479888</v>
      </c>
      <c r="H1996" s="6">
        <v>0.2446631005396582</v>
      </c>
      <c r="I1996" s="10">
        <v>7.0721652523322689</v>
      </c>
      <c r="J1996" s="7">
        <v>1.8461291467081409E-2</v>
      </c>
      <c r="K1996" s="5">
        <v>0.1283363901014688</v>
      </c>
      <c r="L1996">
        <v>277.50697669044149</v>
      </c>
      <c r="M1996" s="10">
        <v>-0.52994912014131723</v>
      </c>
      <c r="N1996" s="24" t="s">
        <v>343</v>
      </c>
      <c r="O1996" s="24">
        <v>19.203052791520971</v>
      </c>
      <c r="P1996">
        <v>56.900459283801908</v>
      </c>
      <c r="Q1996" t="s">
        <v>47</v>
      </c>
      <c r="R1996" t="s">
        <v>350</v>
      </c>
      <c r="S1996" t="s">
        <v>343</v>
      </c>
      <c r="T1996" t="s">
        <v>343</v>
      </c>
    </row>
    <row r="1997" spans="2:20" x14ac:dyDescent="0.25">
      <c r="B1997">
        <v>1992</v>
      </c>
      <c r="C1997" t="s">
        <v>2336</v>
      </c>
      <c r="D1997" s="10">
        <v>0.31050867921845449</v>
      </c>
      <c r="E1997" s="10">
        <v>0.59822293812897254</v>
      </c>
      <c r="F1997" s="10">
        <v>0.6864247538448679</v>
      </c>
      <c r="G1997" s="10">
        <v>0.24503314794881881</v>
      </c>
      <c r="H1997" s="6">
        <v>0.14901315192503251</v>
      </c>
      <c r="I1997" s="10">
        <v>3.8928674749207479</v>
      </c>
      <c r="J1997" s="7">
        <v>1.1395169069378781E-2</v>
      </c>
      <c r="K1997" s="5">
        <v>0.15921478889220689</v>
      </c>
      <c r="L1997">
        <v>74.293984635853491</v>
      </c>
      <c r="M1997" s="10">
        <v>-0.87415828869323975</v>
      </c>
      <c r="N1997" s="24" t="s">
        <v>343</v>
      </c>
      <c r="O1997" s="24">
        <v>0</v>
      </c>
      <c r="P1997">
        <v>50.513389306606342</v>
      </c>
      <c r="Q1997" t="s">
        <v>47</v>
      </c>
      <c r="R1997" t="s">
        <v>350</v>
      </c>
      <c r="S1997" t="s">
        <v>343</v>
      </c>
      <c r="T1997" t="s">
        <v>343</v>
      </c>
    </row>
    <row r="1998" spans="2:20" x14ac:dyDescent="0.25">
      <c r="B1998">
        <v>1993</v>
      </c>
      <c r="C1998" t="s">
        <v>2337</v>
      </c>
      <c r="D1998" s="10">
        <v>0.2014874814185238</v>
      </c>
      <c r="E1998" s="10">
        <v>0.89816920892285923</v>
      </c>
      <c r="F1998" s="10">
        <v>0.44425561865042151</v>
      </c>
      <c r="G1998" s="10">
        <v>0.44267966017624683</v>
      </c>
      <c r="H1998" s="6">
        <v>0.15396609304966219</v>
      </c>
      <c r="I1998" s="10">
        <v>13.421109404326231</v>
      </c>
      <c r="J1998" s="7">
        <v>1.9945293393692359E-2</v>
      </c>
      <c r="K1998" s="5">
        <v>0.154016870430114</v>
      </c>
      <c r="L1998">
        <v>174.784815409012</v>
      </c>
      <c r="M1998" s="10">
        <v>-0.70394345666995473</v>
      </c>
      <c r="N1998" s="24" t="s">
        <v>343</v>
      </c>
      <c r="O1998" s="24">
        <v>8.7633925998027138</v>
      </c>
      <c r="P1998">
        <v>11.736811574472631</v>
      </c>
      <c r="Q1998" t="s">
        <v>348</v>
      </c>
      <c r="R1998" t="s">
        <v>371</v>
      </c>
      <c r="S1998" t="s">
        <v>343</v>
      </c>
      <c r="T1998" t="s">
        <v>343</v>
      </c>
    </row>
    <row r="1999" spans="2:20" x14ac:dyDescent="0.25">
      <c r="B1999">
        <v>1994</v>
      </c>
      <c r="C1999" t="s">
        <v>2338</v>
      </c>
      <c r="D1999" s="10">
        <v>0.2287450900382296</v>
      </c>
      <c r="E1999" s="10">
        <v>1.368535893688448</v>
      </c>
      <c r="F1999" s="10">
        <v>0.65426581530471184</v>
      </c>
      <c r="G1999" s="10">
        <v>0.36962025837465379</v>
      </c>
      <c r="H1999" s="6">
        <v>0.13261897560350969</v>
      </c>
      <c r="I1999" s="10">
        <v>12.19698838210476</v>
      </c>
      <c r="J1999" s="7">
        <v>2.7251738997171999E-2</v>
      </c>
      <c r="K1999" s="5">
        <v>0.15113438851072139</v>
      </c>
      <c r="L1999">
        <v>327.09378026898048</v>
      </c>
      <c r="M1999" s="10">
        <v>-0.44595728350554031</v>
      </c>
      <c r="N1999" s="24" t="s">
        <v>343</v>
      </c>
      <c r="O1999" s="24">
        <v>24.242562989667579</v>
      </c>
      <c r="P1999">
        <v>51.683747289927759</v>
      </c>
      <c r="Q1999" t="s">
        <v>47</v>
      </c>
      <c r="R1999" t="s">
        <v>350</v>
      </c>
      <c r="S1999" t="s">
        <v>343</v>
      </c>
      <c r="T1999" t="s">
        <v>343</v>
      </c>
    </row>
    <row r="2000" spans="2:20" x14ac:dyDescent="0.25">
      <c r="B2000">
        <v>1995</v>
      </c>
      <c r="C2000" t="s">
        <v>2339</v>
      </c>
      <c r="D2000" s="10">
        <v>0.29963684007753633</v>
      </c>
      <c r="E2000" s="10">
        <v>0.6505742889310393</v>
      </c>
      <c r="F2000" s="10">
        <v>0.48397577426384319</v>
      </c>
      <c r="G2000" s="10">
        <v>0.41044326563283401</v>
      </c>
      <c r="H2000" s="6">
        <v>0.14348054197472671</v>
      </c>
      <c r="I2000" s="10">
        <v>6.4308095047047136</v>
      </c>
      <c r="J2000" s="7">
        <v>3.9520260527491018E-2</v>
      </c>
      <c r="K2000" s="5">
        <v>0.1242133324231926</v>
      </c>
      <c r="L2000">
        <v>281.70210063702609</v>
      </c>
      <c r="M2000" s="10">
        <v>-0.52284327463888869</v>
      </c>
      <c r="N2000" s="24" t="s">
        <v>343</v>
      </c>
      <c r="O2000" s="24">
        <v>19.629403521666681</v>
      </c>
      <c r="P2000">
        <v>56.5195505457664</v>
      </c>
      <c r="Q2000" t="s">
        <v>47</v>
      </c>
      <c r="R2000" t="s">
        <v>350</v>
      </c>
      <c r="S2000" t="s">
        <v>343</v>
      </c>
      <c r="T2000" t="s">
        <v>343</v>
      </c>
    </row>
    <row r="2001" spans="2:20" x14ac:dyDescent="0.25">
      <c r="B2001">
        <v>1996</v>
      </c>
      <c r="C2001" t="s">
        <v>2340</v>
      </c>
      <c r="D2001" s="10">
        <v>0.2947093706866894</v>
      </c>
      <c r="E2001" s="10">
        <v>0.47652412394874599</v>
      </c>
      <c r="F2001" s="10">
        <v>0.54197725943652719</v>
      </c>
      <c r="G2001" s="10">
        <v>0.32766836915416903</v>
      </c>
      <c r="H2001" s="6">
        <v>0.21483284523706619</v>
      </c>
      <c r="I2001" s="10">
        <v>13.545732290983381</v>
      </c>
      <c r="J2001" s="7">
        <v>2.7809977126632499E-2</v>
      </c>
      <c r="K2001" s="5">
        <v>0.19117850636934089</v>
      </c>
      <c r="L2001">
        <v>197.6951894125209</v>
      </c>
      <c r="M2001" s="10">
        <v>-0.66513707570370717</v>
      </c>
      <c r="N2001" s="24" t="s">
        <v>343</v>
      </c>
      <c r="O2001" s="24">
        <v>11.091775457777571</v>
      </c>
      <c r="P2001">
        <v>50.454680004611248</v>
      </c>
      <c r="Q2001" t="s">
        <v>47</v>
      </c>
      <c r="R2001" t="s">
        <v>350</v>
      </c>
      <c r="S2001" t="s">
        <v>343</v>
      </c>
      <c r="T2001" t="s">
        <v>343</v>
      </c>
    </row>
    <row r="2002" spans="2:20" x14ac:dyDescent="0.25">
      <c r="B2002">
        <v>1997</v>
      </c>
      <c r="C2002" t="s">
        <v>2341</v>
      </c>
      <c r="D2002" s="10">
        <v>0.18977622685540441</v>
      </c>
      <c r="E2002" s="10">
        <v>0.8619746090471303</v>
      </c>
      <c r="F2002" s="10">
        <v>0.65384801789157443</v>
      </c>
      <c r="G2002" s="10">
        <v>0.45817758421995358</v>
      </c>
      <c r="H2002" s="6">
        <v>0.18738790950776801</v>
      </c>
      <c r="I2002" s="10">
        <v>6.305376045566276</v>
      </c>
      <c r="J2002" s="7">
        <v>1.6270271090058221E-2</v>
      </c>
      <c r="K2002" s="5">
        <v>0.19026148776380569</v>
      </c>
      <c r="L2002">
        <v>107.5514693860902</v>
      </c>
      <c r="M2002" s="10">
        <v>-0.81782561498834128</v>
      </c>
      <c r="N2002" s="24" t="s">
        <v>343</v>
      </c>
      <c r="O2002" s="24">
        <v>1.930463100699527</v>
      </c>
      <c r="P2002">
        <v>54.564422107796787</v>
      </c>
      <c r="Q2002" t="s">
        <v>47</v>
      </c>
      <c r="R2002" t="s">
        <v>350</v>
      </c>
      <c r="S2002" t="s">
        <v>343</v>
      </c>
      <c r="T2002" t="s">
        <v>343</v>
      </c>
    </row>
    <row r="2003" spans="2:20" x14ac:dyDescent="0.25">
      <c r="B2003">
        <v>1998</v>
      </c>
      <c r="C2003" t="s">
        <v>2342</v>
      </c>
      <c r="D2003" s="10">
        <v>0.28842292956731358</v>
      </c>
      <c r="E2003" s="10">
        <v>0.72660319759736369</v>
      </c>
      <c r="F2003" s="10">
        <v>0.4935423590812098</v>
      </c>
      <c r="G2003" s="10">
        <v>0.29006131406458391</v>
      </c>
      <c r="H2003" s="6">
        <v>0.23864163557532531</v>
      </c>
      <c r="I2003" s="10">
        <v>7.872890222385573</v>
      </c>
      <c r="J2003" s="7">
        <v>4.4746808984990297E-2</v>
      </c>
      <c r="K2003" s="5">
        <v>0.1003954080426375</v>
      </c>
      <c r="L2003">
        <v>280.96213855881092</v>
      </c>
      <c r="M2003" s="10">
        <v>-0.5240966479056629</v>
      </c>
      <c r="N2003" s="24" t="s">
        <v>343</v>
      </c>
      <c r="O2003" s="24">
        <v>19.554201125660231</v>
      </c>
      <c r="P2003">
        <v>51.068240520795882</v>
      </c>
      <c r="Q2003" t="s">
        <v>47</v>
      </c>
      <c r="R2003" t="s">
        <v>350</v>
      </c>
      <c r="S2003" t="s">
        <v>343</v>
      </c>
      <c r="T2003" t="s">
        <v>343</v>
      </c>
    </row>
    <row r="2004" spans="2:20" x14ac:dyDescent="0.25">
      <c r="B2004">
        <v>1999</v>
      </c>
      <c r="C2004" t="s">
        <v>2343</v>
      </c>
      <c r="D2004" s="10">
        <v>0.2333099018780628</v>
      </c>
      <c r="E2004" s="10">
        <v>0.47553495606538487</v>
      </c>
      <c r="F2004" s="10">
        <v>0.66508397743650927</v>
      </c>
      <c r="G2004" s="10">
        <v>0.29815560578039851</v>
      </c>
      <c r="H2004" s="6">
        <v>0.1697995222239933</v>
      </c>
      <c r="I2004" s="10">
        <v>11.306492267577649</v>
      </c>
      <c r="J2004" s="7">
        <v>1.9452557379321851E-2</v>
      </c>
      <c r="K2004" s="5">
        <v>0.13209362477093231</v>
      </c>
      <c r="L2004">
        <v>124.4895012038326</v>
      </c>
      <c r="M2004" s="10">
        <v>-0.78913539302002855</v>
      </c>
      <c r="N2004" s="24" t="s">
        <v>343</v>
      </c>
      <c r="O2004" s="24">
        <v>3.6518764187982882</v>
      </c>
      <c r="P2004">
        <v>62.394977594540997</v>
      </c>
      <c r="Q2004" t="s">
        <v>47</v>
      </c>
      <c r="R2004" t="s">
        <v>350</v>
      </c>
      <c r="S2004" t="s">
        <v>343</v>
      </c>
      <c r="T2004" t="s">
        <v>343</v>
      </c>
    </row>
    <row r="2005" spans="2:20" x14ac:dyDescent="0.25">
      <c r="B2005">
        <v>2000</v>
      </c>
      <c r="C2005" t="s">
        <v>2344</v>
      </c>
      <c r="D2005" s="10">
        <v>0.23727501953365679</v>
      </c>
      <c r="E2005" s="10">
        <v>1.2774065209737051</v>
      </c>
      <c r="F2005" s="10">
        <v>0.56941732416649438</v>
      </c>
      <c r="G2005" s="10">
        <v>0.25131513768824398</v>
      </c>
      <c r="H2005" s="6">
        <v>0.26529368509515883</v>
      </c>
      <c r="I2005" s="10">
        <v>6.3990467316561848</v>
      </c>
      <c r="J2005" s="7">
        <v>4.4485315378443517E-2</v>
      </c>
      <c r="K2005" s="5">
        <v>0.1043271230858944</v>
      </c>
      <c r="L2005">
        <v>124.66990245037761</v>
      </c>
      <c r="M2005" s="10">
        <v>-0.78882982317210126</v>
      </c>
      <c r="N2005" s="24" t="s">
        <v>343</v>
      </c>
      <c r="O2005" s="24">
        <v>3.67021060967393</v>
      </c>
      <c r="P2005">
        <v>44.360572506041592</v>
      </c>
      <c r="Q2005" t="s">
        <v>346</v>
      </c>
      <c r="R2005" t="s">
        <v>347</v>
      </c>
      <c r="S2005" t="s">
        <v>343</v>
      </c>
      <c r="T2005" t="s">
        <v>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58"/>
  <sheetViews>
    <sheetView workbookViewId="0"/>
  </sheetViews>
  <sheetFormatPr defaultRowHeight="15" x14ac:dyDescent="0.25"/>
  <cols>
    <col min="1" max="1" width="2" customWidth="1"/>
    <col min="2" max="2" width="46" customWidth="1"/>
    <col min="3" max="3" width="16" customWidth="1"/>
    <col min="4" max="4" width="14" customWidth="1"/>
    <col min="5" max="5" width="22" customWidth="1"/>
    <col min="6" max="6" width="50" customWidth="1"/>
    <col min="7" max="7" width="16" customWidth="1"/>
  </cols>
  <sheetData>
    <row r="2" spans="2:7" ht="18.75" x14ac:dyDescent="0.3">
      <c r="B2" s="1" t="s">
        <v>2345</v>
      </c>
    </row>
    <row r="4" spans="2:7" x14ac:dyDescent="0.25">
      <c r="B4" s="8" t="s">
        <v>2346</v>
      </c>
      <c r="C4" s="9"/>
      <c r="D4" s="9"/>
      <c r="E4" s="9"/>
    </row>
    <row r="5" spans="2:7" x14ac:dyDescent="0.25">
      <c r="B5" s="3" t="s">
        <v>30</v>
      </c>
      <c r="D5">
        <v>2000</v>
      </c>
    </row>
    <row r="6" spans="2:7" x14ac:dyDescent="0.25">
      <c r="B6" s="3" t="s">
        <v>2347</v>
      </c>
      <c r="D6">
        <v>0</v>
      </c>
    </row>
    <row r="7" spans="2:7" x14ac:dyDescent="0.25">
      <c r="B7" s="3" t="s">
        <v>2348</v>
      </c>
      <c r="D7">
        <v>2000</v>
      </c>
    </row>
    <row r="8" spans="2:7" x14ac:dyDescent="0.25">
      <c r="B8" s="3" t="s">
        <v>2349</v>
      </c>
      <c r="D8">
        <v>427</v>
      </c>
    </row>
    <row r="9" spans="2:7" x14ac:dyDescent="0.25">
      <c r="B9" s="3" t="s">
        <v>2350</v>
      </c>
      <c r="D9">
        <v>1573</v>
      </c>
    </row>
    <row r="10" spans="2:7" x14ac:dyDescent="0.25">
      <c r="B10" s="20" t="s">
        <v>2351</v>
      </c>
      <c r="D10">
        <v>8</v>
      </c>
    </row>
    <row r="11" spans="2:7" x14ac:dyDescent="0.25">
      <c r="B11" s="20" t="s">
        <v>2352</v>
      </c>
      <c r="D11">
        <v>1380</v>
      </c>
    </row>
    <row r="12" spans="2:7" x14ac:dyDescent="0.25">
      <c r="B12" s="20" t="s">
        <v>2353</v>
      </c>
      <c r="D12">
        <v>185</v>
      </c>
    </row>
    <row r="14" spans="2:7" x14ac:dyDescent="0.25">
      <c r="B14" s="8" t="s">
        <v>2354</v>
      </c>
      <c r="C14" s="9"/>
      <c r="D14" s="9"/>
      <c r="E14" s="9"/>
      <c r="F14" s="9"/>
      <c r="G14" s="9"/>
    </row>
    <row r="15" spans="2:7" ht="45" x14ac:dyDescent="0.25">
      <c r="B15" s="11" t="s">
        <v>326</v>
      </c>
      <c r="C15" s="11" t="s">
        <v>334</v>
      </c>
      <c r="D15" s="11" t="s">
        <v>2355</v>
      </c>
      <c r="E15" s="11" t="s">
        <v>339</v>
      </c>
      <c r="F15" s="11" t="s">
        <v>2356</v>
      </c>
      <c r="G15" s="11" t="s">
        <v>2357</v>
      </c>
    </row>
    <row r="16" spans="2:7" ht="30" customHeight="1" x14ac:dyDescent="0.25">
      <c r="B16" s="12">
        <v>32</v>
      </c>
      <c r="C16" s="25">
        <v>567.3897874151321</v>
      </c>
      <c r="D16" s="26">
        <v>-3.893562613087212E-2</v>
      </c>
      <c r="E16" s="12" t="s">
        <v>346</v>
      </c>
      <c r="F16" s="12" t="s">
        <v>347</v>
      </c>
      <c r="G16" s="12" t="s">
        <v>345</v>
      </c>
    </row>
    <row r="17" spans="2:7" ht="30" customHeight="1" x14ac:dyDescent="0.25">
      <c r="B17" s="12">
        <v>86</v>
      </c>
      <c r="C17" s="25">
        <v>574.25395401549986</v>
      </c>
      <c r="D17" s="26">
        <v>-2.7308864207698531E-2</v>
      </c>
      <c r="E17" s="12" t="s">
        <v>346</v>
      </c>
      <c r="F17" s="12" t="s">
        <v>347</v>
      </c>
      <c r="G17" s="12" t="s">
        <v>345</v>
      </c>
    </row>
    <row r="18" spans="2:7" ht="30" customHeight="1" x14ac:dyDescent="0.25">
      <c r="B18" s="12">
        <v>158</v>
      </c>
      <c r="C18" s="25">
        <v>582.24760835342659</v>
      </c>
      <c r="D18" s="26">
        <v>-1.376893703311065E-2</v>
      </c>
      <c r="E18" s="12" t="s">
        <v>348</v>
      </c>
      <c r="F18" s="12" t="s">
        <v>353</v>
      </c>
      <c r="G18" s="12" t="s">
        <v>343</v>
      </c>
    </row>
    <row r="19" spans="2:7" ht="30" customHeight="1" x14ac:dyDescent="0.25">
      <c r="B19" s="12">
        <v>171</v>
      </c>
      <c r="C19" s="25">
        <v>560.87535348531958</v>
      </c>
      <c r="D19" s="26">
        <v>-4.9969998805060492E-2</v>
      </c>
      <c r="E19" s="12" t="s">
        <v>348</v>
      </c>
      <c r="F19" s="12" t="s">
        <v>375</v>
      </c>
      <c r="G19" s="12" t="s">
        <v>343</v>
      </c>
    </row>
    <row r="20" spans="2:7" ht="30" customHeight="1" x14ac:dyDescent="0.25">
      <c r="B20" s="12">
        <v>298</v>
      </c>
      <c r="C20" s="25">
        <v>575.7873553186846</v>
      </c>
      <c r="D20" s="26">
        <v>-2.471153624018417E-2</v>
      </c>
      <c r="E20" s="12" t="s">
        <v>348</v>
      </c>
      <c r="F20" s="12" t="s">
        <v>375</v>
      </c>
      <c r="G20" s="12" t="s">
        <v>343</v>
      </c>
    </row>
    <row r="21" spans="2:7" ht="30" customHeight="1" x14ac:dyDescent="0.25">
      <c r="B21" s="12">
        <v>467</v>
      </c>
      <c r="C21" s="25">
        <v>577.69684478914428</v>
      </c>
      <c r="D21" s="26">
        <v>-2.1477177175144579E-2</v>
      </c>
      <c r="E21" s="12" t="s">
        <v>348</v>
      </c>
      <c r="F21" s="12" t="s">
        <v>353</v>
      </c>
      <c r="G21" s="12" t="s">
        <v>343</v>
      </c>
    </row>
    <row r="22" spans="2:7" ht="30" customHeight="1" x14ac:dyDescent="0.25">
      <c r="B22" s="12">
        <v>496</v>
      </c>
      <c r="C22" s="25">
        <v>569.63959351675601</v>
      </c>
      <c r="D22" s="26">
        <v>-3.5124827028839407E-2</v>
      </c>
      <c r="E22" s="12" t="s">
        <v>348</v>
      </c>
      <c r="F22" s="12" t="s">
        <v>375</v>
      </c>
      <c r="G22" s="12" t="s">
        <v>343</v>
      </c>
    </row>
    <row r="23" spans="2:7" ht="30" customHeight="1" x14ac:dyDescent="0.25">
      <c r="B23" s="12">
        <v>789</v>
      </c>
      <c r="C23" s="25">
        <v>573.61240841154904</v>
      </c>
      <c r="D23" s="26">
        <v>-2.8395536258985159E-2</v>
      </c>
      <c r="E23" s="12" t="s">
        <v>348</v>
      </c>
      <c r="F23" s="12" t="s">
        <v>625</v>
      </c>
      <c r="G23" s="12" t="s">
        <v>343</v>
      </c>
    </row>
    <row r="24" spans="2:7" ht="30" customHeight="1" x14ac:dyDescent="0.25">
      <c r="B24" s="12">
        <v>813</v>
      </c>
      <c r="C24" s="25">
        <v>590.01611949294488</v>
      </c>
      <c r="D24" s="26">
        <v>-6.1036516629989104E-4</v>
      </c>
      <c r="E24" s="12" t="s">
        <v>348</v>
      </c>
      <c r="F24" s="12" t="s">
        <v>349</v>
      </c>
      <c r="G24" s="12" t="s">
        <v>343</v>
      </c>
    </row>
    <row r="25" spans="2:7" ht="30" customHeight="1" x14ac:dyDescent="0.25">
      <c r="B25" s="12">
        <v>1016</v>
      </c>
      <c r="C25" s="25">
        <v>569.31848802613638</v>
      </c>
      <c r="D25" s="26">
        <v>-3.5668726573972569E-2</v>
      </c>
      <c r="E25" s="12" t="s">
        <v>348</v>
      </c>
      <c r="F25" s="12" t="s">
        <v>353</v>
      </c>
      <c r="G25" s="12" t="s">
        <v>343</v>
      </c>
    </row>
    <row r="26" spans="2:7" ht="30" customHeight="1" x14ac:dyDescent="0.25">
      <c r="B26" s="12">
        <v>1240</v>
      </c>
      <c r="C26" s="25">
        <v>577.81681730255707</v>
      </c>
      <c r="D26" s="26">
        <v>-2.1273963597738029E-2</v>
      </c>
      <c r="E26" s="12" t="s">
        <v>47</v>
      </c>
      <c r="F26" s="12" t="s">
        <v>350</v>
      </c>
      <c r="G26" s="12" t="s">
        <v>345</v>
      </c>
    </row>
    <row r="27" spans="2:7" ht="30" customHeight="1" x14ac:dyDescent="0.25">
      <c r="B27" s="12">
        <v>1478</v>
      </c>
      <c r="C27" s="25">
        <v>563.25743367748964</v>
      </c>
      <c r="D27" s="26">
        <v>-4.5935149290367017E-2</v>
      </c>
      <c r="E27" s="12" t="s">
        <v>47</v>
      </c>
      <c r="F27" s="12" t="s">
        <v>350</v>
      </c>
      <c r="G27" s="12" t="s">
        <v>345</v>
      </c>
    </row>
    <row r="28" spans="2:7" ht="30" customHeight="1" x14ac:dyDescent="0.25">
      <c r="B28" s="12">
        <v>1492</v>
      </c>
      <c r="C28" s="25">
        <v>616.54367299743774</v>
      </c>
      <c r="D28" s="26">
        <v>4.4322919084764663E-2</v>
      </c>
      <c r="E28" s="12" t="s">
        <v>47</v>
      </c>
      <c r="F28" s="12" t="s">
        <v>350</v>
      </c>
      <c r="G28" s="12" t="s">
        <v>345</v>
      </c>
    </row>
    <row r="29" spans="2:7" ht="30" customHeight="1" x14ac:dyDescent="0.25">
      <c r="B29" s="12">
        <v>1625</v>
      </c>
      <c r="C29" s="25">
        <v>598.46392965898667</v>
      </c>
      <c r="D29" s="26">
        <v>1.3698826799913629E-2</v>
      </c>
      <c r="E29" s="12" t="s">
        <v>348</v>
      </c>
      <c r="F29" s="12" t="s">
        <v>375</v>
      </c>
      <c r="G29" s="12" t="s">
        <v>343</v>
      </c>
    </row>
    <row r="31" spans="2:7" x14ac:dyDescent="0.25">
      <c r="B31" s="8" t="s">
        <v>2358</v>
      </c>
      <c r="C31" s="9"/>
      <c r="D31" s="9"/>
      <c r="E31" s="9"/>
      <c r="F31" s="9"/>
      <c r="G31" s="9"/>
    </row>
    <row r="32" spans="2:7" ht="30" x14ac:dyDescent="0.25">
      <c r="B32" s="11" t="s">
        <v>326</v>
      </c>
      <c r="C32" s="11" t="s">
        <v>60</v>
      </c>
      <c r="D32" s="11" t="s">
        <v>334</v>
      </c>
      <c r="E32" s="11" t="s">
        <v>335</v>
      </c>
      <c r="F32" s="11" t="s">
        <v>338</v>
      </c>
      <c r="G32" s="11" t="s">
        <v>2359</v>
      </c>
    </row>
    <row r="33" spans="2:7" x14ac:dyDescent="0.25">
      <c r="B33" s="27">
        <v>1</v>
      </c>
      <c r="C33" s="27" t="s">
        <v>184</v>
      </c>
      <c r="D33" s="28">
        <v>127.0005135626818</v>
      </c>
      <c r="E33" s="29">
        <v>-0.78488215375848114</v>
      </c>
      <c r="F33" s="30">
        <v>94.237042985261908</v>
      </c>
      <c r="G33" s="27" t="s">
        <v>345</v>
      </c>
    </row>
    <row r="34" spans="2:7" x14ac:dyDescent="0.25">
      <c r="B34" s="27">
        <v>14</v>
      </c>
      <c r="C34" s="27" t="s">
        <v>197</v>
      </c>
      <c r="D34" s="28">
        <v>108.217769685227</v>
      </c>
      <c r="E34" s="29">
        <v>-0.81669701258131533</v>
      </c>
      <c r="F34" s="30">
        <v>87.779296260298622</v>
      </c>
      <c r="G34" s="27" t="s">
        <v>345</v>
      </c>
    </row>
    <row r="35" spans="2:7" x14ac:dyDescent="0.25">
      <c r="B35" s="27">
        <v>7</v>
      </c>
      <c r="C35" s="27" t="s">
        <v>190</v>
      </c>
      <c r="D35" s="28">
        <v>164.39020057309111</v>
      </c>
      <c r="E35" s="29">
        <v>-0.72155021347184611</v>
      </c>
      <c r="F35" s="30">
        <v>86.514335827516106</v>
      </c>
      <c r="G35" s="27" t="s">
        <v>345</v>
      </c>
    </row>
    <row r="36" spans="2:7" x14ac:dyDescent="0.25">
      <c r="B36" s="27">
        <v>11</v>
      </c>
      <c r="C36" s="27" t="s">
        <v>194</v>
      </c>
      <c r="D36" s="28">
        <v>155.93016212047729</v>
      </c>
      <c r="E36" s="29">
        <v>-0.73588011813123544</v>
      </c>
      <c r="F36" s="30">
        <v>83.757108993025199</v>
      </c>
      <c r="G36" s="27" t="s">
        <v>345</v>
      </c>
    </row>
    <row r="37" spans="2:7" x14ac:dyDescent="0.25">
      <c r="B37" s="27">
        <v>12</v>
      </c>
      <c r="C37" s="27" t="s">
        <v>195</v>
      </c>
      <c r="D37" s="28">
        <v>99.03649733779389</v>
      </c>
      <c r="E37" s="29">
        <v>-0.83224856806507974</v>
      </c>
      <c r="F37" s="30">
        <v>83.757108993025199</v>
      </c>
      <c r="G37" s="27" t="s">
        <v>345</v>
      </c>
    </row>
    <row r="38" spans="2:7" x14ac:dyDescent="0.25">
      <c r="B38" s="27">
        <v>13</v>
      </c>
      <c r="C38" s="27" t="s">
        <v>196</v>
      </c>
      <c r="D38" s="28">
        <v>178.7489812527505</v>
      </c>
      <c r="E38" s="29">
        <v>-0.69722881596081832</v>
      </c>
      <c r="F38" s="30">
        <v>81.828784356931735</v>
      </c>
      <c r="G38" s="27" t="s">
        <v>343</v>
      </c>
    </row>
    <row r="39" spans="2:7" x14ac:dyDescent="0.25">
      <c r="B39" s="27">
        <v>10</v>
      </c>
      <c r="C39" s="27" t="s">
        <v>193</v>
      </c>
      <c r="D39" s="28">
        <v>144.27934410567511</v>
      </c>
      <c r="E39" s="29">
        <v>-0.75561467516559844</v>
      </c>
      <c r="F39" s="30">
        <v>77.425665847192576</v>
      </c>
      <c r="G39" s="27" t="s">
        <v>343</v>
      </c>
    </row>
    <row r="40" spans="2:7" x14ac:dyDescent="0.25">
      <c r="B40" s="27">
        <v>9</v>
      </c>
      <c r="C40" s="27" t="s">
        <v>192</v>
      </c>
      <c r="D40" s="28">
        <v>131.6382161031805</v>
      </c>
      <c r="E40" s="29">
        <v>-0.77702665338266175</v>
      </c>
      <c r="F40" s="30">
        <v>75.048250591316872</v>
      </c>
      <c r="G40" s="27" t="s">
        <v>343</v>
      </c>
    </row>
    <row r="42" spans="2:7" x14ac:dyDescent="0.25">
      <c r="B42" s="8" t="s">
        <v>2360</v>
      </c>
      <c r="C42" s="9"/>
      <c r="D42" s="9"/>
      <c r="E42" s="9"/>
    </row>
    <row r="43" spans="2:7" x14ac:dyDescent="0.25">
      <c r="B43" s="3" t="s">
        <v>2361</v>
      </c>
    </row>
    <row r="44" spans="2:7" x14ac:dyDescent="0.25">
      <c r="B44" t="s">
        <v>2362</v>
      </c>
    </row>
    <row r="45" spans="2:7" x14ac:dyDescent="0.25">
      <c r="B45" t="s">
        <v>2363</v>
      </c>
    </row>
    <row r="46" spans="2:7" x14ac:dyDescent="0.25">
      <c r="B46" t="s">
        <v>2364</v>
      </c>
    </row>
    <row r="47" spans="2:7" x14ac:dyDescent="0.25">
      <c r="B47" t="s">
        <v>2365</v>
      </c>
    </row>
    <row r="48" spans="2:7" x14ac:dyDescent="0.25">
      <c r="B48" t="s">
        <v>2366</v>
      </c>
    </row>
    <row r="50" spans="2:7" x14ac:dyDescent="0.25">
      <c r="B50" s="3" t="s">
        <v>2367</v>
      </c>
    </row>
    <row r="51" spans="2:7" x14ac:dyDescent="0.25">
      <c r="B51" t="s">
        <v>2368</v>
      </c>
    </row>
    <row r="52" spans="2:7" x14ac:dyDescent="0.25">
      <c r="B52" t="s">
        <v>2369</v>
      </c>
    </row>
    <row r="53" spans="2:7" x14ac:dyDescent="0.25">
      <c r="B53" t="s">
        <v>2370</v>
      </c>
    </row>
    <row r="54" spans="2:7" x14ac:dyDescent="0.25">
      <c r="B54" t="s">
        <v>2371</v>
      </c>
    </row>
    <row r="55" spans="2:7" x14ac:dyDescent="0.25">
      <c r="B55" t="s">
        <v>2372</v>
      </c>
    </row>
    <row r="58" spans="2:7" ht="60" customHeight="1" x14ac:dyDescent="0.25">
      <c r="B58" s="31" t="s">
        <v>2373</v>
      </c>
      <c r="C58" s="32"/>
      <c r="D58" s="32"/>
      <c r="E58" s="32"/>
      <c r="F58" s="32"/>
      <c r="G58" s="32"/>
    </row>
  </sheetData>
  <mergeCells count="1">
    <mergeCell ref="B58:G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 Summary</vt:lpstr>
      <vt:lpstr>Sources</vt:lpstr>
      <vt:lpstr>WACC</vt:lpstr>
      <vt:lpstr>Scenario Library</vt:lpstr>
      <vt:lpstr>Assumptions</vt:lpstr>
      <vt:lpstr>Model</vt:lpstr>
      <vt:lpstr>Summary</vt:lpstr>
      <vt:lpstr>3 Ps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Tomohawk WR</cp:lastModifiedBy>
  <dcterms:created xsi:type="dcterms:W3CDTF">2026-06-17T14:17:39Z</dcterms:created>
  <dcterms:modified xsi:type="dcterms:W3CDTF">2026-06-17T14:17:48Z</dcterms:modified>
</cp:coreProperties>
</file>