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foltin/Downloads/"/>
    </mc:Choice>
  </mc:AlternateContent>
  <xr:revisionPtr revIDLastSave="0" documentId="13_ncr:1_{450ED499-255E-F94B-9944-A05F4DAA540C}" xr6:coauthVersionLast="47" xr6:coauthVersionMax="47" xr10:uidLastSave="{00000000-0000-0000-0000-000000000000}"/>
  <bookViews>
    <workbookView xWindow="600" yWindow="1040" windowWidth="28040" windowHeight="16460" xr2:uid="{21954F01-4FCE-7E4C-A030-556C24F2C1F5}"/>
  </bookViews>
  <sheets>
    <sheet name="Final TAM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D11" i="1"/>
  <c r="E11" i="1" s="1"/>
  <c r="D10" i="1"/>
  <c r="E10" i="1" s="1"/>
  <c r="F10" i="1" s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D8" i="1"/>
  <c r="D7" i="1"/>
  <c r="E7" i="1" s="1"/>
  <c r="F7" i="1" s="1"/>
  <c r="G7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E5" i="1"/>
  <c r="F5" i="1" s="1"/>
  <c r="G5" i="1" s="1"/>
  <c r="H5" i="1" s="1"/>
  <c r="I5" i="1" s="1"/>
  <c r="J5" i="1" s="1"/>
  <c r="K5" i="1" s="1"/>
  <c r="L5" i="1" s="1"/>
  <c r="M5" i="1" s="1"/>
  <c r="N5" i="1" s="1"/>
  <c r="D12" i="1" l="1"/>
  <c r="D21" i="1" s="1"/>
  <c r="E8" i="1"/>
  <c r="F11" i="1"/>
  <c r="G10" i="1"/>
  <c r="H10" i="1" s="1"/>
  <c r="I10" i="1" s="1"/>
  <c r="J10" i="1" s="1"/>
  <c r="K10" i="1" s="1"/>
  <c r="L10" i="1" s="1"/>
  <c r="M10" i="1" s="1"/>
  <c r="N10" i="1" s="1"/>
  <c r="H7" i="1"/>
  <c r="F8" i="1" l="1"/>
  <c r="E12" i="1"/>
  <c r="E21" i="1" s="1"/>
  <c r="G11" i="1"/>
  <c r="I7" i="1"/>
  <c r="G8" i="1" l="1"/>
  <c r="H8" i="1" s="1"/>
  <c r="I8" i="1" s="1"/>
  <c r="J8" i="1" s="1"/>
  <c r="K8" i="1" s="1"/>
  <c r="L8" i="1" s="1"/>
  <c r="M8" i="1" s="1"/>
  <c r="N8" i="1" s="1"/>
  <c r="F12" i="1"/>
  <c r="F21" i="1" s="1"/>
  <c r="G12" i="1"/>
  <c r="H11" i="1"/>
  <c r="J7" i="1"/>
  <c r="I11" i="1" l="1"/>
  <c r="H12" i="1"/>
  <c r="H21" i="1" s="1"/>
  <c r="G21" i="1"/>
  <c r="K7" i="1"/>
  <c r="I12" i="1" l="1"/>
  <c r="J11" i="1"/>
  <c r="L7" i="1"/>
  <c r="K11" i="1" l="1"/>
  <c r="J12" i="1"/>
  <c r="J21" i="1" s="1"/>
  <c r="I21" i="1"/>
  <c r="M7" i="1"/>
  <c r="K12" i="1" l="1"/>
  <c r="L11" i="1"/>
  <c r="N7" i="1"/>
  <c r="M11" i="1" l="1"/>
  <c r="L12" i="1"/>
  <c r="L21" i="1" s="1"/>
  <c r="K21" i="1"/>
  <c r="M12" i="1" l="1"/>
  <c r="N11" i="1"/>
  <c r="N12" i="1" s="1"/>
  <c r="N21" i="1" l="1"/>
  <c r="M21" i="1"/>
</calcChain>
</file>

<file path=xl/sharedStrings.xml><?xml version="1.0" encoding="utf-8"?>
<sst xmlns="http://schemas.openxmlformats.org/spreadsheetml/2006/main" count="18" uniqueCount="12">
  <si>
    <t>Year</t>
  </si>
  <si>
    <t>Micron</t>
  </si>
  <si>
    <t>Samsung</t>
  </si>
  <si>
    <t>SK Hynix</t>
  </si>
  <si>
    <t>CXMT</t>
  </si>
  <si>
    <t>Other</t>
  </si>
  <si>
    <t>TAM</t>
  </si>
  <si>
    <t>Global DRAM TAM Buildout</t>
  </si>
  <si>
    <t>Growth %</t>
  </si>
  <si>
    <t xml:space="preserve">All numbers are listed for calendar years (CY) for scaling purposes </t>
  </si>
  <si>
    <t>hist.</t>
  </si>
  <si>
    <t>Timeframe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</si>
</sst>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7" formatCode="_(* #,##0_);_(* \(#,##0\);_(* &quot;-&quot;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u/>
      <sz val="14"/>
      <color theme="1"/>
      <name val="Aptos Narrow"/>
      <family val="2"/>
      <scheme val="minor"/>
    </font>
    <font>
      <sz val="14"/>
      <color theme="0"/>
      <name val="Aptos Narrow"/>
      <scheme val="minor"/>
    </font>
    <font>
      <i/>
      <sz val="14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8"/>
      <color theme="0"/>
      <name val="Aptos Narrow"/>
      <scheme val="minor"/>
    </font>
    <font>
      <b/>
      <u/>
      <sz val="14"/>
      <color theme="0"/>
      <name val="Aptos Narrow"/>
      <scheme val="minor"/>
    </font>
    <font>
      <i/>
      <u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0" fontId="5" fillId="2" borderId="0" xfId="0" applyFont="1" applyFill="1"/>
    <xf numFmtId="0" fontId="6" fillId="2" borderId="0" xfId="0" applyFont="1" applyFill="1"/>
    <xf numFmtId="43" fontId="6" fillId="2" borderId="0" xfId="1" applyFont="1" applyFill="1"/>
    <xf numFmtId="43" fontId="6" fillId="2" borderId="0" xfId="0" applyNumberFormat="1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0" borderId="0" xfId="0" applyFont="1"/>
    <xf numFmtId="165" fontId="2" fillId="0" borderId="0" xfId="0" applyNumberFormat="1" applyFont="1"/>
    <xf numFmtId="167" fontId="2" fillId="0" borderId="0" xfId="0" applyNumberFormat="1" applyFont="1"/>
    <xf numFmtId="165" fontId="3" fillId="0" borderId="1" xfId="0" applyNumberFormat="1" applyFont="1" applyBorder="1"/>
    <xf numFmtId="0" fontId="6" fillId="2" borderId="0" xfId="0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81C6-8EFB-C14A-9B2B-CC3879906AF7}">
  <dimension ref="A1:N22"/>
  <sheetViews>
    <sheetView showGridLines="0" tabSelected="1" topLeftCell="A2" zoomScale="136" workbookViewId="0">
      <selection activeCell="G20" sqref="G20"/>
    </sheetView>
  </sheetViews>
  <sheetFormatPr baseColWidth="10" defaultRowHeight="19" x14ac:dyDescent="0.25"/>
  <cols>
    <col min="1" max="1" width="3.5" style="1" customWidth="1"/>
    <col min="2" max="3" width="12.5" style="1" customWidth="1"/>
    <col min="4" max="4" width="13.1640625" style="1" bestFit="1" customWidth="1"/>
    <col min="5" max="5" width="12.5" style="1" bestFit="1" customWidth="1"/>
    <col min="6" max="16384" width="10.83203125" style="1"/>
  </cols>
  <sheetData>
    <row r="1" spans="1:14" s="6" customFormat="1" ht="24" x14ac:dyDescent="0.3">
      <c r="A1" s="11" t="s">
        <v>7</v>
      </c>
    </row>
    <row r="2" spans="1:14" s="6" customFormat="1" x14ac:dyDescent="0.25">
      <c r="A2" s="7" t="s">
        <v>9</v>
      </c>
    </row>
    <row r="3" spans="1:14" s="6" customFormat="1" ht="7" customHeight="1" x14ac:dyDescent="0.25">
      <c r="A3" s="7"/>
    </row>
    <row r="4" spans="1:14" s="6" customFormat="1" x14ac:dyDescent="0.25">
      <c r="B4" s="7" t="s">
        <v>11</v>
      </c>
      <c r="C4" s="17" t="s">
        <v>10</v>
      </c>
      <c r="D4" s="8">
        <f ca="1">1-YEARFRAC(DATE(YEAR(TODAY()),1,1),TODAY(),1)</f>
        <v>0.54520547945205478</v>
      </c>
      <c r="E4" s="9">
        <f ca="1">D4+1</f>
        <v>1.5452054794520547</v>
      </c>
      <c r="F4" s="9">
        <f t="shared" ref="F4:N4" ca="1" si="0">E4+1</f>
        <v>2.5452054794520547</v>
      </c>
      <c r="G4" s="9">
        <f t="shared" ca="1" si="0"/>
        <v>3.5452054794520547</v>
      </c>
      <c r="H4" s="9">
        <f t="shared" ca="1" si="0"/>
        <v>4.5452054794520542</v>
      </c>
      <c r="I4" s="9">
        <f t="shared" ca="1" si="0"/>
        <v>5.5452054794520542</v>
      </c>
      <c r="J4" s="9">
        <f t="shared" ca="1" si="0"/>
        <v>6.5452054794520542</v>
      </c>
      <c r="K4" s="9">
        <f t="shared" ca="1" si="0"/>
        <v>7.5452054794520542</v>
      </c>
      <c r="L4" s="9">
        <f t="shared" ca="1" si="0"/>
        <v>8.5452054794520542</v>
      </c>
      <c r="M4" s="9">
        <f t="shared" ca="1" si="0"/>
        <v>9.5452054794520542</v>
      </c>
      <c r="N4" s="9">
        <f t="shared" ca="1" si="0"/>
        <v>10.545205479452054</v>
      </c>
    </row>
    <row r="5" spans="1:14" s="10" customFormat="1" x14ac:dyDescent="0.25">
      <c r="B5" s="10" t="s">
        <v>0</v>
      </c>
      <c r="C5" s="12">
        <v>2025</v>
      </c>
      <c r="D5" s="12">
        <v>2026</v>
      </c>
      <c r="E5" s="12">
        <f>D5+1</f>
        <v>2027</v>
      </c>
      <c r="F5" s="12">
        <f t="shared" ref="F5:N5" si="1">E5+1</f>
        <v>2028</v>
      </c>
      <c r="G5" s="12">
        <f t="shared" si="1"/>
        <v>2029</v>
      </c>
      <c r="H5" s="12">
        <f t="shared" si="1"/>
        <v>2030</v>
      </c>
      <c r="I5" s="12">
        <f t="shared" si="1"/>
        <v>2031</v>
      </c>
      <c r="J5" s="12">
        <f t="shared" si="1"/>
        <v>2032</v>
      </c>
      <c r="K5" s="12">
        <f t="shared" si="1"/>
        <v>2033</v>
      </c>
      <c r="L5" s="12">
        <f t="shared" si="1"/>
        <v>2034</v>
      </c>
      <c r="M5" s="12">
        <f t="shared" si="1"/>
        <v>2035</v>
      </c>
      <c r="N5" s="12">
        <f t="shared" si="1"/>
        <v>2036</v>
      </c>
    </row>
    <row r="6" spans="1:14" ht="10" customHeight="1" x14ac:dyDescent="0.25"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B7" s="1" t="s">
        <v>2</v>
      </c>
      <c r="C7" s="15">
        <v>52900</v>
      </c>
      <c r="D7" s="15">
        <f>C7*(1+D16)</f>
        <v>134366</v>
      </c>
      <c r="E7" s="15">
        <f>D7*(1+E16)</f>
        <v>174675.80000000002</v>
      </c>
      <c r="F7" s="15">
        <f t="shared" ref="F7:N7" si="2">E7*(1+F16)</f>
        <v>192143.38000000003</v>
      </c>
      <c r="G7" s="15">
        <f t="shared" si="2"/>
        <v>163321.87300000002</v>
      </c>
      <c r="H7" s="15">
        <f t="shared" si="2"/>
        <v>163321.87300000002</v>
      </c>
      <c r="I7" s="15">
        <f t="shared" si="2"/>
        <v>163321.87300000002</v>
      </c>
      <c r="J7" s="15">
        <f t="shared" si="2"/>
        <v>163321.87300000002</v>
      </c>
      <c r="K7" s="15">
        <f t="shared" si="2"/>
        <v>163321.87300000002</v>
      </c>
      <c r="L7" s="15">
        <f t="shared" si="2"/>
        <v>163321.87300000002</v>
      </c>
      <c r="M7" s="15">
        <f t="shared" si="2"/>
        <v>163321.87300000002</v>
      </c>
      <c r="N7" s="15">
        <f t="shared" si="2"/>
        <v>163321.87300000002</v>
      </c>
    </row>
    <row r="8" spans="1:14" x14ac:dyDescent="0.25">
      <c r="B8" s="1" t="s">
        <v>3</v>
      </c>
      <c r="C8" s="15">
        <v>52800</v>
      </c>
      <c r="D8" s="15">
        <f t="shared" ref="D8" si="3">C8*(1+D17)</f>
        <v>83424</v>
      </c>
      <c r="E8" s="15">
        <f t="shared" ref="E8:N8" si="4">D8*(1+E17)</f>
        <v>112622.40000000001</v>
      </c>
      <c r="F8" s="15">
        <f t="shared" si="4"/>
        <v>129515.76</v>
      </c>
      <c r="G8" s="15">
        <f t="shared" si="4"/>
        <v>123039.97199999999</v>
      </c>
      <c r="H8" s="15">
        <f t="shared" si="4"/>
        <v>123039.97199999999</v>
      </c>
      <c r="I8" s="15">
        <f t="shared" si="4"/>
        <v>123039.97199999999</v>
      </c>
      <c r="J8" s="15">
        <f t="shared" si="4"/>
        <v>123039.97199999999</v>
      </c>
      <c r="K8" s="15">
        <f t="shared" si="4"/>
        <v>123039.97199999999</v>
      </c>
      <c r="L8" s="15">
        <f t="shared" si="4"/>
        <v>123039.97199999999</v>
      </c>
      <c r="M8" s="15">
        <f t="shared" si="4"/>
        <v>123039.97199999999</v>
      </c>
      <c r="N8" s="15">
        <f t="shared" si="4"/>
        <v>123039.97199999999</v>
      </c>
    </row>
    <row r="9" spans="1:14" x14ac:dyDescent="0.25">
      <c r="B9" s="1" t="s">
        <v>1</v>
      </c>
      <c r="C9" s="15">
        <v>36200</v>
      </c>
      <c r="D9" s="15">
        <f t="shared" ref="D9" si="5">C9*(1+D18)</f>
        <v>103894</v>
      </c>
      <c r="E9" s="15">
        <f t="shared" ref="E9:N9" si="6">D9*(1+E18)</f>
        <v>169347.22</v>
      </c>
      <c r="F9" s="15">
        <f t="shared" si="6"/>
        <v>160879.859</v>
      </c>
      <c r="G9" s="15">
        <f t="shared" si="6"/>
        <v>120659.89425</v>
      </c>
      <c r="H9" s="15">
        <f t="shared" si="6"/>
        <v>120659.89425</v>
      </c>
      <c r="I9" s="15">
        <f t="shared" si="6"/>
        <v>120659.89425</v>
      </c>
      <c r="J9" s="15">
        <f t="shared" si="6"/>
        <v>120659.89425</v>
      </c>
      <c r="K9" s="15">
        <f t="shared" si="6"/>
        <v>120659.89425</v>
      </c>
      <c r="L9" s="15">
        <f t="shared" si="6"/>
        <v>120659.89425</v>
      </c>
      <c r="M9" s="15">
        <f t="shared" si="6"/>
        <v>120659.89425</v>
      </c>
      <c r="N9" s="15">
        <f t="shared" si="6"/>
        <v>120659.89425</v>
      </c>
    </row>
    <row r="10" spans="1:14" x14ac:dyDescent="0.25">
      <c r="B10" s="1" t="s">
        <v>4</v>
      </c>
      <c r="C10" s="15">
        <v>9100</v>
      </c>
      <c r="D10" s="15">
        <f t="shared" ref="D10" si="7">C10*(1+D19)</f>
        <v>31213</v>
      </c>
      <c r="E10" s="15">
        <f t="shared" ref="E10:N10" si="8">D10*(1+E19)</f>
        <v>40576.9</v>
      </c>
      <c r="F10" s="15">
        <f t="shared" si="8"/>
        <v>48692.28</v>
      </c>
      <c r="G10" s="15">
        <f t="shared" si="8"/>
        <v>48692.28</v>
      </c>
      <c r="H10" s="15">
        <f t="shared" si="8"/>
        <v>48692.28</v>
      </c>
      <c r="I10" s="15">
        <f t="shared" si="8"/>
        <v>48692.28</v>
      </c>
      <c r="J10" s="15">
        <f t="shared" si="8"/>
        <v>48692.28</v>
      </c>
      <c r="K10" s="15">
        <f t="shared" si="8"/>
        <v>48692.28</v>
      </c>
      <c r="L10" s="15">
        <f t="shared" si="8"/>
        <v>48692.28</v>
      </c>
      <c r="M10" s="15">
        <f t="shared" si="8"/>
        <v>48692.28</v>
      </c>
      <c r="N10" s="15">
        <f t="shared" si="8"/>
        <v>48692.28</v>
      </c>
    </row>
    <row r="11" spans="1:14" x14ac:dyDescent="0.25">
      <c r="B11" s="1" t="s">
        <v>5</v>
      </c>
      <c r="C11" s="15">
        <v>2500</v>
      </c>
      <c r="D11" s="15">
        <f t="shared" ref="D11" si="9">C11*(1+D20)</f>
        <v>2875</v>
      </c>
      <c r="E11" s="15">
        <f t="shared" ref="E11:N11" si="10">D11*(1+E20)</f>
        <v>3018.75</v>
      </c>
      <c r="F11" s="15">
        <f t="shared" si="10"/>
        <v>3109.3125</v>
      </c>
      <c r="G11" s="15">
        <f t="shared" si="10"/>
        <v>3109.3125</v>
      </c>
      <c r="H11" s="15">
        <f t="shared" si="10"/>
        <v>3109.3125</v>
      </c>
      <c r="I11" s="15">
        <f t="shared" si="10"/>
        <v>3109.3125</v>
      </c>
      <c r="J11" s="15">
        <f t="shared" si="10"/>
        <v>3109.3125</v>
      </c>
      <c r="K11" s="15">
        <f t="shared" si="10"/>
        <v>3109.3125</v>
      </c>
      <c r="L11" s="15">
        <f t="shared" si="10"/>
        <v>3109.3125</v>
      </c>
      <c r="M11" s="15">
        <f t="shared" si="10"/>
        <v>3109.3125</v>
      </c>
      <c r="N11" s="15">
        <f t="shared" si="10"/>
        <v>3109.3125</v>
      </c>
    </row>
    <row r="12" spans="1:14" s="2" customFormat="1" ht="20" thickBot="1" x14ac:dyDescent="0.3">
      <c r="B12" s="4" t="s">
        <v>6</v>
      </c>
      <c r="C12" s="5">
        <f t="shared" ref="C12:D12" si="11">SUM(C8,C7,C9,C10,C11)</f>
        <v>153500</v>
      </c>
      <c r="D12" s="5">
        <f t="shared" si="11"/>
        <v>355772</v>
      </c>
      <c r="E12" s="5">
        <f t="shared" ref="E12:N12" si="12">SUM(E8,E7,E9,E10,E11)</f>
        <v>500241.07000000007</v>
      </c>
      <c r="F12" s="5">
        <f t="shared" si="12"/>
        <v>534340.59149999998</v>
      </c>
      <c r="G12" s="5">
        <f t="shared" si="12"/>
        <v>458823.33175000001</v>
      </c>
      <c r="H12" s="5">
        <f t="shared" si="12"/>
        <v>458823.33175000001</v>
      </c>
      <c r="I12" s="5">
        <f t="shared" si="12"/>
        <v>458823.33175000001</v>
      </c>
      <c r="J12" s="5">
        <f t="shared" si="12"/>
        <v>458823.33175000001</v>
      </c>
      <c r="K12" s="5">
        <f t="shared" si="12"/>
        <v>458823.33175000001</v>
      </c>
      <c r="L12" s="5">
        <f t="shared" si="12"/>
        <v>458823.33175000001</v>
      </c>
      <c r="M12" s="5">
        <f t="shared" si="12"/>
        <v>458823.33175000001</v>
      </c>
      <c r="N12" s="5">
        <f t="shared" si="12"/>
        <v>458823.33175000001</v>
      </c>
    </row>
    <row r="13" spans="1:14" ht="20" thickTop="1" x14ac:dyDescent="0.25"/>
    <row r="14" spans="1:14" x14ac:dyDescent="0.25">
      <c r="B14" s="13" t="s">
        <v>8</v>
      </c>
      <c r="C14" s="13"/>
    </row>
    <row r="15" spans="1:14" ht="10" customHeight="1" x14ac:dyDescent="0.25"/>
    <row r="16" spans="1:14" x14ac:dyDescent="0.25">
      <c r="B16" s="1" t="s">
        <v>2</v>
      </c>
      <c r="D16" s="14">
        <v>1.54</v>
      </c>
      <c r="E16" s="14">
        <v>0.3</v>
      </c>
      <c r="F16" s="14">
        <v>0.1</v>
      </c>
      <c r="G16" s="14">
        <v>-0.15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</row>
    <row r="17" spans="2:14" x14ac:dyDescent="0.25">
      <c r="B17" s="1" t="s">
        <v>3</v>
      </c>
      <c r="D17" s="14">
        <v>0.57999999999999996</v>
      </c>
      <c r="E17" s="14">
        <v>0.35</v>
      </c>
      <c r="F17" s="14">
        <v>0.15</v>
      </c>
      <c r="G17" s="14">
        <v>-0.05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</row>
    <row r="18" spans="2:14" x14ac:dyDescent="0.25">
      <c r="B18" s="1" t="s">
        <v>1</v>
      </c>
      <c r="D18" s="14">
        <v>1.87</v>
      </c>
      <c r="E18" s="14">
        <v>0.63</v>
      </c>
      <c r="F18" s="14">
        <v>-0.05</v>
      </c>
      <c r="G18" s="14">
        <v>-0.25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</row>
    <row r="19" spans="2:14" x14ac:dyDescent="0.25">
      <c r="B19" s="1" t="s">
        <v>4</v>
      </c>
      <c r="D19" s="14">
        <v>2.4300000000000002</v>
      </c>
      <c r="E19" s="14">
        <v>0.3</v>
      </c>
      <c r="F19" s="14">
        <v>0.2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</row>
    <row r="20" spans="2:14" x14ac:dyDescent="0.25">
      <c r="B20" s="1" t="s">
        <v>5</v>
      </c>
      <c r="D20" s="14">
        <v>0.15</v>
      </c>
      <c r="E20" s="14">
        <v>0.05</v>
      </c>
      <c r="F20" s="14">
        <v>0.03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</row>
    <row r="21" spans="2:14" s="2" customFormat="1" ht="20" thickBot="1" x14ac:dyDescent="0.3">
      <c r="B21" s="4" t="s">
        <v>6</v>
      </c>
      <c r="C21" s="4"/>
      <c r="D21" s="16">
        <f>D12/C12-1</f>
        <v>1.3177328990228014</v>
      </c>
      <c r="E21" s="16">
        <f>E12/D12-1</f>
        <v>0.40607206300664478</v>
      </c>
      <c r="F21" s="16">
        <f t="shared" ref="F21:N21" si="13">F12/E12-1</f>
        <v>6.8166177359247904E-2</v>
      </c>
      <c r="G21" s="16">
        <f t="shared" si="13"/>
        <v>-0.14132794878638744</v>
      </c>
      <c r="H21" s="16">
        <f t="shared" si="13"/>
        <v>0</v>
      </c>
      <c r="I21" s="16">
        <f t="shared" si="13"/>
        <v>0</v>
      </c>
      <c r="J21" s="16">
        <f t="shared" si="13"/>
        <v>0</v>
      </c>
      <c r="K21" s="16">
        <f t="shared" si="13"/>
        <v>0</v>
      </c>
      <c r="L21" s="16">
        <f t="shared" si="13"/>
        <v>0</v>
      </c>
      <c r="M21" s="16">
        <f t="shared" si="13"/>
        <v>0</v>
      </c>
      <c r="N21" s="16">
        <f t="shared" si="13"/>
        <v>0</v>
      </c>
    </row>
    <row r="22" spans="2:14" ht="20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Foltin, Thomas J.</dc:creator>
  <cp:lastModifiedBy>Foltin, Thomas J.</cp:lastModifiedBy>
  <dcterms:created xsi:type="dcterms:W3CDTF">2026-06-15T20:42:04Z</dcterms:created>
  <dcterms:modified xsi:type="dcterms:W3CDTF">2026-06-17T01:47:05Z</dcterms:modified>
</cp:coreProperties>
</file>