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mmy\Downloads\INTU\"/>
    </mc:Choice>
  </mc:AlternateContent>
  <xr:revisionPtr revIDLastSave="0" documentId="13_ncr:1_{C7BCE721-8E60-41EA-8EAD-E219A8DEF1C8}" xr6:coauthVersionLast="47" xr6:coauthVersionMax="47" xr10:uidLastSave="{00000000-0000-0000-0000-000000000000}"/>
  <bookViews>
    <workbookView xWindow="735" yWindow="240" windowWidth="27915" windowHeight="15015" activeTab="1" xr2:uid="{00000000-000D-0000-FFFF-FFFF00000000}"/>
  </bookViews>
  <sheets>
    <sheet name="INTU Model" sheetId="1" r:id="rId1"/>
    <sheet name="5Y Sales Foreca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3" l="1"/>
  <c r="C39" i="3"/>
  <c r="B39" i="3"/>
  <c r="F38" i="3"/>
  <c r="D38" i="3"/>
  <c r="G38" i="3" s="1"/>
  <c r="H38" i="3" s="1"/>
  <c r="C12" i="3" s="1"/>
  <c r="F37" i="3"/>
  <c r="D37" i="3"/>
  <c r="G37" i="3" s="1"/>
  <c r="H37" i="3" s="1"/>
  <c r="C11" i="3" s="1"/>
  <c r="F36" i="3"/>
  <c r="D36" i="3"/>
  <c r="F35" i="3"/>
  <c r="D35" i="3"/>
  <c r="G35" i="3" s="1"/>
  <c r="H35" i="3" s="1"/>
  <c r="C8" i="3" s="1"/>
  <c r="F34" i="3"/>
  <c r="D34" i="3"/>
  <c r="G34" i="3" s="1"/>
  <c r="H34" i="3" s="1"/>
  <c r="C7" i="3" s="1"/>
  <c r="F33" i="3"/>
  <c r="D33" i="3"/>
  <c r="B13" i="3"/>
  <c r="B9" i="3"/>
  <c r="B14" i="3" s="1"/>
  <c r="J154" i="1"/>
  <c r="I154" i="1"/>
  <c r="H154" i="1"/>
  <c r="G154" i="1"/>
  <c r="F154" i="1"/>
  <c r="E154" i="1"/>
  <c r="D154" i="1"/>
  <c r="C154" i="1"/>
  <c r="B154" i="1"/>
  <c r="J153" i="1"/>
  <c r="I153" i="1"/>
  <c r="H153" i="1"/>
  <c r="G153" i="1"/>
  <c r="F153" i="1"/>
  <c r="E153" i="1"/>
  <c r="D153" i="1"/>
  <c r="C153" i="1"/>
  <c r="B153" i="1"/>
  <c r="N143" i="1"/>
  <c r="M143" i="1"/>
  <c r="L143" i="1"/>
  <c r="B143" i="1"/>
  <c r="N142" i="1"/>
  <c r="N140" i="1"/>
  <c r="M139" i="1"/>
  <c r="L139" i="1"/>
  <c r="J139" i="1"/>
  <c r="I139" i="1"/>
  <c r="H139" i="1"/>
  <c r="G139" i="1"/>
  <c r="F139" i="1"/>
  <c r="E139" i="1"/>
  <c r="D139" i="1"/>
  <c r="C139" i="1"/>
  <c r="B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39" i="1" s="1"/>
  <c r="M124" i="1"/>
  <c r="L124" i="1"/>
  <c r="J124" i="1"/>
  <c r="I124" i="1"/>
  <c r="H124" i="1"/>
  <c r="G124" i="1"/>
  <c r="F124" i="1"/>
  <c r="E124" i="1"/>
  <c r="D124" i="1"/>
  <c r="C124" i="1"/>
  <c r="B124" i="1"/>
  <c r="N123" i="1"/>
  <c r="N122" i="1"/>
  <c r="N121" i="1"/>
  <c r="N120" i="1"/>
  <c r="N119" i="1"/>
  <c r="N118" i="1"/>
  <c r="N117" i="1"/>
  <c r="N116" i="1"/>
  <c r="N115" i="1"/>
  <c r="N124" i="1" s="1"/>
  <c r="M111" i="1"/>
  <c r="L111" i="1"/>
  <c r="J111" i="1"/>
  <c r="I111" i="1"/>
  <c r="H111" i="1"/>
  <c r="G111" i="1"/>
  <c r="F111" i="1"/>
  <c r="E111" i="1"/>
  <c r="D111" i="1"/>
  <c r="C111" i="1"/>
  <c r="B111" i="1"/>
  <c r="N110" i="1"/>
  <c r="N109" i="1"/>
  <c r="N108" i="1"/>
  <c r="N107" i="1"/>
  <c r="N106" i="1"/>
  <c r="N105" i="1"/>
  <c r="N104" i="1"/>
  <c r="N103" i="1"/>
  <c r="N102" i="1"/>
  <c r="N111" i="1" s="1"/>
  <c r="N100" i="1"/>
  <c r="N99" i="1"/>
  <c r="M98" i="1"/>
  <c r="L98" i="1"/>
  <c r="J98" i="1"/>
  <c r="I98" i="1"/>
  <c r="H98" i="1"/>
  <c r="G98" i="1"/>
  <c r="F98" i="1"/>
  <c r="E98" i="1"/>
  <c r="D98" i="1"/>
  <c r="C98" i="1"/>
  <c r="B98" i="1"/>
  <c r="N97" i="1"/>
  <c r="N96" i="1"/>
  <c r="N95" i="1"/>
  <c r="N94" i="1"/>
  <c r="N93" i="1"/>
  <c r="N92" i="1"/>
  <c r="N91" i="1"/>
  <c r="N98" i="1" s="1"/>
  <c r="J84" i="1"/>
  <c r="I84" i="1"/>
  <c r="H84" i="1"/>
  <c r="G84" i="1"/>
  <c r="F84" i="1"/>
  <c r="E84" i="1"/>
  <c r="D84" i="1"/>
  <c r="C84" i="1"/>
  <c r="B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N84" i="1" s="1"/>
  <c r="N85" i="1" s="1"/>
  <c r="M79" i="1"/>
  <c r="M84" i="1" s="1"/>
  <c r="L79" i="1"/>
  <c r="L84" i="1" s="1"/>
  <c r="N76" i="1"/>
  <c r="M76" i="1"/>
  <c r="L76" i="1"/>
  <c r="N75" i="1"/>
  <c r="M75" i="1"/>
  <c r="L75" i="1"/>
  <c r="N74" i="1"/>
  <c r="M74" i="1"/>
  <c r="L74" i="1"/>
  <c r="N73" i="1"/>
  <c r="M73" i="1"/>
  <c r="L73" i="1"/>
  <c r="N71" i="1"/>
  <c r="M71" i="1"/>
  <c r="L71" i="1"/>
  <c r="J70" i="1"/>
  <c r="I70" i="1"/>
  <c r="H70" i="1"/>
  <c r="G70" i="1"/>
  <c r="F70" i="1"/>
  <c r="E70" i="1"/>
  <c r="D70" i="1"/>
  <c r="C70" i="1"/>
  <c r="B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N70" i="1" s="1"/>
  <c r="N72" i="1" s="1"/>
  <c r="N77" i="1" s="1"/>
  <c r="M64" i="1"/>
  <c r="L64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1" i="1"/>
  <c r="N154" i="1" s="1"/>
  <c r="M51" i="1"/>
  <c r="M154" i="1" s="1"/>
  <c r="L51" i="1"/>
  <c r="L154" i="1" s="1"/>
  <c r="J50" i="1"/>
  <c r="I50" i="1"/>
  <c r="H50" i="1"/>
  <c r="G50" i="1"/>
  <c r="F50" i="1"/>
  <c r="E50" i="1"/>
  <c r="D50" i="1"/>
  <c r="C50" i="1"/>
  <c r="B50" i="1"/>
  <c r="N49" i="1"/>
  <c r="M49" i="1"/>
  <c r="L49" i="1"/>
  <c r="N48" i="1"/>
  <c r="M48" i="1"/>
  <c r="L48" i="1"/>
  <c r="N47" i="1"/>
  <c r="M47" i="1"/>
  <c r="L47" i="1"/>
  <c r="N46" i="1"/>
  <c r="N153" i="1" s="1"/>
  <c r="M46" i="1"/>
  <c r="M153" i="1" s="1"/>
  <c r="L46" i="1"/>
  <c r="L153" i="1" s="1"/>
  <c r="N45" i="1"/>
  <c r="M45" i="1"/>
  <c r="L45" i="1"/>
  <c r="N44" i="1"/>
  <c r="M44" i="1"/>
  <c r="L44" i="1"/>
  <c r="N43" i="1"/>
  <c r="N50" i="1" s="1"/>
  <c r="N52" i="1" s="1"/>
  <c r="N60" i="1" s="1"/>
  <c r="N86" i="1" s="1"/>
  <c r="M43" i="1"/>
  <c r="M50" i="1" s="1"/>
  <c r="M52" i="1" s="1"/>
  <c r="M60" i="1" s="1"/>
  <c r="L43" i="1"/>
  <c r="L50" i="1" s="1"/>
  <c r="L52" i="1" s="1"/>
  <c r="L60" i="1" s="1"/>
  <c r="N32" i="1"/>
  <c r="N31" i="1"/>
  <c r="N30" i="1"/>
  <c r="N29" i="1"/>
  <c r="N26" i="1"/>
  <c r="N24" i="1"/>
  <c r="N23" i="1"/>
  <c r="M21" i="1"/>
  <c r="L21" i="1"/>
  <c r="J21" i="1"/>
  <c r="I21" i="1"/>
  <c r="H21" i="1"/>
  <c r="G21" i="1"/>
  <c r="F21" i="1"/>
  <c r="E21" i="1"/>
  <c r="D21" i="1"/>
  <c r="C21" i="1"/>
  <c r="B21" i="1"/>
  <c r="N20" i="1"/>
  <c r="N19" i="1"/>
  <c r="N18" i="1"/>
  <c r="N17" i="1"/>
  <c r="N16" i="1"/>
  <c r="N14" i="1"/>
  <c r="N13" i="1"/>
  <c r="N12" i="1"/>
  <c r="N21" i="1" s="1"/>
  <c r="M10" i="1"/>
  <c r="L10" i="1"/>
  <c r="J10" i="1"/>
  <c r="I10" i="1"/>
  <c r="H10" i="1"/>
  <c r="G10" i="1"/>
  <c r="F10" i="1"/>
  <c r="E10" i="1"/>
  <c r="D10" i="1"/>
  <c r="C10" i="1"/>
  <c r="B10" i="1"/>
  <c r="N9" i="1"/>
  <c r="N8" i="1"/>
  <c r="F39" i="3" l="1"/>
  <c r="G36" i="3"/>
  <c r="H36" i="3" s="1"/>
  <c r="C10" i="3" s="1"/>
  <c r="M70" i="1"/>
  <c r="M72" i="1" s="1"/>
  <c r="M77" i="1" s="1"/>
  <c r="M85" i="1" s="1"/>
  <c r="M86" i="1" s="1"/>
  <c r="L70" i="1"/>
  <c r="L72" i="1" s="1"/>
  <c r="L77" i="1" s="1"/>
  <c r="L85" i="1" s="1"/>
  <c r="L86" i="1" s="1"/>
  <c r="D12" i="3"/>
  <c r="E12" i="3" s="1"/>
  <c r="F12" i="3" s="1"/>
  <c r="G12" i="3" s="1"/>
  <c r="B65" i="3"/>
  <c r="C65" i="3" s="1"/>
  <c r="D65" i="3" s="1"/>
  <c r="E65" i="3" s="1"/>
  <c r="F65" i="3" s="1"/>
  <c r="B72" i="3"/>
  <c r="C72" i="3" s="1"/>
  <c r="D72" i="3" s="1"/>
  <c r="E72" i="3" s="1"/>
  <c r="F72" i="3" s="1"/>
  <c r="B58" i="3"/>
  <c r="C58" i="3" s="1"/>
  <c r="D58" i="3" s="1"/>
  <c r="E58" i="3" s="1"/>
  <c r="F58" i="3" s="1"/>
  <c r="B57" i="3"/>
  <c r="C57" i="3" s="1"/>
  <c r="D57" i="3" s="1"/>
  <c r="E57" i="3" s="1"/>
  <c r="F57" i="3" s="1"/>
  <c r="D11" i="3"/>
  <c r="E11" i="3" s="1"/>
  <c r="F11" i="3" s="1"/>
  <c r="G11" i="3" s="1"/>
  <c r="B64" i="3"/>
  <c r="C64" i="3" s="1"/>
  <c r="D64" i="3" s="1"/>
  <c r="E64" i="3" s="1"/>
  <c r="F64" i="3" s="1"/>
  <c r="B71" i="3"/>
  <c r="C71" i="3" s="1"/>
  <c r="D71" i="3" s="1"/>
  <c r="E71" i="3" s="1"/>
  <c r="F71" i="3" s="1"/>
  <c r="B62" i="3"/>
  <c r="C62" i="3" s="1"/>
  <c r="D62" i="3" s="1"/>
  <c r="E62" i="3" s="1"/>
  <c r="F62" i="3" s="1"/>
  <c r="D8" i="3"/>
  <c r="E8" i="3" s="1"/>
  <c r="F8" i="3" s="1"/>
  <c r="G8" i="3" s="1"/>
  <c r="B69" i="3"/>
  <c r="C69" i="3" s="1"/>
  <c r="D69" i="3" s="1"/>
  <c r="E69" i="3" s="1"/>
  <c r="F69" i="3" s="1"/>
  <c r="B55" i="3"/>
  <c r="C55" i="3" s="1"/>
  <c r="D55" i="3" s="1"/>
  <c r="E55" i="3" s="1"/>
  <c r="F55" i="3" s="1"/>
  <c r="B54" i="3"/>
  <c r="C54" i="3" s="1"/>
  <c r="D54" i="3" s="1"/>
  <c r="E54" i="3" s="1"/>
  <c r="F54" i="3" s="1"/>
  <c r="D7" i="3"/>
  <c r="E7" i="3" s="1"/>
  <c r="F7" i="3" s="1"/>
  <c r="G7" i="3" s="1"/>
  <c r="B61" i="3"/>
  <c r="C61" i="3" s="1"/>
  <c r="D61" i="3" s="1"/>
  <c r="E61" i="3" s="1"/>
  <c r="F61" i="3" s="1"/>
  <c r="B68" i="3"/>
  <c r="C68" i="3" s="1"/>
  <c r="D68" i="3" s="1"/>
  <c r="E68" i="3" s="1"/>
  <c r="F68" i="3" s="1"/>
  <c r="D39" i="3"/>
  <c r="G33" i="3"/>
  <c r="J72" i="1"/>
  <c r="I72" i="1"/>
  <c r="H72" i="1"/>
  <c r="G72" i="1"/>
  <c r="F72" i="1"/>
  <c r="E72" i="1"/>
  <c r="D72" i="1"/>
  <c r="C72" i="1"/>
  <c r="B72" i="1"/>
  <c r="J52" i="1"/>
  <c r="I52" i="1"/>
  <c r="H52" i="1"/>
  <c r="G52" i="1"/>
  <c r="F52" i="1"/>
  <c r="E52" i="1"/>
  <c r="D52" i="1"/>
  <c r="C52" i="1"/>
  <c r="B52" i="1"/>
  <c r="M22" i="1"/>
  <c r="M15" i="1"/>
  <c r="M36" i="1" s="1"/>
  <c r="M151" i="1"/>
  <c r="M34" i="1"/>
  <c r="M35" i="1"/>
  <c r="L22" i="1"/>
  <c r="L35" i="1"/>
  <c r="L15" i="1"/>
  <c r="L36" i="1" s="1"/>
  <c r="L151" i="1"/>
  <c r="L34" i="1"/>
  <c r="J22" i="1"/>
  <c r="J35" i="1"/>
  <c r="J15" i="1"/>
  <c r="J36" i="1" s="1"/>
  <c r="J151" i="1"/>
  <c r="J34" i="1"/>
  <c r="I35" i="1"/>
  <c r="I22" i="1"/>
  <c r="I151" i="1"/>
  <c r="I34" i="1"/>
  <c r="I15" i="1"/>
  <c r="I36" i="1" s="1"/>
  <c r="H35" i="1"/>
  <c r="H22" i="1"/>
  <c r="H34" i="1"/>
  <c r="H151" i="1"/>
  <c r="H15" i="1"/>
  <c r="H36" i="1" s="1"/>
  <c r="G35" i="1"/>
  <c r="G34" i="1"/>
  <c r="G22" i="1"/>
  <c r="G151" i="1"/>
  <c r="G15" i="1"/>
  <c r="G36" i="1" s="1"/>
  <c r="F35" i="1"/>
  <c r="F22" i="1"/>
  <c r="F15" i="1"/>
  <c r="F36" i="1" s="1"/>
  <c r="F151" i="1"/>
  <c r="F34" i="1"/>
  <c r="E35" i="1"/>
  <c r="E22" i="1"/>
  <c r="E15" i="1"/>
  <c r="E36" i="1" s="1"/>
  <c r="E151" i="1"/>
  <c r="D151" i="1"/>
  <c r="D22" i="1"/>
  <c r="D15" i="1"/>
  <c r="D36" i="1" s="1"/>
  <c r="D35" i="1"/>
  <c r="C151" i="1"/>
  <c r="C22" i="1"/>
  <c r="C15" i="1"/>
  <c r="C36" i="1" s="1"/>
  <c r="C35" i="1"/>
  <c r="B22" i="1"/>
  <c r="B151" i="1"/>
  <c r="B35" i="1"/>
  <c r="B15" i="1"/>
  <c r="B36" i="1" s="1"/>
  <c r="N10" i="1"/>
  <c r="N35" i="1" s="1"/>
  <c r="N151" i="1"/>
  <c r="B63" i="3" l="1"/>
  <c r="C63" i="3" s="1"/>
  <c r="D63" i="3" s="1"/>
  <c r="E63" i="3" s="1"/>
  <c r="F63" i="3" s="1"/>
  <c r="B70" i="3"/>
  <c r="C70" i="3" s="1"/>
  <c r="D70" i="3" s="1"/>
  <c r="E70" i="3" s="1"/>
  <c r="F70" i="3" s="1"/>
  <c r="D10" i="3"/>
  <c r="D13" i="3" s="1"/>
  <c r="B56" i="3"/>
  <c r="C56" i="3" s="1"/>
  <c r="D56" i="3" s="1"/>
  <c r="E56" i="3" s="1"/>
  <c r="F56" i="3" s="1"/>
  <c r="C13" i="3"/>
  <c r="E10" i="3"/>
  <c r="H33" i="3"/>
  <c r="G39" i="3"/>
  <c r="J77" i="1"/>
  <c r="I77" i="1"/>
  <c r="H77" i="1"/>
  <c r="G77" i="1"/>
  <c r="F77" i="1"/>
  <c r="E77" i="1"/>
  <c r="D77" i="1"/>
  <c r="C77" i="1"/>
  <c r="B77" i="1"/>
  <c r="J60" i="1"/>
  <c r="I60" i="1"/>
  <c r="H60" i="1"/>
  <c r="G60" i="1"/>
  <c r="F60" i="1"/>
  <c r="E60" i="1"/>
  <c r="D60" i="1"/>
  <c r="C60" i="1"/>
  <c r="B60" i="1"/>
  <c r="M25" i="1"/>
  <c r="M37" i="1"/>
  <c r="L25" i="1"/>
  <c r="L37" i="1"/>
  <c r="J25" i="1"/>
  <c r="J37" i="1"/>
  <c r="I25" i="1"/>
  <c r="I37" i="1"/>
  <c r="H25" i="1"/>
  <c r="H37" i="1"/>
  <c r="G25" i="1"/>
  <c r="G37" i="1"/>
  <c r="F25" i="1"/>
  <c r="F37" i="1"/>
  <c r="E25" i="1"/>
  <c r="E37" i="1"/>
  <c r="D25" i="1"/>
  <c r="D37" i="1"/>
  <c r="C25" i="1"/>
  <c r="C37" i="1"/>
  <c r="B25" i="1"/>
  <c r="B37" i="1"/>
  <c r="N15" i="1"/>
  <c r="N36" i="1" s="1"/>
  <c r="N22" i="1"/>
  <c r="N34" i="1"/>
  <c r="F10" i="3" l="1"/>
  <c r="E13" i="3"/>
  <c r="H39" i="3"/>
  <c r="C6" i="3"/>
  <c r="J85" i="1"/>
  <c r="I85" i="1"/>
  <c r="H85" i="1"/>
  <c r="H86" i="1" s="1"/>
  <c r="G85" i="1"/>
  <c r="F85" i="1"/>
  <c r="E85" i="1"/>
  <c r="D85" i="1"/>
  <c r="D86" i="1" s="1"/>
  <c r="C85" i="1"/>
  <c r="C86" i="1" s="1"/>
  <c r="B85" i="1"/>
  <c r="B86" i="1" s="1"/>
  <c r="J86" i="1"/>
  <c r="I86" i="1"/>
  <c r="G86" i="1"/>
  <c r="F86" i="1"/>
  <c r="E86" i="1"/>
  <c r="M27" i="1"/>
  <c r="M90" i="1" s="1"/>
  <c r="M112" i="1" s="1"/>
  <c r="M38" i="1"/>
  <c r="L27" i="1"/>
  <c r="L90" i="1" s="1"/>
  <c r="L112" i="1" s="1"/>
  <c r="L38" i="1"/>
  <c r="J27" i="1"/>
  <c r="J38" i="1"/>
  <c r="I27" i="1"/>
  <c r="I38" i="1"/>
  <c r="H27" i="1"/>
  <c r="H38" i="1"/>
  <c r="G27" i="1"/>
  <c r="G38" i="1"/>
  <c r="F27" i="1"/>
  <c r="F38" i="1"/>
  <c r="E27" i="1"/>
  <c r="E38" i="1"/>
  <c r="D27" i="1"/>
  <c r="D38" i="1"/>
  <c r="C27" i="1"/>
  <c r="C38" i="1"/>
  <c r="B27" i="1"/>
  <c r="B38" i="1"/>
  <c r="N25" i="1"/>
  <c r="N37" i="1"/>
  <c r="F13" i="3" l="1"/>
  <c r="G10" i="3"/>
  <c r="G13" i="3" s="1"/>
  <c r="B60" i="3"/>
  <c r="B67" i="3"/>
  <c r="D6" i="3"/>
  <c r="C9" i="3"/>
  <c r="C14" i="3" s="1"/>
  <c r="B53" i="3"/>
  <c r="M141" i="1"/>
  <c r="M144" i="1"/>
  <c r="M152" i="1" s="1"/>
  <c r="L141" i="1"/>
  <c r="L144" i="1"/>
  <c r="L152" i="1" s="1"/>
  <c r="J90" i="1"/>
  <c r="J112" i="1" s="1"/>
  <c r="I90" i="1"/>
  <c r="I112" i="1" s="1"/>
  <c r="H90" i="1"/>
  <c r="H112" i="1" s="1"/>
  <c r="G90" i="1"/>
  <c r="G112" i="1" s="1"/>
  <c r="F90" i="1"/>
  <c r="F112" i="1" s="1"/>
  <c r="E90" i="1"/>
  <c r="E112" i="1" s="1"/>
  <c r="D90" i="1"/>
  <c r="D112" i="1" s="1"/>
  <c r="C90" i="1"/>
  <c r="C112" i="1" s="1"/>
  <c r="B90" i="1"/>
  <c r="B112" i="1" s="1"/>
  <c r="N27" i="1"/>
  <c r="N90" i="1" s="1"/>
  <c r="N112" i="1" s="1"/>
  <c r="N38" i="1"/>
  <c r="B66" i="3" l="1"/>
  <c r="B47" i="3" s="1"/>
  <c r="L45" i="3" s="1"/>
  <c r="C60" i="3"/>
  <c r="C67" i="3"/>
  <c r="B73" i="3"/>
  <c r="B48" i="3" s="1"/>
  <c r="M45" i="3" s="1"/>
  <c r="E6" i="3"/>
  <c r="D9" i="3"/>
  <c r="D14" i="3" s="1"/>
  <c r="D15" i="3" s="1"/>
  <c r="C16" i="3"/>
  <c r="C15" i="3"/>
  <c r="C53" i="3"/>
  <c r="B59" i="3"/>
  <c r="B46" i="3" s="1"/>
  <c r="K45" i="3" s="1"/>
  <c r="J141" i="1"/>
  <c r="J144" i="1"/>
  <c r="J152" i="1" s="1"/>
  <c r="I141" i="1"/>
  <c r="I144" i="1"/>
  <c r="I152" i="1" s="1"/>
  <c r="H141" i="1"/>
  <c r="H144" i="1"/>
  <c r="H152" i="1" s="1"/>
  <c r="G141" i="1"/>
  <c r="G144" i="1"/>
  <c r="G152" i="1" s="1"/>
  <c r="F141" i="1"/>
  <c r="F144" i="1"/>
  <c r="F152" i="1" s="1"/>
  <c r="E141" i="1"/>
  <c r="E144" i="1"/>
  <c r="E152" i="1" s="1"/>
  <c r="D141" i="1"/>
  <c r="D144" i="1"/>
  <c r="D152" i="1" s="1"/>
  <c r="C141" i="1"/>
  <c r="C144" i="1"/>
  <c r="C152" i="1" s="1"/>
  <c r="B141" i="1"/>
  <c r="B144" i="1"/>
  <c r="B152" i="1" s="1"/>
  <c r="N141" i="1"/>
  <c r="N144" i="1"/>
  <c r="N152" i="1" s="1"/>
  <c r="D60" i="3" l="1"/>
  <c r="C66" i="3"/>
  <c r="C47" i="3" s="1"/>
  <c r="L46" i="3" s="1"/>
  <c r="D67" i="3"/>
  <c r="C73" i="3"/>
  <c r="C48" i="3" s="1"/>
  <c r="M46" i="3" s="1"/>
  <c r="F6" i="3"/>
  <c r="E9" i="3"/>
  <c r="E14" i="3" s="1"/>
  <c r="E15" i="3" s="1"/>
  <c r="D53" i="3"/>
  <c r="C59" i="3"/>
  <c r="C46" i="3" s="1"/>
  <c r="K46" i="3" s="1"/>
  <c r="J143" i="1"/>
  <c r="I143" i="1"/>
  <c r="H143" i="1"/>
  <c r="G143" i="1"/>
  <c r="F143" i="1"/>
  <c r="E143" i="1"/>
  <c r="D143" i="1"/>
  <c r="C143" i="1"/>
  <c r="E60" i="3" l="1"/>
  <c r="D66" i="3"/>
  <c r="D47" i="3" s="1"/>
  <c r="L47" i="3" s="1"/>
  <c r="E67" i="3"/>
  <c r="D73" i="3"/>
  <c r="D48" i="3" s="1"/>
  <c r="M47" i="3" s="1"/>
  <c r="F9" i="3"/>
  <c r="F14" i="3" s="1"/>
  <c r="F15" i="3" s="1"/>
  <c r="G6" i="3"/>
  <c r="G9" i="3" s="1"/>
  <c r="G14" i="3" s="1"/>
  <c r="E53" i="3"/>
  <c r="D59" i="3"/>
  <c r="D46" i="3" s="1"/>
  <c r="K47" i="3" s="1"/>
  <c r="G15" i="3" l="1"/>
  <c r="F60" i="3"/>
  <c r="F66" i="3" s="1"/>
  <c r="F47" i="3" s="1"/>
  <c r="E66" i="3"/>
  <c r="E47" i="3" s="1"/>
  <c r="L48" i="3" s="1"/>
  <c r="E73" i="3"/>
  <c r="E48" i="3" s="1"/>
  <c r="M48" i="3" s="1"/>
  <c r="F67" i="3"/>
  <c r="F73" i="3" s="1"/>
  <c r="F48" i="3" s="1"/>
  <c r="F53" i="3"/>
  <c r="F59" i="3" s="1"/>
  <c r="F46" i="3" s="1"/>
  <c r="E59" i="3"/>
  <c r="E46" i="3" s="1"/>
  <c r="K48" i="3" s="1"/>
  <c r="G47" i="3" l="1"/>
  <c r="L49" i="3"/>
  <c r="G48" i="3"/>
  <c r="M49" i="3"/>
  <c r="G46" i="3"/>
  <c r="K49" i="3"/>
</calcChain>
</file>

<file path=xl/sharedStrings.xml><?xml version="1.0" encoding="utf-8"?>
<sst xmlns="http://schemas.openxmlformats.org/spreadsheetml/2006/main" count="321" uniqueCount="213">
  <si>
    <t>Intuit Inc.</t>
  </si>
  <si>
    <t>Nine-Quarter Financial Statements</t>
  </si>
  <si>
    <t>$ in millions, except per-share data; fiscal year ends July 31</t>
  </si>
  <si>
    <t>Quarter Ended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</si>
  <si>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</si>
  <si>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</si>
  <si>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</si>
  <si>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</si>
  <si>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</si>
  <si>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</si>
  <si>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</si>
  <si>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</si>
  <si>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</si>
  <si>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FY2024A</t>
  </si>
  <si>
    <t>FY2025A</t>
  </si>
  <si>
    <t>LTM Apr-26</t>
  </si>
  <si>
    <t>INCOME STATEMENT</t>
  </si>
  <si>
    <t>Net revenue:</t>
  </si>
  <si>
    <t>Service revenue</t>
  </si>
  <si>
    <t>Product and other revenue</t>
  </si>
  <si>
    <t>Total net revenue</t>
  </si>
  <si>
    <t>Costs and expenses:</t>
  </si>
  <si>
    <t>Cost of service revenue</t>
  </si>
  <si>
    <t>Cost of product and other revenue</t>
  </si>
  <si>
    <t>Amortization of acquired technology</t>
  </si>
  <si>
    <t>Gross profit</t>
  </si>
  <si>
    <t>Selling and marketing</t>
  </si>
  <si>
    <t>Research and development</t>
  </si>
  <si>
    <t>General and administrative</t>
  </si>
  <si>
    <t>Amortization of other acquired intangible assets</t>
  </si>
  <si>
    <t>Restructuring</t>
  </si>
  <si>
    <t>Total costs and expenses</t>
  </si>
  <si>
    <t>Operating income</t>
  </si>
  <si>
    <t>Interest expense</t>
  </si>
  <si>
    <t>Interest and other income, net</t>
  </si>
  <si>
    <t>Income before income taxes</t>
  </si>
  <si>
    <t>Income tax provision (benefit)</t>
  </si>
  <si>
    <t>Net income</t>
  </si>
  <si>
    <t>Basic net income per share</t>
  </si>
  <si>
    <t>Diluted net income per share</t>
  </si>
  <si>
    <t>Shares used in basic EPS calculation</t>
  </si>
  <si>
    <t>Shares used in diluted EPS calculation</t>
  </si>
  <si>
    <t>Revenue growth (YoY)</t>
  </si>
  <si>
    <t>Service revenue mix</t>
  </si>
  <si>
    <t>Gross margin</t>
  </si>
  <si>
    <t>Operating margin</t>
  </si>
  <si>
    <t>Effective tax rate</t>
  </si>
  <si>
    <t>BALANCE SHEET</t>
  </si>
  <si>
    <t>ASSETS</t>
  </si>
  <si>
    <t>Current assets:</t>
  </si>
  <si>
    <t>Cash and cash equivalents</t>
  </si>
  <si>
    <t>Investments</t>
  </si>
  <si>
    <t>Accounts receivable, net</t>
  </si>
  <si>
    <t>Notes receivable held for investment, net</t>
  </si>
  <si>
    <t>Notes receivable held for sale</t>
  </si>
  <si>
    <t>Income taxes receivable</t>
  </si>
  <si>
    <t>Prepaid expenses and other current assets</t>
  </si>
  <si>
    <t>Current assets before customer funds</t>
  </si>
  <si>
    <t>Funds receivable and amounts held for customers</t>
  </si>
  <si>
    <t>Total current assets</t>
  </si>
  <si>
    <t>Long-term investments</t>
  </si>
  <si>
    <t>Property and equipment, net</t>
  </si>
  <si>
    <t>Operating lease right-of-use assets</t>
  </si>
  <si>
    <t>Goodwill</t>
  </si>
  <si>
    <t>Acquired intangible assets, net</t>
  </si>
  <si>
    <t>Long-term deferred income tax assets</t>
  </si>
  <si>
    <t>Other assets</t>
  </si>
  <si>
    <t>Total assets</t>
  </si>
  <si>
    <t>LIABILITIES AND STOCKHOLDERS' EQUITY</t>
  </si>
  <si>
    <t>Current liabilities:</t>
  </si>
  <si>
    <t>Short-term debt</t>
  </si>
  <si>
    <t>Accounts payable</t>
  </si>
  <si>
    <t>Accrued compensation and related liabilities</t>
  </si>
  <si>
    <t>Deferred revenue</t>
  </si>
  <si>
    <t>Income taxes payable</t>
  </si>
  <si>
    <t>Other current liabilities</t>
  </si>
  <si>
    <t>Current liabilities before customer funds</t>
  </si>
  <si>
    <t>Funds payable and amounts due to customers</t>
  </si>
  <si>
    <t>Total current liabilities</t>
  </si>
  <si>
    <t>Long-term debt</t>
  </si>
  <si>
    <t>Long-term deferred income tax liabilities</t>
  </si>
  <si>
    <t>Operating lease liabilities</t>
  </si>
  <si>
    <t>Other long-term obligations</t>
  </si>
  <si>
    <t>Total liabilities</t>
  </si>
  <si>
    <t>Stockholders' equity:</t>
  </si>
  <si>
    <t>Preferred stock</t>
  </si>
  <si>
    <t>Common stock and additional paid-in capital</t>
  </si>
  <si>
    <t>Treasury stock, at cost</t>
  </si>
  <si>
    <t>Accumulated other comprehensive loss</t>
  </si>
  <si>
    <t>Retained earnings</t>
  </si>
  <si>
    <t>Total stockholders' equity</t>
  </si>
  <si>
    <t>Total liabilities and stockholders' equity</t>
  </si>
  <si>
    <t>Balance sheet check</t>
  </si>
  <si>
    <t>CASH FLOW STATEMENT</t>
  </si>
  <si>
    <t>Cash flows from operating activities:</t>
  </si>
  <si>
    <t>Depreciation</t>
  </si>
  <si>
    <t>Amortization of acquired intangible assets</t>
  </si>
  <si>
    <t>Non-cash operating lease cost</t>
  </si>
  <si>
    <t>Share-based compensation expense</t>
  </si>
  <si>
    <t>Deferred income taxes</t>
  </si>
  <si>
    <t>Provision for credit losses</t>
  </si>
  <si>
    <t>Other operating adjustments</t>
  </si>
  <si>
    <t>Total adjustments</t>
  </si>
  <si>
    <t>Originations and purchases of notes receivable held for sale</t>
  </si>
  <si>
    <t>Sales and principal repayments of notes receivable held for sale</t>
  </si>
  <si>
    <t>Changes in operating assets and liabilities:</t>
  </si>
  <si>
    <t>Accounts receivable</t>
  </si>
  <si>
    <t>Prepaid expenses and other assets</t>
  </si>
  <si>
    <t>Other liabilities</t>
  </si>
  <si>
    <t>Total changes in operating assets and liabilities</t>
  </si>
  <si>
    <t>Net cash provided by operating activities</t>
  </si>
  <si>
    <t>Cash flows from investing activities:</t>
  </si>
  <si>
    <t>Purchases of corporate and customer fund investments</t>
  </si>
  <si>
    <t>Sales of corporate and customer fund investments</t>
  </si>
  <si>
    <t>Maturities of corporate and customer fund investments</t>
  </si>
  <si>
    <t>Purchases of property and equipment</t>
  </si>
  <si>
    <t>Acquisitions of businesses, net of cash acquired</t>
  </si>
  <si>
    <t>Originations and purchases of notes receivable held for investment</t>
  </si>
  <si>
    <t>Sales of notes receivable originally held for investment</t>
  </si>
  <si>
    <t>Principal repayments of notes receivable held for investment</t>
  </si>
  <si>
    <t>Other investing activities</t>
  </si>
  <si>
    <t>Net cash provided by (used in) investing activities</t>
  </si>
  <si>
    <t>Cash flows from financing activities:</t>
  </si>
  <si>
    <t>Proceeds from issuance of long-term debt</t>
  </si>
  <si>
    <t>Repayments of debt</t>
  </si>
  <si>
    <t>Borrowings under unsecured revolving credit facility</t>
  </si>
  <si>
    <t>Repayments under unsecured revolving credit facility</t>
  </si>
  <si>
    <t>Borrowings under secured revolving credit facilities</t>
  </si>
  <si>
    <t>Repayments under secured revolving credit facilities</t>
  </si>
  <si>
    <t>Proceeds from issuance of stock under employee stock plans</t>
  </si>
  <si>
    <t>Employee tax withholding on restricted stock units</t>
  </si>
  <si>
    <t>Cash paid for purchases of treasury stock</t>
  </si>
  <si>
    <t>Dividends and dividend rights paid</t>
  </si>
  <si>
    <t>Net change in customer funds receivable and payable</t>
  </si>
  <si>
    <t>Other financing activities</t>
  </si>
  <si>
    <t>Net cash provided by (used in) financing activities</t>
  </si>
  <si>
    <t>Effect of exchange rates on cash and restricted cash</t>
  </si>
  <si>
    <t>Net increase (decrease) in cash and restricted cash</t>
  </si>
  <si>
    <t>Cash, cash equivalents and restricted cash at period end</t>
  </si>
  <si>
    <t>Cash roll-forward check</t>
  </si>
  <si>
    <t>Free cash flow</t>
  </si>
  <si>
    <t>OPERATING KPIs</t>
  </si>
  <si>
    <t>Global Business Solutions revenue growth</t>
  </si>
  <si>
    <t>Online Ecosystem revenue growth</t>
  </si>
  <si>
    <t>QuickBooks Online Accounting revenue growth</t>
  </si>
  <si>
    <t>Online Services revenue growth</t>
  </si>
  <si>
    <t>Free cash flow margin</t>
  </si>
  <si>
    <t>Notes receivable held for investment</t>
  </si>
  <si>
    <t>Customer funds on platform</t>
  </si>
  <si>
    <t>Intuit Inc. – Five-Year Sales Forecast</t>
  </si>
  <si>
    <t>Driver-based sales model; FY2025A actual, FY2026E anchored to reported 9M actuals plus module-level seasonal Q4, FY2027E–FY2030E assumptions</t>
  </si>
  <si>
    <t>$ in millions; fiscal year ends July 31. Blue font = editable forecast assumptions; black = formulas / filing inputs; green = linked checks to INTU Model.</t>
  </si>
  <si>
    <t>BASE CASE SALES BUILD</t>
  </si>
  <si>
    <t>FY2026E</t>
  </si>
  <si>
    <t>FY2027E</t>
  </si>
  <si>
    <t>FY2028E</t>
  </si>
  <si>
    <t>FY2029E</t>
  </si>
  <si>
    <t>FY2030E</t>
  </si>
  <si>
    <t>QuickBooks Online Accounting</t>
  </si>
  <si>
    <t>Online Services (payments / payroll / Capital / Mailchimp)</t>
  </si>
  <si>
    <t>Desktop Ecosystem</t>
  </si>
  <si>
    <t>Total Global Business Solutions</t>
  </si>
  <si>
    <t>TurboTax</t>
  </si>
  <si>
    <t>Credit Karma</t>
  </si>
  <si>
    <t>ProTax</t>
  </si>
  <si>
    <t>Total Consumer</t>
  </si>
  <si>
    <t>Total Intuit Revenue</t>
  </si>
  <si>
    <t>FY2026E Q4 share of revenue</t>
  </si>
  <si>
    <t>BASE CASE GROWTH ASSUMPTIONS</t>
  </si>
  <si>
    <t>SCENARIO GROWTH INPUTS</t>
  </si>
  <si>
    <t>Module</t>
  </si>
  <si>
    <t>Case</t>
  </si>
  <si>
    <t>Base</t>
  </si>
  <si>
    <t>Online Services</t>
  </si>
  <si>
    <t>Bear</t>
  </si>
  <si>
    <t>Base case: explicit deceleration from FY2026 9M actual growth; no analyst consensus or management guidance is used as a forecast input.</t>
  </si>
  <si>
    <t>FY2026E BUILD: REPORTED 9M ACTUALS + MODULE-LEVEL SEASONAL Q4</t>
  </si>
  <si>
    <t>FY2025 9M</t>
  </si>
  <si>
    <t>FY2025 Q4A</t>
  </si>
  <si>
    <t>FY2026 9M</t>
  </si>
  <si>
    <t>FY2026 9M growth</t>
  </si>
  <si>
    <t>FY2026 Q4E</t>
  </si>
  <si>
    <t>Bull</t>
  </si>
  <si>
    <t>Q4 is forecast by module so tax-season concentration and Credit Karma / lending seasonality are not diluted by applying one blended growth rate to the whole company.</t>
  </si>
  <si>
    <t>SCENARIO OUTPUTS (CONSOLIDATED SALES)</t>
  </si>
  <si>
    <t>Year</t>
  </si>
  <si>
    <t>FY2026–30 CAGR</t>
  </si>
  <si>
    <t>Scenario ranges apply to FY2027E–FY2030E; FY2026E is anchored to the same reported 9M actual base and module-level Q4 bridge.</t>
  </si>
  <si>
    <t>Scenario module schedules</t>
  </si>
  <si>
    <t>Source / note</t>
  </si>
  <si>
    <t>Base – QuickBooks Online Accounting</t>
  </si>
  <si>
    <t>Driver schedule</t>
  </si>
  <si>
    <t>Base – Online Services</t>
  </si>
  <si>
    <t>Base – Desktop Ecosystem</t>
  </si>
  <si>
    <t>Base – TurboTax</t>
  </si>
  <si>
    <t>Base – Credit Karma</t>
  </si>
  <si>
    <t>Base – ProTax</t>
  </si>
  <si>
    <t>Base – Total Intuit Revenue</t>
  </si>
  <si>
    <t>Sum of modules</t>
  </si>
  <si>
    <t>Bear – QuickBooks Online Accounting</t>
  </si>
  <si>
    <t>Bear – Online Services</t>
  </si>
  <si>
    <t>Bear – Desktop Ecosystem</t>
  </si>
  <si>
    <t>Bear – TurboTax</t>
  </si>
  <si>
    <t>Bear – Credit Karma</t>
  </si>
  <si>
    <t>Bear – ProTax</t>
  </si>
  <si>
    <t>Bear – Total Intuit Revenue</t>
  </si>
  <si>
    <t>Bull – QuickBooks Online Accounting</t>
  </si>
  <si>
    <t>Bull – Online Services</t>
  </si>
  <si>
    <t>Bull – Desktop Ecosystem</t>
  </si>
  <si>
    <t>Bull – TurboTax</t>
  </si>
  <si>
    <t>Bull – Credit Karma</t>
  </si>
  <si>
    <t>Bull – ProTax</t>
  </si>
  <si>
    <t>Bull – Total Intuit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</si>
</sst>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0;\(0.00\);\-"/>
    <numFmt numFmtId="166" formatCode="0.0"/>
    <numFmt numFmtId="167" formatCode="0.0%;\(0.0%\);\-"/>
    <numFmt numFmtId="168" formatCode="0.0%;[Red]\(0.0%\);\-"/>
    <numFmt numFmtId="169" formatCode="#,##0;[Red]\(#,##0\);\-"/>
  </numFmts>
  <fonts count="8" x14ac:knownFonts="1">
    <font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i/>
      <sz val="11"/>
      <color rgb="FF808080"/>
      <name val="Arial"/>
    </font>
    <font>
      <b/>
      <sz val="12"/>
      <color rgb="FF000000"/>
      <name val="Arial"/>
    </font>
    <font>
      <i/>
      <sz val="12"/>
      <color rgb="FF666666"/>
      <name val="Arial"/>
    </font>
    <font>
      <b/>
      <sz val="12"/>
      <color rgb="FFFFFFFF"/>
      <name val="Arial"/>
    </font>
    <font>
      <sz val="12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6" fontId="1" fillId="0" borderId="0" xfId="0" applyNumberFormat="1" applyFont="1"/>
    <xf numFmtId="0" fontId="3" fillId="0" borderId="0" xfId="0" applyFont="1"/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4" fillId="0" borderId="0" xfId="0" applyFont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168" fontId="7" fillId="4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right" wrapText="1"/>
    </xf>
    <xf numFmtId="0" fontId="4" fillId="3" borderId="0" xfId="0" applyFont="1" applyFill="1" applyAlignment="1">
      <alignment horizontal="left" wrapText="1"/>
    </xf>
    <xf numFmtId="169" fontId="0" fillId="0" borderId="0" xfId="0" applyNumberFormat="1"/>
    <xf numFmtId="0" fontId="4" fillId="0" borderId="1" xfId="0" applyFont="1" applyBorder="1"/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9" fontId="4" fillId="0" borderId="1" xfId="0" applyNumberFormat="1" applyFont="1" applyBorder="1" applyAlignment="1">
      <alignment horizontal="right"/>
    </xf>
    <xf numFmtId="168" fontId="4" fillId="0" borderId="1" xfId="0" applyNumberFormat="1" applyFont="1" applyBorder="1" applyAlignment="1">
      <alignment horizontal="right"/>
    </xf>
    <xf numFmtId="169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Intuit Revenue Scenarios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Base</c:v>
          </c:tx>
          <c:cat>
            <c:strRef>
              <c:f>'5Y Sales Forecast'!$J$45:$J$49</c:f>
              <c:strCache>
                <c:ptCount val="5"/>
                <c:pt idx="0">
                  <c:v>FY2026E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</c:strCache>
            </c:strRef>
          </c:cat>
          <c:val>
            <c:numRef>
              <c:f>'5Y Sales Forecast'!$K$45:$K$49</c:f>
              <c:numCache>
                <c:formatCode>#,##0;[Red]\(#,##0\);\-</c:formatCode>
                <c:ptCount val="5"/>
                <c:pt idx="0">
                  <c:v>21581.826851813992</c:v>
                </c:pt>
                <c:pt idx="1">
                  <c:v>23958.609798950951</c:v>
                </c:pt>
                <c:pt idx="2">
                  <c:v>26199.884693721899</c:v>
                </c:pt>
                <c:pt idx="3">
                  <c:v>28261.448873763467</c:v>
                </c:pt>
                <c:pt idx="4">
                  <c:v>30283.661456603786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7-46EA-BC11-9AAFBA7A1101}"/>
            </c:ext>
          </c:extLst>
        </c:ser>
        <c:ser>
          <c:idx val="1"/>
          <c:order val="1"/>
          <c:tx>
            <c:v>Bear</c:v>
          </c:tx>
          <c:cat>
            <c:strRef>
              <c:f>'5Y Sales Forecast'!$J$45:$J$49</c:f>
              <c:strCache>
                <c:ptCount val="5"/>
                <c:pt idx="0">
                  <c:v>FY2026E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</c:strCache>
            </c:strRef>
          </c:cat>
          <c:val>
            <c:numRef>
              <c:f>'5Y Sales Forecast'!$L$45:$L$49</c:f>
              <c:numCache>
                <c:formatCode>#,##0;[Red]\(#,##0\);\-</c:formatCode>
                <c:ptCount val="5"/>
                <c:pt idx="0">
                  <c:v>21581.826851813992</c:v>
                </c:pt>
                <c:pt idx="1">
                  <c:v>22380.616374485449</c:v>
                </c:pt>
                <c:pt idx="2">
                  <c:v>23263.898933637545</c:v>
                </c:pt>
                <c:pt idx="3">
                  <c:v>24078.881207755119</c:v>
                </c:pt>
                <c:pt idx="4">
                  <c:v>24871.276743667808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7-46EA-BC11-9AAFBA7A1101}"/>
            </c:ext>
          </c:extLst>
        </c:ser>
        <c:ser>
          <c:idx val="2"/>
          <c:order val="2"/>
          <c:tx>
            <c:v>Bull</c:v>
          </c:tx>
          <c:cat>
            <c:strRef>
              <c:f>'5Y Sales Forecast'!$J$45:$J$49</c:f>
              <c:strCache>
                <c:ptCount val="5"/>
                <c:pt idx="0">
                  <c:v>FY2026E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</c:strCache>
            </c:strRef>
          </c:cat>
          <c:val>
            <c:numRef>
              <c:f>'5Y Sales Forecast'!$M$45:$M$49</c:f>
              <c:numCache>
                <c:formatCode>#,##0;[Red]\(#,##0\);\-</c:formatCode>
                <c:ptCount val="5"/>
                <c:pt idx="0">
                  <c:v>21581.826851813992</c:v>
                </c:pt>
                <c:pt idx="1">
                  <c:v>24720.054263385748</c:v>
                </c:pt>
                <c:pt idx="2">
                  <c:v>27985.947035232373</c:v>
                </c:pt>
                <c:pt idx="3">
                  <c:v>31219.7190393235</c:v>
                </c:pt>
                <c:pt idx="4">
                  <c:v>34280.831386940859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57-46EA-BC11-9AAFBA7A1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51</xdr:row>
      <xdr:rowOff>0</xdr:rowOff>
    </xdr:from>
    <xdr:to>
      <xdr:col>17</xdr:col>
      <xdr:colOff>0</xdr:colOff>
      <xdr:row>68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topLeftCell="A133" workbookViewId="0">
      <selection activeCell="A156" sqref="A156:XFD161"/>
    </sheetView>
  </sheetViews>
  <sheetFormatPr defaultRowHeight="15" x14ac:dyDescent="0.2"/>
  <cols>
    <col min="1" max="1" width="48.77734375" customWidth="1"/>
    <col min="2" max="10" width="12.77734375" customWidth="1"/>
    <col min="11" max="11" width="3.77734375" customWidth="1"/>
    <col min="12" max="14" width="12.77734375" customWidth="1"/>
  </cols>
  <sheetData>
    <row r="1" spans="1:14" ht="15" customHeight="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25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10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 x14ac:dyDescent="0.25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2"/>
      <c r="L4" s="3" t="s">
        <v>13</v>
      </c>
      <c r="M4" s="3" t="s">
        <v>14</v>
      </c>
      <c r="N4" s="3" t="s">
        <v>15</v>
      </c>
    </row>
    <row r="5" spans="1:14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" customHeight="1" x14ac:dyDescent="0.25">
      <c r="A6" s="2" t="s">
        <v>16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 customHeight="1" x14ac:dyDescent="0.25">
      <c r="A7" s="2" t="s">
        <v>17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customHeight="1" x14ac:dyDescent="0.2">
      <c r="A8" s="5" t="s">
        <v>18</v>
      </c>
      <c r="B8" s="6">
        <v>6048</v>
      </c>
      <c r="C8" s="6">
        <v>2670</v>
      </c>
      <c r="D8" s="6">
        <v>2889</v>
      </c>
      <c r="E8" s="6">
        <v>3249</v>
      </c>
      <c r="F8" s="6">
        <v>6971</v>
      </c>
      <c r="G8" s="6">
        <v>3291</v>
      </c>
      <c r="H8" s="6">
        <v>3497</v>
      </c>
      <c r="I8" s="6">
        <v>3872</v>
      </c>
      <c r="J8" s="6">
        <v>7759</v>
      </c>
      <c r="K8" s="1"/>
      <c r="L8" s="6">
        <v>13861</v>
      </c>
      <c r="M8" s="6">
        <v>16400</v>
      </c>
      <c r="N8" s="6">
        <f>SUM(G8:J8)</f>
        <v>18419</v>
      </c>
    </row>
    <row r="9" spans="1:14" ht="15" customHeight="1" x14ac:dyDescent="0.2">
      <c r="A9" s="5" t="s">
        <v>19</v>
      </c>
      <c r="B9" s="6">
        <v>689</v>
      </c>
      <c r="C9" s="6">
        <v>514</v>
      </c>
      <c r="D9" s="6">
        <v>394</v>
      </c>
      <c r="E9" s="6">
        <v>714</v>
      </c>
      <c r="F9" s="6">
        <v>783</v>
      </c>
      <c r="G9" s="6">
        <v>540</v>
      </c>
      <c r="H9" s="6">
        <v>388</v>
      </c>
      <c r="I9" s="6">
        <v>779</v>
      </c>
      <c r="J9" s="6">
        <v>799</v>
      </c>
      <c r="K9" s="1"/>
      <c r="L9" s="6">
        <v>2424</v>
      </c>
      <c r="M9" s="6">
        <v>2431</v>
      </c>
      <c r="N9" s="6">
        <f>SUM(G9:J9)</f>
        <v>2506</v>
      </c>
    </row>
    <row r="10" spans="1:14" ht="15" customHeight="1" x14ac:dyDescent="0.25">
      <c r="A10" s="2" t="s">
        <v>20</v>
      </c>
      <c r="B10" s="11">
        <f t="shared" ref="B10:J10" si="0">SUM(B8:B9)</f>
        <v>6737</v>
      </c>
      <c r="C10" s="11">
        <f t="shared" si="0"/>
        <v>3184</v>
      </c>
      <c r="D10" s="11">
        <f t="shared" si="0"/>
        <v>3283</v>
      </c>
      <c r="E10" s="11">
        <f t="shared" si="0"/>
        <v>3963</v>
      </c>
      <c r="F10" s="11">
        <f t="shared" si="0"/>
        <v>7754</v>
      </c>
      <c r="G10" s="11">
        <f t="shared" si="0"/>
        <v>3831</v>
      </c>
      <c r="H10" s="11">
        <f t="shared" si="0"/>
        <v>3885</v>
      </c>
      <c r="I10" s="11">
        <f t="shared" si="0"/>
        <v>4651</v>
      </c>
      <c r="J10" s="11">
        <f t="shared" si="0"/>
        <v>8558</v>
      </c>
      <c r="K10" s="1"/>
      <c r="L10" s="11">
        <f>SUM(L8:L9)</f>
        <v>16285</v>
      </c>
      <c r="M10" s="11">
        <f>SUM(M8:M9)</f>
        <v>18831</v>
      </c>
      <c r="N10" s="11">
        <f>SUM(N8:N9)</f>
        <v>20925</v>
      </c>
    </row>
    <row r="11" spans="1:14" ht="15" customHeight="1" x14ac:dyDescent="0.25">
      <c r="A11" s="2" t="s">
        <v>21</v>
      </c>
      <c r="B11" s="6"/>
      <c r="C11" s="6"/>
      <c r="D11" s="6"/>
      <c r="E11" s="6"/>
      <c r="F11" s="6"/>
      <c r="G11" s="6"/>
      <c r="H11" s="6"/>
      <c r="I11" s="6"/>
      <c r="J11" s="6"/>
      <c r="K11" s="1"/>
      <c r="L11" s="6"/>
      <c r="M11" s="6"/>
      <c r="N11" s="6"/>
    </row>
    <row r="12" spans="1:14" ht="15" customHeight="1" x14ac:dyDescent="0.2">
      <c r="A12" s="5" t="s">
        <v>22</v>
      </c>
      <c r="B12" s="6">
        <v>1014</v>
      </c>
      <c r="C12" s="6">
        <v>733</v>
      </c>
      <c r="D12" s="6">
        <v>772</v>
      </c>
      <c r="E12" s="6">
        <v>880</v>
      </c>
      <c r="F12" s="6">
        <v>1138</v>
      </c>
      <c r="G12" s="6">
        <v>834</v>
      </c>
      <c r="H12" s="6">
        <v>824</v>
      </c>
      <c r="I12" s="6">
        <v>981</v>
      </c>
      <c r="J12" s="6">
        <v>1317</v>
      </c>
      <c r="K12" s="1"/>
      <c r="L12" s="6">
        <v>3250</v>
      </c>
      <c r="M12" s="6">
        <v>3624</v>
      </c>
      <c r="N12" s="6">
        <f>SUM(G12:J12)</f>
        <v>3956</v>
      </c>
    </row>
    <row r="13" spans="1:14" ht="15" customHeight="1" x14ac:dyDescent="0.2">
      <c r="A13" s="5" t="s">
        <v>23</v>
      </c>
      <c r="B13" s="6">
        <v>17</v>
      </c>
      <c r="C13" s="6">
        <v>14</v>
      </c>
      <c r="D13" s="6">
        <v>14</v>
      </c>
      <c r="E13" s="6">
        <v>20</v>
      </c>
      <c r="F13" s="6">
        <v>18</v>
      </c>
      <c r="G13" s="6">
        <v>16</v>
      </c>
      <c r="H13" s="6">
        <v>15</v>
      </c>
      <c r="I13" s="6">
        <v>18</v>
      </c>
      <c r="J13" s="6">
        <v>14</v>
      </c>
      <c r="K13" s="1"/>
      <c r="L13" s="6">
        <v>69</v>
      </c>
      <c r="M13" s="6">
        <v>68</v>
      </c>
      <c r="N13" s="6">
        <f>SUM(G13:J13)</f>
        <v>63</v>
      </c>
    </row>
    <row r="14" spans="1:14" ht="15" customHeight="1" x14ac:dyDescent="0.2">
      <c r="A14" s="5" t="s">
        <v>24</v>
      </c>
      <c r="B14" s="6">
        <v>36</v>
      </c>
      <c r="C14" s="6">
        <v>36</v>
      </c>
      <c r="D14" s="6">
        <v>37</v>
      </c>
      <c r="E14" s="6">
        <v>37</v>
      </c>
      <c r="F14" s="6">
        <v>38</v>
      </c>
      <c r="G14" s="6">
        <v>44</v>
      </c>
      <c r="H14" s="6">
        <v>44</v>
      </c>
      <c r="I14" s="6">
        <v>44</v>
      </c>
      <c r="J14" s="6">
        <v>43</v>
      </c>
      <c r="K14" s="1"/>
      <c r="L14" s="6">
        <v>146</v>
      </c>
      <c r="M14" s="6">
        <v>156</v>
      </c>
      <c r="N14" s="6">
        <f>SUM(G14:J14)</f>
        <v>175</v>
      </c>
    </row>
    <row r="15" spans="1:14" ht="15" customHeight="1" x14ac:dyDescent="0.25">
      <c r="A15" s="2" t="s">
        <v>25</v>
      </c>
      <c r="B15" s="11">
        <f t="shared" ref="B15:J15" si="1">B10-SUM(B12:B14)</f>
        <v>5670</v>
      </c>
      <c r="C15" s="11">
        <f t="shared" si="1"/>
        <v>2401</v>
      </c>
      <c r="D15" s="11">
        <f t="shared" si="1"/>
        <v>2460</v>
      </c>
      <c r="E15" s="11">
        <f t="shared" si="1"/>
        <v>3026</v>
      </c>
      <c r="F15" s="11">
        <f t="shared" si="1"/>
        <v>6560</v>
      </c>
      <c r="G15" s="11">
        <f t="shared" si="1"/>
        <v>2937</v>
      </c>
      <c r="H15" s="11">
        <f t="shared" si="1"/>
        <v>3002</v>
      </c>
      <c r="I15" s="11">
        <f t="shared" si="1"/>
        <v>3608</v>
      </c>
      <c r="J15" s="11">
        <f t="shared" si="1"/>
        <v>7184</v>
      </c>
      <c r="K15" s="1"/>
      <c r="L15" s="11">
        <f>L10-SUM(L12:L14)</f>
        <v>12820</v>
      </c>
      <c r="M15" s="11">
        <f>M10-SUM(M12:M14)</f>
        <v>14983</v>
      </c>
      <c r="N15" s="11">
        <f>N10-SUM(N12:N14)</f>
        <v>16731</v>
      </c>
    </row>
    <row r="16" spans="1:14" ht="15" customHeight="1" x14ac:dyDescent="0.2">
      <c r="A16" s="5" t="s">
        <v>26</v>
      </c>
      <c r="B16" s="6">
        <v>1419</v>
      </c>
      <c r="C16" s="6">
        <v>1104</v>
      </c>
      <c r="D16" s="6">
        <v>962</v>
      </c>
      <c r="E16" s="6">
        <v>1204</v>
      </c>
      <c r="F16" s="6">
        <v>1618</v>
      </c>
      <c r="G16" s="6">
        <v>1251</v>
      </c>
      <c r="H16" s="6">
        <v>1082</v>
      </c>
      <c r="I16" s="6">
        <v>1395</v>
      </c>
      <c r="J16" s="6">
        <v>1793</v>
      </c>
      <c r="K16" s="1"/>
      <c r="L16" s="6">
        <v>4312</v>
      </c>
      <c r="M16" s="6">
        <v>5035</v>
      </c>
      <c r="N16" s="6">
        <f>SUM(G16:J16)</f>
        <v>5521</v>
      </c>
    </row>
    <row r="17" spans="1:14" ht="15" customHeight="1" x14ac:dyDescent="0.2">
      <c r="A17" s="5" t="s">
        <v>27</v>
      </c>
      <c r="B17" s="6">
        <v>671</v>
      </c>
      <c r="C17" s="6">
        <v>725</v>
      </c>
      <c r="D17" s="6">
        <v>704</v>
      </c>
      <c r="E17" s="6">
        <v>716</v>
      </c>
      <c r="F17" s="6">
        <v>707</v>
      </c>
      <c r="G17" s="6">
        <v>801</v>
      </c>
      <c r="H17" s="6">
        <v>843</v>
      </c>
      <c r="I17" s="6">
        <v>836</v>
      </c>
      <c r="J17" s="6">
        <v>840</v>
      </c>
      <c r="K17" s="1"/>
      <c r="L17" s="6">
        <v>2754</v>
      </c>
      <c r="M17" s="6">
        <v>2928</v>
      </c>
      <c r="N17" s="6">
        <f>SUM(G17:J17)</f>
        <v>3320</v>
      </c>
    </row>
    <row r="18" spans="1:14" ht="15" customHeight="1" x14ac:dyDescent="0.2">
      <c r="A18" s="5" t="s">
        <v>28</v>
      </c>
      <c r="B18" s="6">
        <v>355</v>
      </c>
      <c r="C18" s="6">
        <v>377</v>
      </c>
      <c r="D18" s="6">
        <v>394</v>
      </c>
      <c r="E18" s="6">
        <v>389</v>
      </c>
      <c r="F18" s="6">
        <v>394</v>
      </c>
      <c r="G18" s="6">
        <v>424</v>
      </c>
      <c r="H18" s="6">
        <v>422</v>
      </c>
      <c r="I18" s="6">
        <v>401</v>
      </c>
      <c r="J18" s="6">
        <v>409</v>
      </c>
      <c r="K18" s="1"/>
      <c r="L18" s="6">
        <v>1418</v>
      </c>
      <c r="M18" s="6">
        <v>1601</v>
      </c>
      <c r="N18" s="6">
        <f>SUM(G18:J18)</f>
        <v>1656</v>
      </c>
    </row>
    <row r="19" spans="1:14" ht="15" customHeight="1" x14ac:dyDescent="0.2">
      <c r="A19" s="5" t="s">
        <v>29</v>
      </c>
      <c r="B19" s="6">
        <v>120</v>
      </c>
      <c r="C19" s="6">
        <v>123</v>
      </c>
      <c r="D19" s="6">
        <v>120</v>
      </c>
      <c r="E19" s="6">
        <v>120</v>
      </c>
      <c r="F19" s="6">
        <v>120</v>
      </c>
      <c r="G19" s="6">
        <v>121</v>
      </c>
      <c r="H19" s="6">
        <v>121</v>
      </c>
      <c r="I19" s="6">
        <v>121</v>
      </c>
      <c r="J19" s="6">
        <v>122</v>
      </c>
      <c r="K19" s="1"/>
      <c r="L19" s="6">
        <v>483</v>
      </c>
      <c r="M19" s="6">
        <v>481</v>
      </c>
      <c r="N19" s="6">
        <f>SUM(G19:J19)</f>
        <v>485</v>
      </c>
    </row>
    <row r="20" spans="1:14" ht="15" customHeight="1" x14ac:dyDescent="0.2">
      <c r="A20" s="5" t="s">
        <v>30</v>
      </c>
      <c r="B20" s="6">
        <v>0</v>
      </c>
      <c r="C20" s="6">
        <v>223</v>
      </c>
      <c r="D20" s="6">
        <v>9</v>
      </c>
      <c r="E20" s="6">
        <v>4</v>
      </c>
      <c r="F20" s="6">
        <v>1</v>
      </c>
      <c r="G20" s="6">
        <v>1</v>
      </c>
      <c r="H20" s="6">
        <v>0</v>
      </c>
      <c r="I20" s="6">
        <v>0</v>
      </c>
      <c r="J20" s="6">
        <v>0</v>
      </c>
      <c r="K20" s="1"/>
      <c r="L20" s="6">
        <v>223</v>
      </c>
      <c r="M20" s="6">
        <v>15</v>
      </c>
      <c r="N20" s="6">
        <f>SUM(G20:J20)</f>
        <v>1</v>
      </c>
    </row>
    <row r="21" spans="1:14" ht="15" customHeight="1" x14ac:dyDescent="0.25">
      <c r="A21" s="2" t="s">
        <v>31</v>
      </c>
      <c r="B21" s="11">
        <f t="shared" ref="B21:J21" si="2">SUM(B12:B14,B16:B20)</f>
        <v>3632</v>
      </c>
      <c r="C21" s="11">
        <f t="shared" si="2"/>
        <v>3335</v>
      </c>
      <c r="D21" s="11">
        <f t="shared" si="2"/>
        <v>3012</v>
      </c>
      <c r="E21" s="11">
        <f t="shared" si="2"/>
        <v>3370</v>
      </c>
      <c r="F21" s="11">
        <f t="shared" si="2"/>
        <v>4034</v>
      </c>
      <c r="G21" s="11">
        <f t="shared" si="2"/>
        <v>3492</v>
      </c>
      <c r="H21" s="11">
        <f t="shared" si="2"/>
        <v>3351</v>
      </c>
      <c r="I21" s="11">
        <f t="shared" si="2"/>
        <v>3796</v>
      </c>
      <c r="J21" s="11">
        <f t="shared" si="2"/>
        <v>4538</v>
      </c>
      <c r="K21" s="1"/>
      <c r="L21" s="11">
        <f>SUM(L12:L14,L16:L20)</f>
        <v>12655</v>
      </c>
      <c r="M21" s="11">
        <f>SUM(M12:M14,M16:M20)</f>
        <v>13908</v>
      </c>
      <c r="N21" s="11">
        <f>SUM(N12:N14,N16:N20)</f>
        <v>15177</v>
      </c>
    </row>
    <row r="22" spans="1:14" ht="15" customHeight="1" x14ac:dyDescent="0.25">
      <c r="A22" s="2" t="s">
        <v>32</v>
      </c>
      <c r="B22" s="11">
        <f t="shared" ref="B22:J22" si="3">B10-B21</f>
        <v>3105</v>
      </c>
      <c r="C22" s="11">
        <f t="shared" si="3"/>
        <v>-151</v>
      </c>
      <c r="D22" s="11">
        <f t="shared" si="3"/>
        <v>271</v>
      </c>
      <c r="E22" s="11">
        <f t="shared" si="3"/>
        <v>593</v>
      </c>
      <c r="F22" s="11">
        <f t="shared" si="3"/>
        <v>3720</v>
      </c>
      <c r="G22" s="11">
        <f t="shared" si="3"/>
        <v>339</v>
      </c>
      <c r="H22" s="11">
        <f t="shared" si="3"/>
        <v>534</v>
      </c>
      <c r="I22" s="11">
        <f t="shared" si="3"/>
        <v>855</v>
      </c>
      <c r="J22" s="11">
        <f t="shared" si="3"/>
        <v>4020</v>
      </c>
      <c r="K22" s="1"/>
      <c r="L22" s="11">
        <f>L10-L21</f>
        <v>3630</v>
      </c>
      <c r="M22" s="11">
        <f>M10-M21</f>
        <v>4923</v>
      </c>
      <c r="N22" s="11">
        <f>N10-N21</f>
        <v>5748</v>
      </c>
    </row>
    <row r="23" spans="1:14" ht="15" customHeight="1" x14ac:dyDescent="0.2">
      <c r="A23" s="5" t="s">
        <v>33</v>
      </c>
      <c r="B23" s="6">
        <v>-60</v>
      </c>
      <c r="C23" s="6">
        <v>-60</v>
      </c>
      <c r="D23" s="6">
        <v>-60</v>
      </c>
      <c r="E23" s="6">
        <v>-60</v>
      </c>
      <c r="F23" s="6">
        <v>-68</v>
      </c>
      <c r="G23" s="6">
        <v>-59</v>
      </c>
      <c r="H23" s="6">
        <v>-58</v>
      </c>
      <c r="I23" s="6">
        <v>-58</v>
      </c>
      <c r="J23" s="6">
        <v>-70</v>
      </c>
      <c r="K23" s="1"/>
      <c r="L23" s="6">
        <v>-242</v>
      </c>
      <c r="M23" s="6">
        <v>-247</v>
      </c>
      <c r="N23" s="6">
        <f>SUM(G23:J23)</f>
        <v>-245</v>
      </c>
    </row>
    <row r="24" spans="1:14" ht="15" customHeight="1" x14ac:dyDescent="0.2">
      <c r="A24" s="5" t="s">
        <v>34</v>
      </c>
      <c r="B24" s="6">
        <v>27</v>
      </c>
      <c r="C24" s="6">
        <v>71</v>
      </c>
      <c r="D24" s="6">
        <v>2</v>
      </c>
      <c r="E24" s="6">
        <v>38</v>
      </c>
      <c r="F24" s="6">
        <v>32</v>
      </c>
      <c r="G24" s="6">
        <v>86</v>
      </c>
      <c r="H24" s="6">
        <v>85</v>
      </c>
      <c r="I24" s="6">
        <v>72</v>
      </c>
      <c r="J24" s="6">
        <v>97</v>
      </c>
      <c r="K24" s="1"/>
      <c r="L24" s="6">
        <v>162</v>
      </c>
      <c r="M24" s="6">
        <v>158</v>
      </c>
      <c r="N24" s="6">
        <f>SUM(G24:J24)</f>
        <v>340</v>
      </c>
    </row>
    <row r="25" spans="1:14" ht="15" customHeight="1" x14ac:dyDescent="0.25">
      <c r="A25" s="2" t="s">
        <v>35</v>
      </c>
      <c r="B25" s="11">
        <f t="shared" ref="B25:J25" si="4">B22+B23+B24</f>
        <v>3072</v>
      </c>
      <c r="C25" s="11">
        <f t="shared" si="4"/>
        <v>-140</v>
      </c>
      <c r="D25" s="11">
        <f t="shared" si="4"/>
        <v>213</v>
      </c>
      <c r="E25" s="11">
        <f t="shared" si="4"/>
        <v>571</v>
      </c>
      <c r="F25" s="11">
        <f t="shared" si="4"/>
        <v>3684</v>
      </c>
      <c r="G25" s="11">
        <f t="shared" si="4"/>
        <v>366</v>
      </c>
      <c r="H25" s="11">
        <f t="shared" si="4"/>
        <v>561</v>
      </c>
      <c r="I25" s="11">
        <f t="shared" si="4"/>
        <v>869</v>
      </c>
      <c r="J25" s="11">
        <f t="shared" si="4"/>
        <v>4047</v>
      </c>
      <c r="K25" s="1"/>
      <c r="L25" s="11">
        <f>L22+L23+L24</f>
        <v>3550</v>
      </c>
      <c r="M25" s="11">
        <f>M22+M23+M24</f>
        <v>4834</v>
      </c>
      <c r="N25" s="11">
        <f>N22+N23+N24</f>
        <v>5843</v>
      </c>
    </row>
    <row r="26" spans="1:14" ht="15" customHeight="1" x14ac:dyDescent="0.2">
      <c r="A26" s="5" t="s">
        <v>36</v>
      </c>
      <c r="B26" s="6">
        <v>683</v>
      </c>
      <c r="C26" s="6">
        <v>-120</v>
      </c>
      <c r="D26" s="6">
        <v>16</v>
      </c>
      <c r="E26" s="6">
        <v>100</v>
      </c>
      <c r="F26" s="6">
        <v>864</v>
      </c>
      <c r="G26" s="6">
        <v>-15</v>
      </c>
      <c r="H26" s="6">
        <v>115</v>
      </c>
      <c r="I26" s="6">
        <v>176</v>
      </c>
      <c r="J26" s="6">
        <v>983</v>
      </c>
      <c r="K26" s="1"/>
      <c r="L26" s="6">
        <v>587</v>
      </c>
      <c r="M26" s="6">
        <v>965</v>
      </c>
      <c r="N26" s="6">
        <f>SUM(G26:J26)</f>
        <v>1259</v>
      </c>
    </row>
    <row r="27" spans="1:14" ht="15" customHeight="1" x14ac:dyDescent="0.25">
      <c r="A27" s="2" t="s">
        <v>37</v>
      </c>
      <c r="B27" s="11">
        <f t="shared" ref="B27:J27" si="5">B25-B26</f>
        <v>2389</v>
      </c>
      <c r="C27" s="11">
        <f t="shared" si="5"/>
        <v>-20</v>
      </c>
      <c r="D27" s="11">
        <f t="shared" si="5"/>
        <v>197</v>
      </c>
      <c r="E27" s="11">
        <f t="shared" si="5"/>
        <v>471</v>
      </c>
      <c r="F27" s="11">
        <f t="shared" si="5"/>
        <v>2820</v>
      </c>
      <c r="G27" s="11">
        <f t="shared" si="5"/>
        <v>381</v>
      </c>
      <c r="H27" s="11">
        <f t="shared" si="5"/>
        <v>446</v>
      </c>
      <c r="I27" s="11">
        <f t="shared" si="5"/>
        <v>693</v>
      </c>
      <c r="J27" s="11">
        <f t="shared" si="5"/>
        <v>3064</v>
      </c>
      <c r="K27" s="1"/>
      <c r="L27" s="11">
        <f>L25-L26</f>
        <v>2963</v>
      </c>
      <c r="M27" s="11">
        <f>M25-M26</f>
        <v>3869</v>
      </c>
      <c r="N27" s="11">
        <f>N25-N26</f>
        <v>4584</v>
      </c>
    </row>
    <row r="28" spans="1:14" ht="15" customHeight="1" x14ac:dyDescent="0.2">
      <c r="A28" s="1"/>
      <c r="B28" s="4"/>
      <c r="C28" s="4"/>
      <c r="D28" s="4"/>
      <c r="E28" s="4"/>
      <c r="F28" s="4"/>
      <c r="G28" s="4"/>
      <c r="H28" s="4"/>
      <c r="I28" s="4"/>
      <c r="J28" s="4"/>
      <c r="K28" s="1"/>
      <c r="L28" s="4"/>
      <c r="M28" s="4"/>
      <c r="N28" s="4"/>
    </row>
    <row r="29" spans="1:14" ht="15" customHeight="1" x14ac:dyDescent="0.2">
      <c r="A29" s="5" t="s">
        <v>38</v>
      </c>
      <c r="B29" s="7">
        <v>8.5299999999999994</v>
      </c>
      <c r="C29" s="7">
        <v>-7.0000000000000007E-2</v>
      </c>
      <c r="D29" s="7">
        <v>0.7</v>
      </c>
      <c r="E29" s="7">
        <v>1.68</v>
      </c>
      <c r="F29" s="7">
        <v>10.09</v>
      </c>
      <c r="G29" s="7">
        <v>1.36</v>
      </c>
      <c r="H29" s="7">
        <v>1.6</v>
      </c>
      <c r="I29" s="7">
        <v>2.4900000000000002</v>
      </c>
      <c r="J29" s="7">
        <v>11.1</v>
      </c>
      <c r="K29" s="1"/>
      <c r="L29" s="7">
        <v>10.58</v>
      </c>
      <c r="M29" s="7">
        <v>13.82</v>
      </c>
      <c r="N29" s="7">
        <f>SUM(G29:J29)</f>
        <v>16.55</v>
      </c>
    </row>
    <row r="30" spans="1:14" ht="15" customHeight="1" x14ac:dyDescent="0.2">
      <c r="A30" s="5" t="s">
        <v>39</v>
      </c>
      <c r="B30" s="7">
        <v>8.42</v>
      </c>
      <c r="C30" s="7">
        <v>-7.0000000000000007E-2</v>
      </c>
      <c r="D30" s="7">
        <v>0.7</v>
      </c>
      <c r="E30" s="7">
        <v>1.67</v>
      </c>
      <c r="F30" s="7">
        <v>10.02</v>
      </c>
      <c r="G30" s="7">
        <v>1.35</v>
      </c>
      <c r="H30" s="7">
        <v>1.59</v>
      </c>
      <c r="I30" s="7">
        <v>2.48</v>
      </c>
      <c r="J30" s="7">
        <v>11.09</v>
      </c>
      <c r="K30" s="1"/>
      <c r="L30" s="7">
        <v>10.43</v>
      </c>
      <c r="M30" s="7">
        <v>13.67</v>
      </c>
      <c r="N30" s="7">
        <f>SUM(G30:J30)</f>
        <v>16.509999999999998</v>
      </c>
    </row>
    <row r="31" spans="1:14" ht="15" customHeight="1" x14ac:dyDescent="0.2">
      <c r="A31" s="5" t="s">
        <v>40</v>
      </c>
      <c r="B31" s="6">
        <v>280</v>
      </c>
      <c r="C31" s="6">
        <v>280</v>
      </c>
      <c r="D31" s="6">
        <v>280</v>
      </c>
      <c r="E31" s="6">
        <v>280</v>
      </c>
      <c r="F31" s="6">
        <v>280</v>
      </c>
      <c r="G31" s="6">
        <v>279</v>
      </c>
      <c r="H31" s="6">
        <v>279</v>
      </c>
      <c r="I31" s="6">
        <v>278</v>
      </c>
      <c r="J31" s="6">
        <v>276</v>
      </c>
      <c r="K31" s="1"/>
      <c r="L31" s="6">
        <v>280</v>
      </c>
      <c r="M31" s="6">
        <v>280</v>
      </c>
      <c r="N31" s="6">
        <f>AVERAGE(G31:J31)</f>
        <v>278</v>
      </c>
    </row>
    <row r="32" spans="1:14" ht="15" customHeight="1" x14ac:dyDescent="0.2">
      <c r="A32" s="5" t="s">
        <v>41</v>
      </c>
      <c r="B32" s="6">
        <v>284</v>
      </c>
      <c r="C32" s="6">
        <v>280</v>
      </c>
      <c r="D32" s="6">
        <v>283</v>
      </c>
      <c r="E32" s="6">
        <v>283</v>
      </c>
      <c r="F32" s="6">
        <v>282</v>
      </c>
      <c r="G32" s="6">
        <v>282</v>
      </c>
      <c r="H32" s="6">
        <v>281</v>
      </c>
      <c r="I32" s="6">
        <v>280</v>
      </c>
      <c r="J32" s="6">
        <v>276</v>
      </c>
      <c r="K32" s="1"/>
      <c r="L32" s="6">
        <v>284</v>
      </c>
      <c r="M32" s="6">
        <v>283</v>
      </c>
      <c r="N32" s="6">
        <f>AVERAGE(G32:J32)</f>
        <v>279.75</v>
      </c>
    </row>
    <row r="33" spans="1:14" ht="15" customHeight="1" x14ac:dyDescent="0.2">
      <c r="A33" s="1"/>
      <c r="B33" s="4"/>
      <c r="C33" s="4"/>
      <c r="D33" s="4"/>
      <c r="E33" s="4"/>
      <c r="F33" s="4"/>
      <c r="G33" s="4"/>
      <c r="H33" s="4"/>
      <c r="I33" s="4"/>
      <c r="J33" s="4"/>
      <c r="K33" s="1"/>
      <c r="L33" s="4"/>
      <c r="M33" s="4"/>
      <c r="N33" s="4"/>
    </row>
    <row r="34" spans="1:14" ht="15" customHeight="1" x14ac:dyDescent="0.25">
      <c r="A34" s="2" t="s">
        <v>42</v>
      </c>
      <c r="B34" s="8">
        <v>0.12</v>
      </c>
      <c r="C34" s="8">
        <v>0.17</v>
      </c>
      <c r="D34" s="8">
        <v>0.10241773002014801</v>
      </c>
      <c r="E34" s="8">
        <v>4.2158018867925001E-2</v>
      </c>
      <c r="F34" s="8">
        <f>IFERROR(F10/B10-1,0)</f>
        <v>0.15095739943595077</v>
      </c>
      <c r="G34" s="8">
        <f>IFERROR(G10/C10-1,0)</f>
        <v>0.20320351758793964</v>
      </c>
      <c r="H34" s="8">
        <f>IFERROR(H10/D10-1,0)</f>
        <v>0.18336886993603407</v>
      </c>
      <c r="I34" s="8">
        <f>IFERROR(I10/E10-1,0)</f>
        <v>0.1736058541508958</v>
      </c>
      <c r="J34" s="8">
        <f>IFERROR(J10/F10-1,0)</f>
        <v>0.10368841888057778</v>
      </c>
      <c r="K34" s="1"/>
      <c r="L34" s="8">
        <f>IFERROR(L10/14368-1,0)</f>
        <v>0.13342149220489974</v>
      </c>
      <c r="M34" s="8">
        <f>IFERROR(M10/L10-1,0)</f>
        <v>0.15634019035922631</v>
      </c>
      <c r="N34" s="8">
        <f>IFERROR(N10/SUM(C10:F10)-1,0)</f>
        <v>0.15073691157061142</v>
      </c>
    </row>
    <row r="35" spans="1:14" ht="15" customHeight="1" x14ac:dyDescent="0.25">
      <c r="A35" s="2" t="s">
        <v>43</v>
      </c>
      <c r="B35" s="8">
        <f t="shared" ref="B35:J35" si="6">IFERROR(B8/B10,0)</f>
        <v>0.8977289594775123</v>
      </c>
      <c r="C35" s="8">
        <f t="shared" si="6"/>
        <v>0.83856783919597988</v>
      </c>
      <c r="D35" s="8">
        <f t="shared" si="6"/>
        <v>0.87998781602193121</v>
      </c>
      <c r="E35" s="8">
        <f t="shared" si="6"/>
        <v>0.81983345950037845</v>
      </c>
      <c r="F35" s="8">
        <f t="shared" si="6"/>
        <v>0.89901986071704931</v>
      </c>
      <c r="G35" s="8">
        <f t="shared" si="6"/>
        <v>0.85904463586530933</v>
      </c>
      <c r="H35" s="8">
        <f t="shared" si="6"/>
        <v>0.90012870012870017</v>
      </c>
      <c r="I35" s="8">
        <f t="shared" si="6"/>
        <v>0.83250913781982372</v>
      </c>
      <c r="J35" s="8">
        <f t="shared" si="6"/>
        <v>0.90663706473475114</v>
      </c>
      <c r="K35" s="1"/>
      <c r="L35" s="8">
        <f>IFERROR(L8/L10,0)</f>
        <v>0.85115136628799504</v>
      </c>
      <c r="M35" s="8">
        <f>IFERROR(M8/M10,0)</f>
        <v>0.87090435983219161</v>
      </c>
      <c r="N35" s="8">
        <f>IFERROR(N8/N10,0)</f>
        <v>0.88023894862604535</v>
      </c>
    </row>
    <row r="36" spans="1:14" ht="15" customHeight="1" x14ac:dyDescent="0.25">
      <c r="A36" s="2" t="s">
        <v>44</v>
      </c>
      <c r="B36" s="8">
        <f t="shared" ref="B36:J36" si="7">IFERROR(B15/B10,0)</f>
        <v>0.84162089951016772</v>
      </c>
      <c r="C36" s="8">
        <f t="shared" si="7"/>
        <v>0.75408291457286436</v>
      </c>
      <c r="D36" s="8">
        <f t="shared" si="7"/>
        <v>0.74931465123362773</v>
      </c>
      <c r="E36" s="8">
        <f t="shared" si="7"/>
        <v>0.7635629573555387</v>
      </c>
      <c r="F36" s="8">
        <f t="shared" si="7"/>
        <v>0.84601496002063448</v>
      </c>
      <c r="G36" s="8">
        <f t="shared" si="7"/>
        <v>0.76664056382145651</v>
      </c>
      <c r="H36" s="8">
        <f t="shared" si="7"/>
        <v>0.77271557271557267</v>
      </c>
      <c r="I36" s="8">
        <f t="shared" si="7"/>
        <v>0.77574715115029025</v>
      </c>
      <c r="J36" s="8">
        <f t="shared" si="7"/>
        <v>0.83944846926852068</v>
      </c>
      <c r="K36" s="1"/>
      <c r="L36" s="8">
        <f>IFERROR(L15/L10,0)</f>
        <v>0.78722750997850788</v>
      </c>
      <c r="M36" s="8">
        <f>IFERROR(M15/M10,0)</f>
        <v>0.7956560989857151</v>
      </c>
      <c r="N36" s="8">
        <f>IFERROR(N15/N10,0)</f>
        <v>0.79956989247311827</v>
      </c>
    </row>
    <row r="37" spans="1:14" ht="15" customHeight="1" x14ac:dyDescent="0.25">
      <c r="A37" s="2" t="s">
        <v>45</v>
      </c>
      <c r="B37" s="8">
        <f t="shared" ref="B37:J37" si="8">IFERROR(B22/B10,0)</f>
        <v>0.46088763544604422</v>
      </c>
      <c r="C37" s="8">
        <f t="shared" si="8"/>
        <v>-4.7424623115577887E-2</v>
      </c>
      <c r="D37" s="8">
        <f t="shared" si="8"/>
        <v>8.2546451416387445E-2</v>
      </c>
      <c r="E37" s="8">
        <f t="shared" si="8"/>
        <v>0.14963411556901338</v>
      </c>
      <c r="F37" s="8">
        <f t="shared" si="8"/>
        <v>0.47975238586535979</v>
      </c>
      <c r="G37" s="8">
        <f t="shared" si="8"/>
        <v>8.848864526233359E-2</v>
      </c>
      <c r="H37" s="8">
        <f t="shared" si="8"/>
        <v>0.13745173745173744</v>
      </c>
      <c r="I37" s="8">
        <f t="shared" si="8"/>
        <v>0.18383143410019351</v>
      </c>
      <c r="J37" s="8">
        <f t="shared" si="8"/>
        <v>0.46973591960738492</v>
      </c>
      <c r="K37" s="1"/>
      <c r="L37" s="8">
        <f>IFERROR(L22/L10,0)</f>
        <v>0.22290451335584893</v>
      </c>
      <c r="M37" s="8">
        <f>IFERROR(M22/M10,0)</f>
        <v>0.26143061972279752</v>
      </c>
      <c r="N37" s="8">
        <f>IFERROR(N22/N10,0)</f>
        <v>0.27469534050179212</v>
      </c>
    </row>
    <row r="38" spans="1:14" ht="15" customHeight="1" x14ac:dyDescent="0.25">
      <c r="A38" s="2" t="s">
        <v>46</v>
      </c>
      <c r="B38" s="8">
        <f t="shared" ref="B38:J38" si="9">IFERROR(B26/B25,0)</f>
        <v>0.22233072916666666</v>
      </c>
      <c r="C38" s="8">
        <f t="shared" si="9"/>
        <v>0.8571428571428571</v>
      </c>
      <c r="D38" s="8">
        <f t="shared" si="9"/>
        <v>7.5117370892018781E-2</v>
      </c>
      <c r="E38" s="8">
        <f t="shared" si="9"/>
        <v>0.17513134851138354</v>
      </c>
      <c r="F38" s="8">
        <f t="shared" si="9"/>
        <v>0.23452768729641693</v>
      </c>
      <c r="G38" s="8">
        <f t="shared" si="9"/>
        <v>-4.0983606557377046E-2</v>
      </c>
      <c r="H38" s="8">
        <f t="shared" si="9"/>
        <v>0.20499108734402852</v>
      </c>
      <c r="I38" s="8">
        <f t="shared" si="9"/>
        <v>0.20253164556962025</v>
      </c>
      <c r="J38" s="8">
        <f t="shared" si="9"/>
        <v>0.24289597232517915</v>
      </c>
      <c r="K38" s="1"/>
      <c r="L38" s="8">
        <f>IFERROR(L26/L25,0)</f>
        <v>0.16535211267605635</v>
      </c>
      <c r="M38" s="8">
        <f>IFERROR(M26/M25,0)</f>
        <v>0.19962763756723212</v>
      </c>
      <c r="N38" s="8">
        <f>IFERROR(N26/N25,0)</f>
        <v>0.21547150436419649</v>
      </c>
    </row>
    <row r="39" spans="1:14" ht="15" customHeight="1" x14ac:dyDescent="0.2">
      <c r="A39" s="1"/>
      <c r="B39" s="4"/>
      <c r="C39" s="4"/>
      <c r="D39" s="4"/>
      <c r="E39" s="4"/>
      <c r="F39" s="4"/>
      <c r="G39" s="4"/>
      <c r="H39" s="4"/>
      <c r="I39" s="4"/>
      <c r="J39" s="4"/>
      <c r="K39" s="1"/>
      <c r="L39" s="4"/>
      <c r="M39" s="4"/>
      <c r="N39" s="4"/>
    </row>
    <row r="40" spans="1:14" ht="15" customHeight="1" x14ac:dyDescent="0.25">
      <c r="A40" s="2" t="s">
        <v>47</v>
      </c>
      <c r="B40" s="4"/>
      <c r="C40" s="4"/>
      <c r="D40" s="4"/>
      <c r="E40" s="4"/>
      <c r="F40" s="4"/>
      <c r="G40" s="4"/>
      <c r="H40" s="4"/>
      <c r="I40" s="4"/>
      <c r="J40" s="4"/>
      <c r="K40" s="1"/>
      <c r="L40" s="4"/>
      <c r="M40" s="4"/>
      <c r="N40" s="4"/>
    </row>
    <row r="41" spans="1:14" ht="15" customHeight="1" x14ac:dyDescent="0.25">
      <c r="A41" s="2" t="s">
        <v>48</v>
      </c>
      <c r="B41" s="4"/>
      <c r="C41" s="4"/>
      <c r="D41" s="4"/>
      <c r="E41" s="4"/>
      <c r="F41" s="4"/>
      <c r="G41" s="4"/>
      <c r="H41" s="4"/>
      <c r="I41" s="4"/>
      <c r="J41" s="4"/>
      <c r="K41" s="1"/>
      <c r="L41" s="4"/>
      <c r="M41" s="4"/>
      <c r="N41" s="4"/>
    </row>
    <row r="42" spans="1:14" ht="15" customHeight="1" x14ac:dyDescent="0.25">
      <c r="A42" s="2" t="s">
        <v>49</v>
      </c>
      <c r="B42" s="4"/>
      <c r="C42" s="4"/>
      <c r="D42" s="4"/>
      <c r="E42" s="4"/>
      <c r="F42" s="4"/>
      <c r="G42" s="4"/>
      <c r="H42" s="4"/>
      <c r="I42" s="4"/>
      <c r="J42" s="4"/>
      <c r="K42" s="1"/>
      <c r="L42" s="4"/>
      <c r="M42" s="4"/>
      <c r="N42" s="4"/>
    </row>
    <row r="43" spans="1:14" ht="15" customHeight="1" x14ac:dyDescent="0.2">
      <c r="A43" s="5" t="s">
        <v>50</v>
      </c>
      <c r="B43" s="6">
        <v>4215</v>
      </c>
      <c r="C43" s="6">
        <v>3609</v>
      </c>
      <c r="D43" s="6">
        <v>2872</v>
      </c>
      <c r="E43" s="6">
        <v>2435</v>
      </c>
      <c r="F43" s="6">
        <v>5443</v>
      </c>
      <c r="G43" s="6">
        <v>2884</v>
      </c>
      <c r="H43" s="6">
        <v>3506</v>
      </c>
      <c r="I43" s="6">
        <v>2942</v>
      </c>
      <c r="J43" s="6">
        <v>4681</v>
      </c>
      <c r="K43" s="1"/>
      <c r="L43" s="6">
        <f t="shared" ref="L43:L49" si="10">C43</f>
        <v>3609</v>
      </c>
      <c r="M43" s="6">
        <f t="shared" ref="M43:M49" si="11">G43</f>
        <v>2884</v>
      </c>
      <c r="N43" s="6">
        <f t="shared" ref="N43:N49" si="12">J43</f>
        <v>4681</v>
      </c>
    </row>
    <row r="44" spans="1:14" ht="15" customHeight="1" x14ac:dyDescent="0.2">
      <c r="A44" s="5" t="s">
        <v>51</v>
      </c>
      <c r="B44" s="6">
        <v>463</v>
      </c>
      <c r="C44" s="6">
        <v>465</v>
      </c>
      <c r="D44" s="6">
        <v>486</v>
      </c>
      <c r="E44" s="6">
        <v>24</v>
      </c>
      <c r="F44" s="6">
        <v>731</v>
      </c>
      <c r="G44" s="6">
        <v>1668</v>
      </c>
      <c r="H44" s="6">
        <v>190</v>
      </c>
      <c r="I44" s="6">
        <v>33</v>
      </c>
      <c r="J44" s="6">
        <v>2099</v>
      </c>
      <c r="K44" s="1"/>
      <c r="L44" s="6">
        <f t="shared" si="10"/>
        <v>465</v>
      </c>
      <c r="M44" s="6">
        <f t="shared" si="11"/>
        <v>1668</v>
      </c>
      <c r="N44" s="6">
        <f t="shared" si="12"/>
        <v>2099</v>
      </c>
    </row>
    <row r="45" spans="1:14" ht="15" customHeight="1" x14ac:dyDescent="0.2">
      <c r="A45" s="5" t="s">
        <v>52</v>
      </c>
      <c r="B45" s="6">
        <v>790</v>
      </c>
      <c r="C45" s="6">
        <v>457</v>
      </c>
      <c r="D45" s="6">
        <v>426</v>
      </c>
      <c r="E45" s="6">
        <v>1017</v>
      </c>
      <c r="F45" s="6">
        <v>724</v>
      </c>
      <c r="G45" s="6">
        <v>530</v>
      </c>
      <c r="H45" s="6">
        <v>579</v>
      </c>
      <c r="I45" s="6">
        <v>1175</v>
      </c>
      <c r="J45" s="6">
        <v>834</v>
      </c>
      <c r="K45" s="1"/>
      <c r="L45" s="6">
        <f t="shared" si="10"/>
        <v>457</v>
      </c>
      <c r="M45" s="6">
        <f t="shared" si="11"/>
        <v>530</v>
      </c>
      <c r="N45" s="6">
        <f t="shared" si="12"/>
        <v>834</v>
      </c>
    </row>
    <row r="46" spans="1:14" ht="15" customHeight="1" x14ac:dyDescent="0.2">
      <c r="A46" s="5" t="s">
        <v>53</v>
      </c>
      <c r="B46" s="6">
        <v>698</v>
      </c>
      <c r="C46" s="6">
        <v>779</v>
      </c>
      <c r="D46" s="6">
        <v>892</v>
      </c>
      <c r="E46" s="6">
        <v>1376</v>
      </c>
      <c r="F46" s="6">
        <v>1278</v>
      </c>
      <c r="G46" s="6">
        <v>1403</v>
      </c>
      <c r="H46" s="6">
        <v>1519</v>
      </c>
      <c r="I46" s="6">
        <v>1699</v>
      </c>
      <c r="J46" s="6">
        <v>1662</v>
      </c>
      <c r="K46" s="1"/>
      <c r="L46" s="6">
        <f t="shared" si="10"/>
        <v>779</v>
      </c>
      <c r="M46" s="6">
        <f t="shared" si="11"/>
        <v>1403</v>
      </c>
      <c r="N46" s="6">
        <f t="shared" si="12"/>
        <v>1662</v>
      </c>
    </row>
    <row r="47" spans="1:14" ht="15" customHeight="1" x14ac:dyDescent="0.2">
      <c r="A47" s="5" t="s">
        <v>54</v>
      </c>
      <c r="B47" s="6">
        <v>7</v>
      </c>
      <c r="C47" s="6">
        <v>3</v>
      </c>
      <c r="D47" s="6">
        <v>10</v>
      </c>
      <c r="E47" s="6">
        <v>14</v>
      </c>
      <c r="F47" s="6">
        <v>47</v>
      </c>
      <c r="G47" s="6">
        <v>0</v>
      </c>
      <c r="H47" s="6">
        <v>48</v>
      </c>
      <c r="I47" s="6">
        <v>117</v>
      </c>
      <c r="J47" s="6">
        <v>69</v>
      </c>
      <c r="K47" s="1"/>
      <c r="L47" s="6">
        <f t="shared" si="10"/>
        <v>3</v>
      </c>
      <c r="M47" s="6">
        <f t="shared" si="11"/>
        <v>0</v>
      </c>
      <c r="N47" s="6">
        <f t="shared" si="12"/>
        <v>69</v>
      </c>
    </row>
    <row r="48" spans="1:14" ht="15" customHeight="1" x14ac:dyDescent="0.2">
      <c r="A48" s="5" t="s">
        <v>55</v>
      </c>
      <c r="B48" s="6">
        <v>4</v>
      </c>
      <c r="C48" s="6">
        <v>78</v>
      </c>
      <c r="D48" s="6">
        <v>27</v>
      </c>
      <c r="E48" s="6">
        <v>90</v>
      </c>
      <c r="F48" s="6">
        <v>9</v>
      </c>
      <c r="G48" s="6">
        <v>50</v>
      </c>
      <c r="H48" s="6">
        <v>31</v>
      </c>
      <c r="I48" s="6">
        <v>84</v>
      </c>
      <c r="J48" s="6">
        <v>52</v>
      </c>
      <c r="K48" s="1"/>
      <c r="L48" s="6">
        <f t="shared" si="10"/>
        <v>78</v>
      </c>
      <c r="M48" s="6">
        <f t="shared" si="11"/>
        <v>50</v>
      </c>
      <c r="N48" s="6">
        <f t="shared" si="12"/>
        <v>52</v>
      </c>
    </row>
    <row r="49" spans="1:14" ht="15" customHeight="1" x14ac:dyDescent="0.2">
      <c r="A49" s="5" t="s">
        <v>56</v>
      </c>
      <c r="B49" s="6">
        <v>337</v>
      </c>
      <c r="C49" s="6">
        <v>366</v>
      </c>
      <c r="D49" s="6">
        <v>407</v>
      </c>
      <c r="E49" s="6">
        <v>845</v>
      </c>
      <c r="F49" s="6">
        <v>512</v>
      </c>
      <c r="G49" s="6">
        <v>496</v>
      </c>
      <c r="H49" s="6">
        <v>630</v>
      </c>
      <c r="I49" s="6">
        <v>1239</v>
      </c>
      <c r="J49" s="6">
        <v>680</v>
      </c>
      <c r="K49" s="1"/>
      <c r="L49" s="6">
        <f t="shared" si="10"/>
        <v>366</v>
      </c>
      <c r="M49" s="6">
        <f t="shared" si="11"/>
        <v>496</v>
      </c>
      <c r="N49" s="6">
        <f t="shared" si="12"/>
        <v>680</v>
      </c>
    </row>
    <row r="50" spans="1:14" ht="15" customHeight="1" x14ac:dyDescent="0.25">
      <c r="A50" s="2" t="s">
        <v>57</v>
      </c>
      <c r="B50" s="11">
        <f t="shared" ref="B50:J50" si="13">SUM(B43:B49)</f>
        <v>6514</v>
      </c>
      <c r="C50" s="11">
        <f t="shared" si="13"/>
        <v>5757</v>
      </c>
      <c r="D50" s="11">
        <f t="shared" si="13"/>
        <v>5120</v>
      </c>
      <c r="E50" s="11">
        <f t="shared" si="13"/>
        <v>5801</v>
      </c>
      <c r="F50" s="11">
        <f t="shared" si="13"/>
        <v>8744</v>
      </c>
      <c r="G50" s="11">
        <f t="shared" si="13"/>
        <v>7031</v>
      </c>
      <c r="H50" s="11">
        <f t="shared" si="13"/>
        <v>6503</v>
      </c>
      <c r="I50" s="11">
        <f t="shared" si="13"/>
        <v>7289</v>
      </c>
      <c r="J50" s="11">
        <f t="shared" si="13"/>
        <v>10077</v>
      </c>
      <c r="K50" s="1"/>
      <c r="L50" s="11">
        <f>SUM(L43:L49)</f>
        <v>5757</v>
      </c>
      <c r="M50" s="11">
        <f>SUM(M43:M49)</f>
        <v>7031</v>
      </c>
      <c r="N50" s="11">
        <f>SUM(N43:N49)</f>
        <v>10077</v>
      </c>
    </row>
    <row r="51" spans="1:14" ht="15" customHeight="1" x14ac:dyDescent="0.2">
      <c r="A51" s="5" t="s">
        <v>58</v>
      </c>
      <c r="B51" s="6">
        <v>2722</v>
      </c>
      <c r="C51" s="6">
        <v>3921</v>
      </c>
      <c r="D51" s="6">
        <v>5606</v>
      </c>
      <c r="E51" s="6">
        <v>3334</v>
      </c>
      <c r="F51" s="6">
        <v>5221</v>
      </c>
      <c r="G51" s="6">
        <v>7076</v>
      </c>
      <c r="H51" s="6">
        <v>3918</v>
      </c>
      <c r="I51" s="6">
        <v>4414</v>
      </c>
      <c r="J51" s="6">
        <v>7760</v>
      </c>
      <c r="K51" s="1"/>
      <c r="L51" s="6">
        <f>C51</f>
        <v>3921</v>
      </c>
      <c r="M51" s="6">
        <f>G51</f>
        <v>7076</v>
      </c>
      <c r="N51" s="6">
        <f>J51</f>
        <v>7760</v>
      </c>
    </row>
    <row r="52" spans="1:14" ht="15" customHeight="1" x14ac:dyDescent="0.25">
      <c r="A52" s="2" t="s">
        <v>59</v>
      </c>
      <c r="B52" s="11">
        <f t="shared" ref="B52:J52" si="14">B50+B51</f>
        <v>9236</v>
      </c>
      <c r="C52" s="11">
        <f t="shared" si="14"/>
        <v>9678</v>
      </c>
      <c r="D52" s="11">
        <f t="shared" si="14"/>
        <v>10726</v>
      </c>
      <c r="E52" s="11">
        <f t="shared" si="14"/>
        <v>9135</v>
      </c>
      <c r="F52" s="11">
        <f t="shared" si="14"/>
        <v>13965</v>
      </c>
      <c r="G52" s="11">
        <f t="shared" si="14"/>
        <v>14107</v>
      </c>
      <c r="H52" s="11">
        <f t="shared" si="14"/>
        <v>10421</v>
      </c>
      <c r="I52" s="11">
        <f t="shared" si="14"/>
        <v>11703</v>
      </c>
      <c r="J52" s="11">
        <f t="shared" si="14"/>
        <v>17837</v>
      </c>
      <c r="K52" s="1"/>
      <c r="L52" s="11">
        <f>L50+L51</f>
        <v>9678</v>
      </c>
      <c r="M52" s="11">
        <f>M50+M51</f>
        <v>14107</v>
      </c>
      <c r="N52" s="11">
        <f>N50+N51</f>
        <v>17837</v>
      </c>
    </row>
    <row r="53" spans="1:14" ht="15" customHeight="1" x14ac:dyDescent="0.2">
      <c r="A53" s="5" t="s">
        <v>60</v>
      </c>
      <c r="B53" s="6">
        <v>129</v>
      </c>
      <c r="C53" s="6">
        <v>131</v>
      </c>
      <c r="D53" s="6">
        <v>90</v>
      </c>
      <c r="E53" s="6">
        <v>88</v>
      </c>
      <c r="F53" s="6">
        <v>88</v>
      </c>
      <c r="G53" s="6">
        <v>94</v>
      </c>
      <c r="H53" s="6">
        <v>92</v>
      </c>
      <c r="I53" s="6">
        <v>127</v>
      </c>
      <c r="J53" s="6">
        <v>176</v>
      </c>
      <c r="K53" s="1"/>
      <c r="L53" s="6">
        <f t="shared" ref="L53:L59" si="15">C53</f>
        <v>131</v>
      </c>
      <c r="M53" s="6">
        <f t="shared" ref="M53:M59" si="16">G53</f>
        <v>94</v>
      </c>
      <c r="N53" s="6">
        <f t="shared" ref="N53:N59" si="17">J53</f>
        <v>176</v>
      </c>
    </row>
    <row r="54" spans="1:14" ht="15" customHeight="1" x14ac:dyDescent="0.2">
      <c r="A54" s="5" t="s">
        <v>61</v>
      </c>
      <c r="B54" s="6">
        <v>1032</v>
      </c>
      <c r="C54" s="6">
        <v>1009</v>
      </c>
      <c r="D54" s="6">
        <v>1008</v>
      </c>
      <c r="E54" s="6">
        <v>992</v>
      </c>
      <c r="F54" s="6">
        <v>975</v>
      </c>
      <c r="G54" s="6">
        <v>961</v>
      </c>
      <c r="H54" s="6">
        <v>965</v>
      </c>
      <c r="I54" s="6">
        <v>974</v>
      </c>
      <c r="J54" s="6">
        <v>996</v>
      </c>
      <c r="K54" s="1"/>
      <c r="L54" s="6">
        <f t="shared" si="15"/>
        <v>1009</v>
      </c>
      <c r="M54" s="6">
        <f t="shared" si="16"/>
        <v>961</v>
      </c>
      <c r="N54" s="6">
        <f t="shared" si="17"/>
        <v>996</v>
      </c>
    </row>
    <row r="55" spans="1:14" ht="15" customHeight="1" x14ac:dyDescent="0.2">
      <c r="A55" s="5" t="s">
        <v>62</v>
      </c>
      <c r="B55" s="6">
        <v>428</v>
      </c>
      <c r="C55" s="6">
        <v>411</v>
      </c>
      <c r="D55" s="6">
        <v>538</v>
      </c>
      <c r="E55" s="6">
        <v>518</v>
      </c>
      <c r="F55" s="6">
        <v>560</v>
      </c>
      <c r="G55" s="6">
        <v>541</v>
      </c>
      <c r="H55" s="6">
        <v>596</v>
      </c>
      <c r="I55" s="6">
        <v>593</v>
      </c>
      <c r="J55" s="6">
        <v>601</v>
      </c>
      <c r="K55" s="1"/>
      <c r="L55" s="6">
        <f t="shared" si="15"/>
        <v>411</v>
      </c>
      <c r="M55" s="6">
        <f t="shared" si="16"/>
        <v>541</v>
      </c>
      <c r="N55" s="6">
        <f t="shared" si="17"/>
        <v>601</v>
      </c>
    </row>
    <row r="56" spans="1:14" ht="15" customHeight="1" x14ac:dyDescent="0.2">
      <c r="A56" s="5" t="s">
        <v>63</v>
      </c>
      <c r="B56" s="6">
        <v>13778</v>
      </c>
      <c r="C56" s="6">
        <v>13844</v>
      </c>
      <c r="D56" s="6">
        <v>13844</v>
      </c>
      <c r="E56" s="6">
        <v>13841</v>
      </c>
      <c r="F56" s="6">
        <v>13847</v>
      </c>
      <c r="G56" s="6">
        <v>13980</v>
      </c>
      <c r="H56" s="6">
        <v>13980</v>
      </c>
      <c r="I56" s="6">
        <v>13983</v>
      </c>
      <c r="J56" s="6">
        <v>13982</v>
      </c>
      <c r="K56" s="1"/>
      <c r="L56" s="6">
        <f t="shared" si="15"/>
        <v>13844</v>
      </c>
      <c r="M56" s="6">
        <f t="shared" si="16"/>
        <v>13980</v>
      </c>
      <c r="N56" s="6">
        <f t="shared" si="17"/>
        <v>13982</v>
      </c>
    </row>
    <row r="57" spans="1:14" ht="15" customHeight="1" x14ac:dyDescent="0.2">
      <c r="A57" s="5" t="s">
        <v>64</v>
      </c>
      <c r="B57" s="6">
        <v>5950</v>
      </c>
      <c r="C57" s="6">
        <v>5820</v>
      </c>
      <c r="D57" s="6">
        <v>5662</v>
      </c>
      <c r="E57" s="6">
        <v>5505</v>
      </c>
      <c r="F57" s="6">
        <v>5397</v>
      </c>
      <c r="G57" s="6">
        <v>5302</v>
      </c>
      <c r="H57" s="6">
        <v>5136</v>
      </c>
      <c r="I57" s="6">
        <v>4971</v>
      </c>
      <c r="J57" s="6">
        <v>4807</v>
      </c>
      <c r="K57" s="1"/>
      <c r="L57" s="6">
        <f t="shared" si="15"/>
        <v>5820</v>
      </c>
      <c r="M57" s="6">
        <f t="shared" si="16"/>
        <v>5302</v>
      </c>
      <c r="N57" s="6">
        <f t="shared" si="17"/>
        <v>4807</v>
      </c>
    </row>
    <row r="58" spans="1:14" ht="15" customHeight="1" x14ac:dyDescent="0.2">
      <c r="A58" s="5" t="s">
        <v>65</v>
      </c>
      <c r="B58" s="6">
        <v>512</v>
      </c>
      <c r="C58" s="6">
        <v>698</v>
      </c>
      <c r="D58" s="6">
        <v>798</v>
      </c>
      <c r="E58" s="6">
        <v>934</v>
      </c>
      <c r="F58" s="6">
        <v>1062</v>
      </c>
      <c r="G58" s="6">
        <v>1222</v>
      </c>
      <c r="H58" s="6">
        <v>1173</v>
      </c>
      <c r="I58" s="6">
        <v>1106</v>
      </c>
      <c r="J58" s="6">
        <v>113</v>
      </c>
      <c r="K58" s="1"/>
      <c r="L58" s="6">
        <f t="shared" si="15"/>
        <v>698</v>
      </c>
      <c r="M58" s="6">
        <f t="shared" si="16"/>
        <v>1222</v>
      </c>
      <c r="N58" s="6">
        <f t="shared" si="17"/>
        <v>113</v>
      </c>
    </row>
    <row r="59" spans="1:14" ht="15" customHeight="1" x14ac:dyDescent="0.2">
      <c r="A59" s="5" t="s">
        <v>66</v>
      </c>
      <c r="B59" s="6">
        <v>495</v>
      </c>
      <c r="C59" s="6">
        <v>541</v>
      </c>
      <c r="D59" s="6">
        <v>527</v>
      </c>
      <c r="E59" s="6">
        <v>669</v>
      </c>
      <c r="F59" s="6">
        <v>699</v>
      </c>
      <c r="G59" s="6">
        <v>751</v>
      </c>
      <c r="H59" s="6">
        <v>828</v>
      </c>
      <c r="I59" s="6">
        <v>825</v>
      </c>
      <c r="J59" s="6">
        <v>818</v>
      </c>
      <c r="K59" s="1"/>
      <c r="L59" s="6">
        <f t="shared" si="15"/>
        <v>541</v>
      </c>
      <c r="M59" s="6">
        <f t="shared" si="16"/>
        <v>751</v>
      </c>
      <c r="N59" s="6">
        <f t="shared" si="17"/>
        <v>818</v>
      </c>
    </row>
    <row r="60" spans="1:14" ht="15" customHeight="1" x14ac:dyDescent="0.25">
      <c r="A60" s="2" t="s">
        <v>67</v>
      </c>
      <c r="B60" s="11">
        <f t="shared" ref="B60:J60" si="18">B52+SUM(B53:B59)</f>
        <v>31560</v>
      </c>
      <c r="C60" s="11">
        <f t="shared" si="18"/>
        <v>32132</v>
      </c>
      <c r="D60" s="11">
        <f t="shared" si="18"/>
        <v>33193</v>
      </c>
      <c r="E60" s="11">
        <f t="shared" si="18"/>
        <v>31682</v>
      </c>
      <c r="F60" s="11">
        <f t="shared" si="18"/>
        <v>36593</v>
      </c>
      <c r="G60" s="11">
        <f t="shared" si="18"/>
        <v>36958</v>
      </c>
      <c r="H60" s="11">
        <f t="shared" si="18"/>
        <v>33191</v>
      </c>
      <c r="I60" s="11">
        <f t="shared" si="18"/>
        <v>34282</v>
      </c>
      <c r="J60" s="11">
        <f t="shared" si="18"/>
        <v>39330</v>
      </c>
      <c r="K60" s="1"/>
      <c r="L60" s="11">
        <f>L52+SUM(L53:L59)</f>
        <v>32132</v>
      </c>
      <c r="M60" s="11">
        <f>M52+SUM(M53:M59)</f>
        <v>36958</v>
      </c>
      <c r="N60" s="11">
        <f>N52+SUM(N53:N59)</f>
        <v>39330</v>
      </c>
    </row>
    <row r="61" spans="1:14" ht="15" customHeight="1" x14ac:dyDescent="0.2">
      <c r="A61" s="1"/>
      <c r="B61" s="6"/>
      <c r="C61" s="6"/>
      <c r="D61" s="6"/>
      <c r="E61" s="6"/>
      <c r="F61" s="6"/>
      <c r="G61" s="6"/>
      <c r="H61" s="6"/>
      <c r="I61" s="6"/>
      <c r="J61" s="6"/>
      <c r="K61" s="1"/>
      <c r="L61" s="6"/>
      <c r="M61" s="6"/>
      <c r="N61" s="6"/>
    </row>
    <row r="62" spans="1:14" ht="15" customHeight="1" x14ac:dyDescent="0.25">
      <c r="A62" s="2" t="s">
        <v>68</v>
      </c>
      <c r="B62" s="6"/>
      <c r="C62" s="6"/>
      <c r="D62" s="6"/>
      <c r="E62" s="6"/>
      <c r="F62" s="6"/>
      <c r="G62" s="6"/>
      <c r="H62" s="6"/>
      <c r="I62" s="6"/>
      <c r="J62" s="6"/>
      <c r="K62" s="1"/>
      <c r="L62" s="6"/>
      <c r="M62" s="6"/>
      <c r="N62" s="6"/>
    </row>
    <row r="63" spans="1:14" ht="15" customHeight="1" x14ac:dyDescent="0.25">
      <c r="A63" s="2" t="s">
        <v>69</v>
      </c>
      <c r="B63" s="6"/>
      <c r="C63" s="6"/>
      <c r="D63" s="6"/>
      <c r="E63" s="6"/>
      <c r="F63" s="6"/>
      <c r="G63" s="6"/>
      <c r="H63" s="6"/>
      <c r="I63" s="6"/>
      <c r="J63" s="6"/>
      <c r="K63" s="1"/>
      <c r="L63" s="6"/>
      <c r="M63" s="6"/>
      <c r="N63" s="6"/>
    </row>
    <row r="64" spans="1:14" ht="15" customHeight="1" x14ac:dyDescent="0.2">
      <c r="A64" s="5" t="s">
        <v>70</v>
      </c>
      <c r="B64" s="6">
        <v>0</v>
      </c>
      <c r="C64" s="6">
        <v>499</v>
      </c>
      <c r="D64" s="6">
        <v>499</v>
      </c>
      <c r="E64" s="6">
        <v>500</v>
      </c>
      <c r="F64" s="6">
        <v>500</v>
      </c>
      <c r="G64" s="6">
        <v>0</v>
      </c>
      <c r="H64" s="6">
        <v>749</v>
      </c>
      <c r="I64" s="6">
        <v>749</v>
      </c>
      <c r="J64" s="6">
        <v>750</v>
      </c>
      <c r="K64" s="1"/>
      <c r="L64" s="6">
        <f t="shared" ref="L64:L69" si="19">C64</f>
        <v>499</v>
      </c>
      <c r="M64" s="6">
        <f t="shared" ref="M64:M69" si="20">G64</f>
        <v>0</v>
      </c>
      <c r="N64" s="6">
        <f t="shared" ref="N64:N69" si="21">J64</f>
        <v>750</v>
      </c>
    </row>
    <row r="65" spans="1:14" ht="15" customHeight="1" x14ac:dyDescent="0.2">
      <c r="A65" s="5" t="s">
        <v>71</v>
      </c>
      <c r="B65" s="6">
        <v>886</v>
      </c>
      <c r="C65" s="6">
        <v>721</v>
      </c>
      <c r="D65" s="6">
        <v>652</v>
      </c>
      <c r="E65" s="6">
        <v>1038</v>
      </c>
      <c r="F65" s="6">
        <v>1002</v>
      </c>
      <c r="G65" s="6">
        <v>792</v>
      </c>
      <c r="H65" s="6">
        <v>670</v>
      </c>
      <c r="I65" s="6">
        <v>946</v>
      </c>
      <c r="J65" s="6">
        <v>1096</v>
      </c>
      <c r="K65" s="1"/>
      <c r="L65" s="6">
        <f t="shared" si="19"/>
        <v>721</v>
      </c>
      <c r="M65" s="6">
        <f t="shared" si="20"/>
        <v>792</v>
      </c>
      <c r="N65" s="6">
        <f t="shared" si="21"/>
        <v>1096</v>
      </c>
    </row>
    <row r="66" spans="1:14" ht="15" customHeight="1" x14ac:dyDescent="0.2">
      <c r="A66" s="5" t="s">
        <v>72</v>
      </c>
      <c r="B66" s="6">
        <v>689</v>
      </c>
      <c r="C66" s="6">
        <v>921</v>
      </c>
      <c r="D66" s="6">
        <v>413</v>
      </c>
      <c r="E66" s="6">
        <v>623</v>
      </c>
      <c r="F66" s="6">
        <v>747</v>
      </c>
      <c r="G66" s="6">
        <v>858</v>
      </c>
      <c r="H66" s="6">
        <v>479</v>
      </c>
      <c r="I66" s="6">
        <v>702</v>
      </c>
      <c r="J66" s="6">
        <v>766</v>
      </c>
      <c r="K66" s="1"/>
      <c r="L66" s="6">
        <f t="shared" si="19"/>
        <v>921</v>
      </c>
      <c r="M66" s="6">
        <f t="shared" si="20"/>
        <v>858</v>
      </c>
      <c r="N66" s="6">
        <f t="shared" si="21"/>
        <v>766</v>
      </c>
    </row>
    <row r="67" spans="1:14" ht="15" customHeight="1" x14ac:dyDescent="0.2">
      <c r="A67" s="5" t="s">
        <v>73</v>
      </c>
      <c r="B67" s="6">
        <v>843</v>
      </c>
      <c r="C67" s="6">
        <v>872</v>
      </c>
      <c r="D67" s="6">
        <v>892</v>
      </c>
      <c r="E67" s="6">
        <v>1025</v>
      </c>
      <c r="F67" s="6">
        <v>957</v>
      </c>
      <c r="G67" s="6">
        <v>1019</v>
      </c>
      <c r="H67" s="6">
        <v>1045</v>
      </c>
      <c r="I67" s="6">
        <v>1141</v>
      </c>
      <c r="J67" s="6">
        <v>1055</v>
      </c>
      <c r="K67" s="1"/>
      <c r="L67" s="6">
        <f t="shared" si="19"/>
        <v>872</v>
      </c>
      <c r="M67" s="6">
        <f t="shared" si="20"/>
        <v>1019</v>
      </c>
      <c r="N67" s="6">
        <f t="shared" si="21"/>
        <v>1055</v>
      </c>
    </row>
    <row r="68" spans="1:14" ht="15" customHeight="1" x14ac:dyDescent="0.2">
      <c r="A68" s="5" t="s">
        <v>74</v>
      </c>
      <c r="B68" s="6">
        <v>437</v>
      </c>
      <c r="C68" s="6">
        <v>8</v>
      </c>
      <c r="D68" s="6">
        <v>21</v>
      </c>
      <c r="E68" s="6">
        <v>0</v>
      </c>
      <c r="F68" s="6">
        <v>614</v>
      </c>
      <c r="G68" s="6">
        <v>0</v>
      </c>
      <c r="H68" s="6">
        <v>0</v>
      </c>
      <c r="I68" s="6">
        <v>82</v>
      </c>
      <c r="J68" s="6">
        <v>0</v>
      </c>
      <c r="K68" s="1"/>
      <c r="L68" s="6">
        <f t="shared" si="19"/>
        <v>8</v>
      </c>
      <c r="M68" s="6">
        <f t="shared" si="20"/>
        <v>0</v>
      </c>
      <c r="N68" s="6">
        <f t="shared" si="21"/>
        <v>0</v>
      </c>
    </row>
    <row r="69" spans="1:14" ht="15" customHeight="1" x14ac:dyDescent="0.2">
      <c r="A69" s="5" t="s">
        <v>75</v>
      </c>
      <c r="B69" s="6">
        <v>586</v>
      </c>
      <c r="C69" s="6">
        <v>549</v>
      </c>
      <c r="D69" s="6">
        <v>536</v>
      </c>
      <c r="E69" s="6">
        <v>659</v>
      </c>
      <c r="F69" s="6">
        <v>613</v>
      </c>
      <c r="G69" s="6">
        <v>625</v>
      </c>
      <c r="H69" s="6">
        <v>658</v>
      </c>
      <c r="I69" s="6">
        <v>810</v>
      </c>
      <c r="J69" s="6">
        <v>849</v>
      </c>
      <c r="K69" s="1"/>
      <c r="L69" s="6">
        <f t="shared" si="19"/>
        <v>549</v>
      </c>
      <c r="M69" s="6">
        <f t="shared" si="20"/>
        <v>625</v>
      </c>
      <c r="N69" s="6">
        <f t="shared" si="21"/>
        <v>849</v>
      </c>
    </row>
    <row r="70" spans="1:14" ht="15" customHeight="1" x14ac:dyDescent="0.25">
      <c r="A70" s="2" t="s">
        <v>76</v>
      </c>
      <c r="B70" s="11">
        <f t="shared" ref="B70:J70" si="22">SUM(B64:B69)</f>
        <v>3441</v>
      </c>
      <c r="C70" s="11">
        <f t="shared" si="22"/>
        <v>3570</v>
      </c>
      <c r="D70" s="11">
        <f t="shared" si="22"/>
        <v>3013</v>
      </c>
      <c r="E70" s="11">
        <f t="shared" si="22"/>
        <v>3845</v>
      </c>
      <c r="F70" s="11">
        <f t="shared" si="22"/>
        <v>4433</v>
      </c>
      <c r="G70" s="11">
        <f t="shared" si="22"/>
        <v>3294</v>
      </c>
      <c r="H70" s="11">
        <f t="shared" si="22"/>
        <v>3601</v>
      </c>
      <c r="I70" s="11">
        <f t="shared" si="22"/>
        <v>4430</v>
      </c>
      <c r="J70" s="11">
        <f t="shared" si="22"/>
        <v>4516</v>
      </c>
      <c r="K70" s="1"/>
      <c r="L70" s="11">
        <f>SUM(L64:L69)</f>
        <v>3570</v>
      </c>
      <c r="M70" s="11">
        <f>SUM(M64:M69)</f>
        <v>3294</v>
      </c>
      <c r="N70" s="11">
        <f>SUM(N64:N69)</f>
        <v>4516</v>
      </c>
    </row>
    <row r="71" spans="1:14" ht="15" customHeight="1" x14ac:dyDescent="0.2">
      <c r="A71" s="5" t="s">
        <v>77</v>
      </c>
      <c r="B71" s="6">
        <v>2722</v>
      </c>
      <c r="C71" s="6">
        <v>3921</v>
      </c>
      <c r="D71" s="6">
        <v>5606</v>
      </c>
      <c r="E71" s="6">
        <v>3334</v>
      </c>
      <c r="F71" s="6">
        <v>5221</v>
      </c>
      <c r="G71" s="6">
        <v>7076</v>
      </c>
      <c r="H71" s="6">
        <v>3918</v>
      </c>
      <c r="I71" s="6">
        <v>4414</v>
      </c>
      <c r="J71" s="6">
        <v>7760</v>
      </c>
      <c r="K71" s="1"/>
      <c r="L71" s="6">
        <f>C71</f>
        <v>3921</v>
      </c>
      <c r="M71" s="6">
        <f>G71</f>
        <v>7076</v>
      </c>
      <c r="N71" s="6">
        <f>J71</f>
        <v>7760</v>
      </c>
    </row>
    <row r="72" spans="1:14" ht="15" customHeight="1" x14ac:dyDescent="0.25">
      <c r="A72" s="2" t="s">
        <v>78</v>
      </c>
      <c r="B72" s="11">
        <f t="shared" ref="B72:J72" si="23">B70+B71</f>
        <v>6163</v>
      </c>
      <c r="C72" s="11">
        <f t="shared" si="23"/>
        <v>7491</v>
      </c>
      <c r="D72" s="11">
        <f t="shared" si="23"/>
        <v>8619</v>
      </c>
      <c r="E72" s="11">
        <f t="shared" si="23"/>
        <v>7179</v>
      </c>
      <c r="F72" s="11">
        <f t="shared" si="23"/>
        <v>9654</v>
      </c>
      <c r="G72" s="11">
        <f t="shared" si="23"/>
        <v>10370</v>
      </c>
      <c r="H72" s="11">
        <f t="shared" si="23"/>
        <v>7519</v>
      </c>
      <c r="I72" s="11">
        <f t="shared" si="23"/>
        <v>8844</v>
      </c>
      <c r="J72" s="11">
        <f t="shared" si="23"/>
        <v>12276</v>
      </c>
      <c r="K72" s="1"/>
      <c r="L72" s="11">
        <f>L70+L71</f>
        <v>7491</v>
      </c>
      <c r="M72" s="11">
        <f>M70+M71</f>
        <v>10370</v>
      </c>
      <c r="N72" s="11">
        <f>N70+N71</f>
        <v>12276</v>
      </c>
    </row>
    <row r="73" spans="1:14" ht="15" customHeight="1" x14ac:dyDescent="0.2">
      <c r="A73" s="5" t="s">
        <v>79</v>
      </c>
      <c r="B73" s="6">
        <v>5952</v>
      </c>
      <c r="C73" s="6">
        <v>5539</v>
      </c>
      <c r="D73" s="6">
        <v>5625</v>
      </c>
      <c r="E73" s="6">
        <v>5760</v>
      </c>
      <c r="F73" s="6">
        <v>5906</v>
      </c>
      <c r="G73" s="6">
        <v>5973</v>
      </c>
      <c r="H73" s="6">
        <v>5391</v>
      </c>
      <c r="I73" s="6">
        <v>5411</v>
      </c>
      <c r="J73" s="6">
        <v>5412</v>
      </c>
      <c r="K73" s="1"/>
      <c r="L73" s="6">
        <f>C73</f>
        <v>5539</v>
      </c>
      <c r="M73" s="6">
        <f>G73</f>
        <v>5973</v>
      </c>
      <c r="N73" s="6">
        <f>J73</f>
        <v>5412</v>
      </c>
    </row>
    <row r="74" spans="1:14" ht="15" customHeight="1" x14ac:dyDescent="0.2">
      <c r="A74" s="5" t="s">
        <v>80</v>
      </c>
      <c r="B74" s="6">
        <v>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1"/>
      <c r="L74" s="6">
        <f>C74</f>
        <v>0</v>
      </c>
      <c r="M74" s="6">
        <f>G74</f>
        <v>0</v>
      </c>
      <c r="N74" s="6">
        <f>J74</f>
        <v>0</v>
      </c>
    </row>
    <row r="75" spans="1:14" ht="15" customHeight="1" x14ac:dyDescent="0.2">
      <c r="A75" s="5" t="s">
        <v>81</v>
      </c>
      <c r="B75" s="6">
        <v>468</v>
      </c>
      <c r="C75" s="6">
        <v>458</v>
      </c>
      <c r="D75" s="6">
        <v>592</v>
      </c>
      <c r="E75" s="6">
        <v>573</v>
      </c>
      <c r="F75" s="6">
        <v>614</v>
      </c>
      <c r="G75" s="6">
        <v>597</v>
      </c>
      <c r="H75" s="6">
        <v>643</v>
      </c>
      <c r="I75" s="6">
        <v>646</v>
      </c>
      <c r="J75" s="6">
        <v>655</v>
      </c>
      <c r="K75" s="1"/>
      <c r="L75" s="6">
        <f>C75</f>
        <v>458</v>
      </c>
      <c r="M75" s="6">
        <f>G75</f>
        <v>597</v>
      </c>
      <c r="N75" s="6">
        <f>J75</f>
        <v>655</v>
      </c>
    </row>
    <row r="76" spans="1:14" ht="15" customHeight="1" x14ac:dyDescent="0.2">
      <c r="A76" s="5" t="s">
        <v>82</v>
      </c>
      <c r="B76" s="6">
        <v>217</v>
      </c>
      <c r="C76" s="6">
        <v>208</v>
      </c>
      <c r="D76" s="6">
        <v>221</v>
      </c>
      <c r="E76" s="6">
        <v>221</v>
      </c>
      <c r="F76" s="6">
        <v>294</v>
      </c>
      <c r="G76" s="6">
        <v>308</v>
      </c>
      <c r="H76" s="6">
        <v>316</v>
      </c>
      <c r="I76" s="6">
        <v>326</v>
      </c>
      <c r="J76" s="6">
        <v>358</v>
      </c>
      <c r="K76" s="1"/>
      <c r="L76" s="6">
        <f>C76</f>
        <v>208</v>
      </c>
      <c r="M76" s="6">
        <f>G76</f>
        <v>308</v>
      </c>
      <c r="N76" s="6">
        <f>J76</f>
        <v>358</v>
      </c>
    </row>
    <row r="77" spans="1:14" ht="15" customHeight="1" x14ac:dyDescent="0.25">
      <c r="A77" s="2" t="s">
        <v>83</v>
      </c>
      <c r="B77" s="11">
        <f t="shared" ref="B77:J77" si="24">B72+SUM(B73:B76)</f>
        <v>12803</v>
      </c>
      <c r="C77" s="11">
        <f t="shared" si="24"/>
        <v>13696</v>
      </c>
      <c r="D77" s="11">
        <f t="shared" si="24"/>
        <v>15057</v>
      </c>
      <c r="E77" s="11">
        <f t="shared" si="24"/>
        <v>13733</v>
      </c>
      <c r="F77" s="11">
        <f t="shared" si="24"/>
        <v>16468</v>
      </c>
      <c r="G77" s="11">
        <f t="shared" si="24"/>
        <v>17248</v>
      </c>
      <c r="H77" s="11">
        <f t="shared" si="24"/>
        <v>13869</v>
      </c>
      <c r="I77" s="11">
        <f t="shared" si="24"/>
        <v>15227</v>
      </c>
      <c r="J77" s="11">
        <f t="shared" si="24"/>
        <v>18701</v>
      </c>
      <c r="K77" s="1"/>
      <c r="L77" s="11">
        <f>L72+SUM(L73:L76)</f>
        <v>13696</v>
      </c>
      <c r="M77" s="11">
        <f>M72+SUM(M73:M76)</f>
        <v>17248</v>
      </c>
      <c r="N77" s="11">
        <f>N72+SUM(N73:N76)</f>
        <v>18701</v>
      </c>
    </row>
    <row r="78" spans="1:14" ht="15" customHeight="1" x14ac:dyDescent="0.25">
      <c r="A78" s="2" t="s">
        <v>84</v>
      </c>
      <c r="B78" s="6"/>
      <c r="C78" s="6"/>
      <c r="D78" s="6"/>
      <c r="E78" s="6"/>
      <c r="F78" s="6"/>
      <c r="G78" s="6"/>
      <c r="H78" s="6"/>
      <c r="I78" s="6"/>
      <c r="J78" s="6"/>
      <c r="K78" s="1"/>
      <c r="L78" s="6"/>
      <c r="M78" s="6"/>
      <c r="N78" s="6"/>
    </row>
    <row r="79" spans="1:14" ht="15" customHeight="1" x14ac:dyDescent="0.2">
      <c r="A79" s="5" t="s">
        <v>85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1"/>
      <c r="L79" s="6">
        <f>C79</f>
        <v>0</v>
      </c>
      <c r="M79" s="6">
        <f>G79</f>
        <v>0</v>
      </c>
      <c r="N79" s="6">
        <f>J79</f>
        <v>0</v>
      </c>
    </row>
    <row r="80" spans="1:14" ht="15" customHeight="1" x14ac:dyDescent="0.2">
      <c r="A80" s="5" t="s">
        <v>86</v>
      </c>
      <c r="B80" s="6">
        <v>20040</v>
      </c>
      <c r="C80" s="6">
        <v>20251</v>
      </c>
      <c r="D80" s="6">
        <v>20619</v>
      </c>
      <c r="E80" s="6">
        <v>20995</v>
      </c>
      <c r="F80" s="6">
        <v>21380</v>
      </c>
      <c r="G80" s="6">
        <v>21635</v>
      </c>
      <c r="H80" s="6">
        <v>21996</v>
      </c>
      <c r="I80" s="6">
        <v>22336</v>
      </c>
      <c r="J80" s="6">
        <v>22745</v>
      </c>
      <c r="K80" s="1"/>
      <c r="L80" s="6">
        <f>C80</f>
        <v>20251</v>
      </c>
      <c r="M80" s="6">
        <f>G80</f>
        <v>21635</v>
      </c>
      <c r="N80" s="6">
        <f>J80</f>
        <v>22745</v>
      </c>
    </row>
    <row r="81" spans="1:14" ht="15" customHeight="1" x14ac:dyDescent="0.2">
      <c r="A81" s="5" t="s">
        <v>87</v>
      </c>
      <c r="B81" s="6">
        <v>-18495</v>
      </c>
      <c r="C81" s="6">
        <v>-18750</v>
      </c>
      <c r="D81" s="6">
        <v>-19320</v>
      </c>
      <c r="E81" s="6">
        <v>-20041</v>
      </c>
      <c r="F81" s="6">
        <v>-20795</v>
      </c>
      <c r="G81" s="6">
        <v>-21543</v>
      </c>
      <c r="H81" s="6">
        <v>-22394</v>
      </c>
      <c r="I81" s="6">
        <v>-23355</v>
      </c>
      <c r="J81" s="6">
        <v>-24916</v>
      </c>
      <c r="K81" s="1"/>
      <c r="L81" s="6">
        <f>C81</f>
        <v>-18750</v>
      </c>
      <c r="M81" s="6">
        <f>G81</f>
        <v>-21543</v>
      </c>
      <c r="N81" s="6">
        <f>J81</f>
        <v>-24916</v>
      </c>
    </row>
    <row r="82" spans="1:14" ht="15" customHeight="1" x14ac:dyDescent="0.2">
      <c r="A82" s="5" t="s">
        <v>88</v>
      </c>
      <c r="B82" s="6">
        <v>-58</v>
      </c>
      <c r="C82" s="6">
        <v>-54</v>
      </c>
      <c r="D82" s="6">
        <v>-54</v>
      </c>
      <c r="E82" s="6">
        <v>-64</v>
      </c>
      <c r="F82" s="6">
        <v>-46</v>
      </c>
      <c r="G82" s="6">
        <v>-50</v>
      </c>
      <c r="H82" s="6">
        <v>-51</v>
      </c>
      <c r="I82" s="6">
        <v>-49</v>
      </c>
      <c r="J82" s="6">
        <v>-54</v>
      </c>
      <c r="K82" s="1"/>
      <c r="L82" s="6">
        <f>C82</f>
        <v>-54</v>
      </c>
      <c r="M82" s="6">
        <f>G82</f>
        <v>-50</v>
      </c>
      <c r="N82" s="6">
        <f>J82</f>
        <v>-54</v>
      </c>
    </row>
    <row r="83" spans="1:14" ht="15" customHeight="1" x14ac:dyDescent="0.2">
      <c r="A83" s="5" t="s">
        <v>89</v>
      </c>
      <c r="B83" s="6">
        <v>17270</v>
      </c>
      <c r="C83" s="6">
        <v>16989</v>
      </c>
      <c r="D83" s="6">
        <v>16891</v>
      </c>
      <c r="E83" s="6">
        <v>17059</v>
      </c>
      <c r="F83" s="6">
        <v>19586</v>
      </c>
      <c r="G83" s="6">
        <v>19668</v>
      </c>
      <c r="H83" s="6">
        <v>19771</v>
      </c>
      <c r="I83" s="6">
        <v>20123</v>
      </c>
      <c r="J83" s="6">
        <v>22854</v>
      </c>
      <c r="K83" s="1"/>
      <c r="L83" s="6">
        <f>C83</f>
        <v>16989</v>
      </c>
      <c r="M83" s="6">
        <f>G83</f>
        <v>19668</v>
      </c>
      <c r="N83" s="6">
        <f>J83</f>
        <v>22854</v>
      </c>
    </row>
    <row r="84" spans="1:14" ht="15" customHeight="1" x14ac:dyDescent="0.25">
      <c r="A84" s="2" t="s">
        <v>90</v>
      </c>
      <c r="B84" s="11">
        <f t="shared" ref="B84:J84" si="25">SUM(B79:B83)</f>
        <v>18757</v>
      </c>
      <c r="C84" s="11">
        <f t="shared" si="25"/>
        <v>18436</v>
      </c>
      <c r="D84" s="11">
        <f t="shared" si="25"/>
        <v>18136</v>
      </c>
      <c r="E84" s="11">
        <f t="shared" si="25"/>
        <v>17949</v>
      </c>
      <c r="F84" s="11">
        <f t="shared" si="25"/>
        <v>20125</v>
      </c>
      <c r="G84" s="11">
        <f t="shared" si="25"/>
        <v>19710</v>
      </c>
      <c r="H84" s="11">
        <f t="shared" si="25"/>
        <v>19322</v>
      </c>
      <c r="I84" s="11">
        <f t="shared" si="25"/>
        <v>19055</v>
      </c>
      <c r="J84" s="11">
        <f t="shared" si="25"/>
        <v>20629</v>
      </c>
      <c r="K84" s="1"/>
      <c r="L84" s="11">
        <f>SUM(L79:L83)</f>
        <v>18436</v>
      </c>
      <c r="M84" s="11">
        <f>SUM(M79:M83)</f>
        <v>19710</v>
      </c>
      <c r="N84" s="11">
        <f>SUM(N79:N83)</f>
        <v>20629</v>
      </c>
    </row>
    <row r="85" spans="1:14" ht="15" customHeight="1" x14ac:dyDescent="0.25">
      <c r="A85" s="2" t="s">
        <v>91</v>
      </c>
      <c r="B85" s="11">
        <f t="shared" ref="B85:J85" si="26">B77+B84</f>
        <v>31560</v>
      </c>
      <c r="C85" s="11">
        <f t="shared" si="26"/>
        <v>32132</v>
      </c>
      <c r="D85" s="11">
        <f t="shared" si="26"/>
        <v>33193</v>
      </c>
      <c r="E85" s="11">
        <f t="shared" si="26"/>
        <v>31682</v>
      </c>
      <c r="F85" s="11">
        <f t="shared" si="26"/>
        <v>36593</v>
      </c>
      <c r="G85" s="11">
        <f t="shared" si="26"/>
        <v>36958</v>
      </c>
      <c r="H85" s="11">
        <f t="shared" si="26"/>
        <v>33191</v>
      </c>
      <c r="I85" s="11">
        <f t="shared" si="26"/>
        <v>34282</v>
      </c>
      <c r="J85" s="11">
        <f t="shared" si="26"/>
        <v>39330</v>
      </c>
      <c r="K85" s="1"/>
      <c r="L85" s="11">
        <f>L77+L84</f>
        <v>32132</v>
      </c>
      <c r="M85" s="11">
        <f>M77+M84</f>
        <v>36958</v>
      </c>
      <c r="N85" s="11">
        <f>N77+N84</f>
        <v>39330</v>
      </c>
    </row>
    <row r="86" spans="1:14" ht="15" customHeight="1" x14ac:dyDescent="0.25">
      <c r="A86" s="2" t="s">
        <v>92</v>
      </c>
      <c r="B86" s="12">
        <f t="shared" ref="B86:J86" si="27">B60-B85</f>
        <v>0</v>
      </c>
      <c r="C86" s="12">
        <f t="shared" si="27"/>
        <v>0</v>
      </c>
      <c r="D86" s="12">
        <f t="shared" si="27"/>
        <v>0</v>
      </c>
      <c r="E86" s="12">
        <f t="shared" si="27"/>
        <v>0</v>
      </c>
      <c r="F86" s="12">
        <f t="shared" si="27"/>
        <v>0</v>
      </c>
      <c r="G86" s="12">
        <f t="shared" si="27"/>
        <v>0</v>
      </c>
      <c r="H86" s="12">
        <f t="shared" si="27"/>
        <v>0</v>
      </c>
      <c r="I86" s="12">
        <f t="shared" si="27"/>
        <v>0</v>
      </c>
      <c r="J86" s="12">
        <f t="shared" si="27"/>
        <v>0</v>
      </c>
      <c r="K86" s="9"/>
      <c r="L86" s="12">
        <f>L60-L85</f>
        <v>0</v>
      </c>
      <c r="M86" s="12">
        <f>M60-M85</f>
        <v>0</v>
      </c>
      <c r="N86" s="12">
        <f>N60-N85</f>
        <v>0</v>
      </c>
    </row>
    <row r="87" spans="1:14" ht="15" customHeight="1" x14ac:dyDescent="0.2">
      <c r="A87" s="1"/>
      <c r="B87" s="4"/>
      <c r="C87" s="4"/>
      <c r="D87" s="4"/>
      <c r="E87" s="4"/>
      <c r="F87" s="4"/>
      <c r="G87" s="4"/>
      <c r="H87" s="4"/>
      <c r="I87" s="4"/>
      <c r="J87" s="4"/>
      <c r="K87" s="1"/>
      <c r="L87" s="4"/>
      <c r="M87" s="4"/>
      <c r="N87" s="4"/>
    </row>
    <row r="88" spans="1:14" ht="15" customHeight="1" x14ac:dyDescent="0.25">
      <c r="A88" s="2" t="s">
        <v>93</v>
      </c>
      <c r="B88" s="4"/>
      <c r="C88" s="4"/>
      <c r="D88" s="4"/>
      <c r="E88" s="4"/>
      <c r="F88" s="4"/>
      <c r="G88" s="4"/>
      <c r="H88" s="4"/>
      <c r="I88" s="4"/>
      <c r="J88" s="4"/>
      <c r="K88" s="1"/>
      <c r="L88" s="4"/>
      <c r="M88" s="4"/>
      <c r="N88" s="4"/>
    </row>
    <row r="89" spans="1:14" ht="15" customHeight="1" x14ac:dyDescent="0.25">
      <c r="A89" s="2" t="s">
        <v>94</v>
      </c>
      <c r="B89" s="4"/>
      <c r="C89" s="4"/>
      <c r="D89" s="4"/>
      <c r="E89" s="4"/>
      <c r="F89" s="4"/>
      <c r="G89" s="4"/>
      <c r="H89" s="4"/>
      <c r="I89" s="4"/>
      <c r="J89" s="4"/>
      <c r="K89" s="1"/>
      <c r="L89" s="4"/>
      <c r="M89" s="4"/>
      <c r="N89" s="4"/>
    </row>
    <row r="90" spans="1:14" ht="15" customHeight="1" x14ac:dyDescent="0.25">
      <c r="A90" s="5" t="s">
        <v>37</v>
      </c>
      <c r="B90" s="11">
        <f t="shared" ref="B90:J90" si="28">B27</f>
        <v>2389</v>
      </c>
      <c r="C90" s="11">
        <f t="shared" si="28"/>
        <v>-20</v>
      </c>
      <c r="D90" s="11">
        <f t="shared" si="28"/>
        <v>197</v>
      </c>
      <c r="E90" s="11">
        <f t="shared" si="28"/>
        <v>471</v>
      </c>
      <c r="F90" s="11">
        <f t="shared" si="28"/>
        <v>2820</v>
      </c>
      <c r="G90" s="11">
        <f t="shared" si="28"/>
        <v>381</v>
      </c>
      <c r="H90" s="11">
        <f t="shared" si="28"/>
        <v>446</v>
      </c>
      <c r="I90" s="11">
        <f t="shared" si="28"/>
        <v>693</v>
      </c>
      <c r="J90" s="11">
        <f t="shared" si="28"/>
        <v>3064</v>
      </c>
      <c r="K90" s="1"/>
      <c r="L90" s="11">
        <f>L27</f>
        <v>2963</v>
      </c>
      <c r="M90" s="11">
        <f>M27</f>
        <v>3869</v>
      </c>
      <c r="N90" s="11">
        <f>N27</f>
        <v>4584</v>
      </c>
    </row>
    <row r="91" spans="1:14" ht="15" customHeight="1" x14ac:dyDescent="0.2">
      <c r="A91" s="5" t="s">
        <v>95</v>
      </c>
      <c r="B91" s="6">
        <v>42</v>
      </c>
      <c r="C91" s="6">
        <v>48</v>
      </c>
      <c r="D91" s="6">
        <v>44</v>
      </c>
      <c r="E91" s="6">
        <v>42</v>
      </c>
      <c r="F91" s="6">
        <v>43</v>
      </c>
      <c r="G91" s="6">
        <v>43</v>
      </c>
      <c r="H91" s="6">
        <v>44</v>
      </c>
      <c r="I91" s="6">
        <v>44</v>
      </c>
      <c r="J91" s="6">
        <v>45</v>
      </c>
      <c r="K91" s="1"/>
      <c r="L91" s="6">
        <v>159</v>
      </c>
      <c r="M91" s="6">
        <v>172</v>
      </c>
      <c r="N91" s="6">
        <f t="shared" ref="N91:N97" si="29">SUM(G91:J91)</f>
        <v>176</v>
      </c>
    </row>
    <row r="92" spans="1:14" ht="15" customHeight="1" x14ac:dyDescent="0.2">
      <c r="A92" s="5" t="s">
        <v>96</v>
      </c>
      <c r="B92" s="6">
        <v>156</v>
      </c>
      <c r="C92" s="6">
        <v>160</v>
      </c>
      <c r="D92" s="6">
        <v>157</v>
      </c>
      <c r="E92" s="6">
        <v>157</v>
      </c>
      <c r="F92" s="6">
        <v>158</v>
      </c>
      <c r="G92" s="6">
        <v>165</v>
      </c>
      <c r="H92" s="6">
        <v>165</v>
      </c>
      <c r="I92" s="6">
        <v>165</v>
      </c>
      <c r="J92" s="6">
        <v>165</v>
      </c>
      <c r="K92" s="1"/>
      <c r="L92" s="6">
        <v>630</v>
      </c>
      <c r="M92" s="6">
        <v>637</v>
      </c>
      <c r="N92" s="6">
        <f t="shared" si="29"/>
        <v>660</v>
      </c>
    </row>
    <row r="93" spans="1:14" ht="15" customHeight="1" x14ac:dyDescent="0.2">
      <c r="A93" s="5" t="s">
        <v>97</v>
      </c>
      <c r="B93" s="6">
        <v>20</v>
      </c>
      <c r="C93" s="6">
        <v>18</v>
      </c>
      <c r="D93" s="6">
        <v>19</v>
      </c>
      <c r="E93" s="6">
        <v>18</v>
      </c>
      <c r="F93" s="6">
        <v>19</v>
      </c>
      <c r="G93" s="6">
        <v>19</v>
      </c>
      <c r="H93" s="6">
        <v>23</v>
      </c>
      <c r="I93" s="6">
        <v>26</v>
      </c>
      <c r="J93" s="6">
        <v>28</v>
      </c>
      <c r="K93" s="1"/>
      <c r="L93" s="6">
        <v>81</v>
      </c>
      <c r="M93" s="6">
        <v>75</v>
      </c>
      <c r="N93" s="6">
        <f t="shared" si="29"/>
        <v>96</v>
      </c>
    </row>
    <row r="94" spans="1:14" ht="15" customHeight="1" x14ac:dyDescent="0.2">
      <c r="A94" s="5" t="s">
        <v>98</v>
      </c>
      <c r="B94" s="6">
        <v>451</v>
      </c>
      <c r="C94" s="6">
        <v>519</v>
      </c>
      <c r="D94" s="6">
        <v>511</v>
      </c>
      <c r="E94" s="6">
        <v>498</v>
      </c>
      <c r="F94" s="6">
        <v>469</v>
      </c>
      <c r="G94" s="6">
        <v>490</v>
      </c>
      <c r="H94" s="6">
        <v>543</v>
      </c>
      <c r="I94" s="6">
        <v>521</v>
      </c>
      <c r="J94" s="6">
        <v>485</v>
      </c>
      <c r="K94" s="1"/>
      <c r="L94" s="6">
        <v>1940</v>
      </c>
      <c r="M94" s="6">
        <v>1968</v>
      </c>
      <c r="N94" s="6">
        <f t="shared" si="29"/>
        <v>2039</v>
      </c>
    </row>
    <row r="95" spans="1:14" ht="15" customHeight="1" x14ac:dyDescent="0.2">
      <c r="A95" s="5" t="s">
        <v>99</v>
      </c>
      <c r="B95" s="6">
        <v>-51</v>
      </c>
      <c r="C95" s="6">
        <v>-193</v>
      </c>
      <c r="D95" s="6">
        <v>-91</v>
      </c>
      <c r="E95" s="6">
        <v>-136</v>
      </c>
      <c r="F95" s="6">
        <v>-51</v>
      </c>
      <c r="G95" s="6">
        <v>-157</v>
      </c>
      <c r="H95" s="6">
        <v>58</v>
      </c>
      <c r="I95" s="6">
        <v>79</v>
      </c>
      <c r="J95" s="6">
        <v>1013</v>
      </c>
      <c r="K95" s="1"/>
      <c r="L95" s="6">
        <v>-554</v>
      </c>
      <c r="M95" s="6">
        <v>-435</v>
      </c>
      <c r="N95" s="6">
        <f t="shared" si="29"/>
        <v>993</v>
      </c>
    </row>
    <row r="96" spans="1:14" ht="15" customHeight="1" x14ac:dyDescent="0.2">
      <c r="A96" s="5" t="s">
        <v>100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105</v>
      </c>
      <c r="J96" s="6">
        <v>84</v>
      </c>
      <c r="K96" s="1"/>
      <c r="L96" s="6">
        <v>0</v>
      </c>
      <c r="M96" s="6">
        <v>0</v>
      </c>
      <c r="N96" s="6">
        <f t="shared" si="29"/>
        <v>189</v>
      </c>
    </row>
    <row r="97" spans="1:14" ht="15" customHeight="1" x14ac:dyDescent="0.2">
      <c r="A97" s="5" t="s">
        <v>101</v>
      </c>
      <c r="B97" s="6">
        <v>14</v>
      </c>
      <c r="C97" s="6">
        <v>23</v>
      </c>
      <c r="D97" s="6">
        <v>63</v>
      </c>
      <c r="E97" s="6">
        <v>36</v>
      </c>
      <c r="F97" s="6">
        <v>15</v>
      </c>
      <c r="G97" s="6">
        <v>13</v>
      </c>
      <c r="H97" s="6">
        <v>-6</v>
      </c>
      <c r="I97" s="6">
        <v>-76</v>
      </c>
      <c r="J97" s="6">
        <v>-68</v>
      </c>
      <c r="K97" s="1"/>
      <c r="L97" s="6">
        <v>92</v>
      </c>
      <c r="M97" s="6">
        <v>127</v>
      </c>
      <c r="N97" s="6">
        <f t="shared" si="29"/>
        <v>-137</v>
      </c>
    </row>
    <row r="98" spans="1:14" ht="15" customHeight="1" x14ac:dyDescent="0.25">
      <c r="A98" s="2" t="s">
        <v>102</v>
      </c>
      <c r="B98" s="11">
        <f t="shared" ref="B98:J98" si="30">SUM(B91:B97)</f>
        <v>632</v>
      </c>
      <c r="C98" s="11">
        <f t="shared" si="30"/>
        <v>575</v>
      </c>
      <c r="D98" s="11">
        <f t="shared" si="30"/>
        <v>703</v>
      </c>
      <c r="E98" s="11">
        <f t="shared" si="30"/>
        <v>615</v>
      </c>
      <c r="F98" s="11">
        <f t="shared" si="30"/>
        <v>653</v>
      </c>
      <c r="G98" s="11">
        <f t="shared" si="30"/>
        <v>573</v>
      </c>
      <c r="H98" s="11">
        <f t="shared" si="30"/>
        <v>827</v>
      </c>
      <c r="I98" s="11">
        <f t="shared" si="30"/>
        <v>864</v>
      </c>
      <c r="J98" s="11">
        <f t="shared" si="30"/>
        <v>1752</v>
      </c>
      <c r="K98" s="1"/>
      <c r="L98" s="11">
        <f>SUM(L91:L97)</f>
        <v>2348</v>
      </c>
      <c r="M98" s="11">
        <f>SUM(M91:M97)</f>
        <v>2544</v>
      </c>
      <c r="N98" s="11">
        <f>SUM(N91:N97)</f>
        <v>4016</v>
      </c>
    </row>
    <row r="99" spans="1:14" ht="15" customHeight="1" x14ac:dyDescent="0.2">
      <c r="A99" s="5" t="s">
        <v>103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1"/>
      <c r="L99" s="6">
        <v>-96</v>
      </c>
      <c r="M99" s="6">
        <v>0</v>
      </c>
      <c r="N99" s="6">
        <f>SUM(G99:J99)</f>
        <v>0</v>
      </c>
    </row>
    <row r="100" spans="1:14" ht="15" customHeight="1" x14ac:dyDescent="0.2">
      <c r="A100" s="5" t="s">
        <v>104</v>
      </c>
      <c r="B100" s="6">
        <v>22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1"/>
      <c r="L100" s="6">
        <v>98</v>
      </c>
      <c r="M100" s="6">
        <v>0</v>
      </c>
      <c r="N100" s="6">
        <f>SUM(G100:J100)</f>
        <v>0</v>
      </c>
    </row>
    <row r="101" spans="1:14" ht="15" customHeight="1" x14ac:dyDescent="0.25">
      <c r="A101" s="2" t="s">
        <v>105</v>
      </c>
      <c r="B101" s="6"/>
      <c r="C101" s="6"/>
      <c r="D101" s="6"/>
      <c r="E101" s="6"/>
      <c r="F101" s="6"/>
      <c r="G101" s="6"/>
      <c r="H101" s="6"/>
      <c r="I101" s="6"/>
      <c r="J101" s="6"/>
      <c r="K101" s="1"/>
      <c r="L101" s="6"/>
      <c r="M101" s="6"/>
      <c r="N101" s="6"/>
    </row>
    <row r="102" spans="1:14" ht="15" customHeight="1" x14ac:dyDescent="0.2">
      <c r="A102" s="5" t="s">
        <v>106</v>
      </c>
      <c r="B102" s="6">
        <v>138</v>
      </c>
      <c r="C102" s="6">
        <v>332</v>
      </c>
      <c r="D102" s="6">
        <v>31</v>
      </c>
      <c r="E102" s="6">
        <v>-591</v>
      </c>
      <c r="F102" s="6">
        <v>293</v>
      </c>
      <c r="G102" s="6">
        <v>196</v>
      </c>
      <c r="H102" s="6">
        <v>-49</v>
      </c>
      <c r="I102" s="6">
        <v>-596</v>
      </c>
      <c r="J102" s="6">
        <v>342</v>
      </c>
      <c r="K102" s="1"/>
      <c r="L102" s="6">
        <v>-52</v>
      </c>
      <c r="M102" s="6">
        <v>-71</v>
      </c>
      <c r="N102" s="6">
        <f t="shared" ref="N102:N110" si="31">SUM(G102:J102)</f>
        <v>-107</v>
      </c>
    </row>
    <row r="103" spans="1:14" ht="15" customHeight="1" x14ac:dyDescent="0.2">
      <c r="A103" s="5" t="s">
        <v>55</v>
      </c>
      <c r="B103" s="6">
        <v>122</v>
      </c>
      <c r="C103" s="6">
        <v>-73</v>
      </c>
      <c r="D103" s="6">
        <v>51</v>
      </c>
      <c r="E103" s="6">
        <v>-64</v>
      </c>
      <c r="F103" s="6">
        <v>82</v>
      </c>
      <c r="G103" s="6">
        <v>-42</v>
      </c>
      <c r="H103" s="6">
        <v>19</v>
      </c>
      <c r="I103" s="6">
        <v>-52</v>
      </c>
      <c r="J103" s="6">
        <v>31</v>
      </c>
      <c r="K103" s="1"/>
      <c r="L103" s="6">
        <v>-48</v>
      </c>
      <c r="M103" s="6">
        <v>27</v>
      </c>
      <c r="N103" s="6">
        <f t="shared" si="31"/>
        <v>-44</v>
      </c>
    </row>
    <row r="104" spans="1:14" ht="15" customHeight="1" x14ac:dyDescent="0.2">
      <c r="A104" s="5" t="s">
        <v>107</v>
      </c>
      <c r="B104" s="6">
        <v>22</v>
      </c>
      <c r="C104" s="6">
        <v>-48</v>
      </c>
      <c r="D104" s="6">
        <v>-27</v>
      </c>
      <c r="E104" s="6">
        <v>-181</v>
      </c>
      <c r="F104" s="6">
        <v>-19</v>
      </c>
      <c r="G104" s="6">
        <v>-56</v>
      </c>
      <c r="H104" s="6">
        <v>-119</v>
      </c>
      <c r="I104" s="6">
        <v>-85</v>
      </c>
      <c r="J104" s="6">
        <v>56</v>
      </c>
      <c r="K104" s="1"/>
      <c r="L104" s="6">
        <v>-30</v>
      </c>
      <c r="M104" s="6">
        <v>-283</v>
      </c>
      <c r="N104" s="6">
        <f t="shared" si="31"/>
        <v>-204</v>
      </c>
    </row>
    <row r="105" spans="1:14" ht="15" customHeight="1" x14ac:dyDescent="0.2">
      <c r="A105" s="5" t="s">
        <v>71</v>
      </c>
      <c r="B105" s="6">
        <v>135</v>
      </c>
      <c r="C105" s="6">
        <v>-153</v>
      </c>
      <c r="D105" s="6">
        <v>-75</v>
      </c>
      <c r="E105" s="6">
        <v>394</v>
      </c>
      <c r="F105" s="6">
        <v>-34</v>
      </c>
      <c r="G105" s="6">
        <v>-212</v>
      </c>
      <c r="H105" s="6">
        <v>-135</v>
      </c>
      <c r="I105" s="6">
        <v>266</v>
      </c>
      <c r="J105" s="6">
        <v>150</v>
      </c>
      <c r="K105" s="1"/>
      <c r="L105" s="6">
        <v>133</v>
      </c>
      <c r="M105" s="6">
        <v>73</v>
      </c>
      <c r="N105" s="6">
        <f t="shared" si="31"/>
        <v>69</v>
      </c>
    </row>
    <row r="106" spans="1:14" ht="15" customHeight="1" x14ac:dyDescent="0.2">
      <c r="A106" s="5" t="s">
        <v>72</v>
      </c>
      <c r="B106" s="6">
        <v>139</v>
      </c>
      <c r="C106" s="6">
        <v>237</v>
      </c>
      <c r="D106" s="6">
        <v>-507</v>
      </c>
      <c r="E106" s="6">
        <v>207</v>
      </c>
      <c r="F106" s="6">
        <v>127</v>
      </c>
      <c r="G106" s="6">
        <v>109</v>
      </c>
      <c r="H106" s="6">
        <v>-378</v>
      </c>
      <c r="I106" s="6">
        <v>213</v>
      </c>
      <c r="J106" s="6">
        <v>63</v>
      </c>
      <c r="K106" s="1"/>
      <c r="L106" s="6">
        <v>257</v>
      </c>
      <c r="M106" s="6">
        <v>-64</v>
      </c>
      <c r="N106" s="6">
        <f t="shared" si="31"/>
        <v>7</v>
      </c>
    </row>
    <row r="107" spans="1:14" ht="15" customHeight="1" x14ac:dyDescent="0.2">
      <c r="A107" s="5" t="s">
        <v>73</v>
      </c>
      <c r="B107" s="6">
        <v>-42</v>
      </c>
      <c r="C107" s="6">
        <v>30</v>
      </c>
      <c r="D107" s="6">
        <v>19</v>
      </c>
      <c r="E107" s="6">
        <v>135</v>
      </c>
      <c r="F107" s="6">
        <v>-70</v>
      </c>
      <c r="G107" s="6">
        <v>58</v>
      </c>
      <c r="H107" s="6">
        <v>25</v>
      </c>
      <c r="I107" s="6">
        <v>94</v>
      </c>
      <c r="J107" s="6">
        <v>-86</v>
      </c>
      <c r="K107" s="1"/>
      <c r="L107" s="6">
        <v>-49</v>
      </c>
      <c r="M107" s="6">
        <v>142</v>
      </c>
      <c r="N107" s="6">
        <f t="shared" si="31"/>
        <v>91</v>
      </c>
    </row>
    <row r="108" spans="1:14" ht="15" customHeight="1" x14ac:dyDescent="0.2">
      <c r="A108" s="5" t="s">
        <v>74</v>
      </c>
      <c r="B108" s="6">
        <v>435</v>
      </c>
      <c r="C108" s="6">
        <v>-429</v>
      </c>
      <c r="D108" s="6">
        <v>12</v>
      </c>
      <c r="E108" s="6">
        <v>10</v>
      </c>
      <c r="F108" s="6">
        <v>584</v>
      </c>
      <c r="G108" s="6">
        <v>-606</v>
      </c>
      <c r="H108" s="6">
        <v>0</v>
      </c>
      <c r="I108" s="6">
        <v>79</v>
      </c>
      <c r="J108" s="6">
        <v>-79</v>
      </c>
      <c r="K108" s="1"/>
      <c r="L108" s="6">
        <v>-691</v>
      </c>
      <c r="M108" s="6">
        <v>0</v>
      </c>
      <c r="N108" s="6">
        <f t="shared" si="31"/>
        <v>-606</v>
      </c>
    </row>
    <row r="109" spans="1:14" ht="15" customHeight="1" x14ac:dyDescent="0.2">
      <c r="A109" s="5" t="s">
        <v>81</v>
      </c>
      <c r="B109" s="6">
        <v>-12</v>
      </c>
      <c r="C109" s="6">
        <v>-26</v>
      </c>
      <c r="D109" s="6">
        <v>-22</v>
      </c>
      <c r="E109" s="6">
        <v>-24</v>
      </c>
      <c r="F109" s="6">
        <v>-13</v>
      </c>
      <c r="G109" s="6">
        <v>-18</v>
      </c>
      <c r="H109" s="6">
        <v>-23</v>
      </c>
      <c r="I109" s="6">
        <v>-16</v>
      </c>
      <c r="J109" s="6">
        <v>-26</v>
      </c>
      <c r="K109" s="1"/>
      <c r="L109" s="6">
        <v>-71</v>
      </c>
      <c r="M109" s="6">
        <v>-77</v>
      </c>
      <c r="N109" s="6">
        <f t="shared" si="31"/>
        <v>-83</v>
      </c>
    </row>
    <row r="110" spans="1:14" ht="15" customHeight="1" x14ac:dyDescent="0.2">
      <c r="A110" s="5" t="s">
        <v>108</v>
      </c>
      <c r="B110" s="6">
        <v>-29</v>
      </c>
      <c r="C110" s="6">
        <v>-8</v>
      </c>
      <c r="D110" s="6">
        <v>-20</v>
      </c>
      <c r="E110" s="6">
        <v>97</v>
      </c>
      <c r="F110" s="6">
        <v>-28</v>
      </c>
      <c r="G110" s="6">
        <v>-2</v>
      </c>
      <c r="H110" s="6">
        <v>24</v>
      </c>
      <c r="I110" s="6">
        <v>110</v>
      </c>
      <c r="J110" s="6">
        <v>33</v>
      </c>
      <c r="K110" s="1"/>
      <c r="L110" s="6">
        <v>122</v>
      </c>
      <c r="M110" s="6">
        <v>47</v>
      </c>
      <c r="N110" s="6">
        <f t="shared" si="31"/>
        <v>165</v>
      </c>
    </row>
    <row r="111" spans="1:14" ht="15" customHeight="1" x14ac:dyDescent="0.25">
      <c r="A111" s="2" t="s">
        <v>109</v>
      </c>
      <c r="B111" s="11">
        <f t="shared" ref="B111:J111" si="32">SUM(B102:B110)</f>
        <v>908</v>
      </c>
      <c r="C111" s="11">
        <f t="shared" si="32"/>
        <v>-138</v>
      </c>
      <c r="D111" s="11">
        <f t="shared" si="32"/>
        <v>-538</v>
      </c>
      <c r="E111" s="11">
        <f t="shared" si="32"/>
        <v>-17</v>
      </c>
      <c r="F111" s="11">
        <f t="shared" si="32"/>
        <v>922</v>
      </c>
      <c r="G111" s="11">
        <f t="shared" si="32"/>
        <v>-573</v>
      </c>
      <c r="H111" s="11">
        <f t="shared" si="32"/>
        <v>-636</v>
      </c>
      <c r="I111" s="11">
        <f t="shared" si="32"/>
        <v>13</v>
      </c>
      <c r="J111" s="11">
        <f t="shared" si="32"/>
        <v>484</v>
      </c>
      <c r="K111" s="1"/>
      <c r="L111" s="11">
        <f>SUM(L102:L110)</f>
        <v>-429</v>
      </c>
      <c r="M111" s="11">
        <f>SUM(M102:M110)</f>
        <v>-206</v>
      </c>
      <c r="N111" s="11">
        <f>SUM(N102:N110)</f>
        <v>-712</v>
      </c>
    </row>
    <row r="112" spans="1:14" ht="15" customHeight="1" x14ac:dyDescent="0.25">
      <c r="A112" s="2" t="s">
        <v>110</v>
      </c>
      <c r="B112" s="11">
        <f t="shared" ref="B112:J112" si="33">SUM(B90,B98:B100,B111)</f>
        <v>3951</v>
      </c>
      <c r="C112" s="11">
        <f t="shared" si="33"/>
        <v>417</v>
      </c>
      <c r="D112" s="11">
        <f t="shared" si="33"/>
        <v>362</v>
      </c>
      <c r="E112" s="11">
        <f t="shared" si="33"/>
        <v>1069</v>
      </c>
      <c r="F112" s="11">
        <f t="shared" si="33"/>
        <v>4395</v>
      </c>
      <c r="G112" s="11">
        <f t="shared" si="33"/>
        <v>381</v>
      </c>
      <c r="H112" s="11">
        <f t="shared" si="33"/>
        <v>637</v>
      </c>
      <c r="I112" s="11">
        <f t="shared" si="33"/>
        <v>1570</v>
      </c>
      <c r="J112" s="11">
        <f t="shared" si="33"/>
        <v>5300</v>
      </c>
      <c r="K112" s="1"/>
      <c r="L112" s="11">
        <f>SUM(L90,L98:L100,L111)</f>
        <v>4884</v>
      </c>
      <c r="M112" s="11">
        <f>SUM(M90,M98:M100,M111)</f>
        <v>6207</v>
      </c>
      <c r="N112" s="11">
        <f>SUM(N90,N98:N100,N111)</f>
        <v>7888</v>
      </c>
    </row>
    <row r="113" spans="1:14" ht="15" customHeight="1" x14ac:dyDescent="0.2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1"/>
      <c r="L113" s="6"/>
      <c r="M113" s="6"/>
      <c r="N113" s="6"/>
    </row>
    <row r="114" spans="1:14" ht="15" customHeight="1" x14ac:dyDescent="0.25">
      <c r="A114" s="2" t="s">
        <v>111</v>
      </c>
      <c r="B114" s="6"/>
      <c r="C114" s="6"/>
      <c r="D114" s="6"/>
      <c r="E114" s="6"/>
      <c r="F114" s="6"/>
      <c r="G114" s="6"/>
      <c r="H114" s="6"/>
      <c r="I114" s="6"/>
      <c r="J114" s="6"/>
      <c r="K114" s="1"/>
      <c r="L114" s="6"/>
      <c r="M114" s="6"/>
      <c r="N114" s="6"/>
    </row>
    <row r="115" spans="1:14" ht="15" customHeight="1" x14ac:dyDescent="0.2">
      <c r="A115" s="5" t="s">
        <v>112</v>
      </c>
      <c r="B115" s="6">
        <v>-472</v>
      </c>
      <c r="C115" s="6">
        <v>-216</v>
      </c>
      <c r="D115" s="6">
        <v>-306</v>
      </c>
      <c r="E115" s="6">
        <v>-15</v>
      </c>
      <c r="F115" s="6">
        <v>-759</v>
      </c>
      <c r="G115" s="6">
        <v>-1283</v>
      </c>
      <c r="H115" s="6">
        <v>-101</v>
      </c>
      <c r="I115" s="6">
        <v>-14</v>
      </c>
      <c r="J115" s="6">
        <v>-2089</v>
      </c>
      <c r="K115" s="1"/>
      <c r="L115" s="6">
        <v>-780</v>
      </c>
      <c r="M115" s="6">
        <v>-2363</v>
      </c>
      <c r="N115" s="6">
        <f t="shared" ref="N115:N123" si="34">SUM(G115:J115)</f>
        <v>-3487</v>
      </c>
    </row>
    <row r="116" spans="1:14" ht="15" customHeight="1" x14ac:dyDescent="0.2">
      <c r="A116" s="5" t="s">
        <v>113</v>
      </c>
      <c r="B116" s="6">
        <v>1</v>
      </c>
      <c r="C116" s="6">
        <v>35</v>
      </c>
      <c r="D116" s="6">
        <v>55</v>
      </c>
      <c r="E116" s="6">
        <v>78</v>
      </c>
      <c r="F116" s="6">
        <v>35</v>
      </c>
      <c r="G116" s="6">
        <v>152</v>
      </c>
      <c r="H116" s="6">
        <v>115</v>
      </c>
      <c r="I116" s="6">
        <v>4</v>
      </c>
      <c r="J116" s="6">
        <v>14</v>
      </c>
      <c r="K116" s="1"/>
      <c r="L116" s="6">
        <v>526</v>
      </c>
      <c r="M116" s="6">
        <v>320</v>
      </c>
      <c r="N116" s="6">
        <f t="shared" si="34"/>
        <v>285</v>
      </c>
    </row>
    <row r="117" spans="1:14" ht="15" customHeight="1" x14ac:dyDescent="0.2">
      <c r="A117" s="5" t="s">
        <v>114</v>
      </c>
      <c r="B117" s="6">
        <v>33</v>
      </c>
      <c r="C117" s="6">
        <v>187</v>
      </c>
      <c r="D117" s="6">
        <v>235</v>
      </c>
      <c r="E117" s="6">
        <v>402</v>
      </c>
      <c r="F117" s="6">
        <v>19</v>
      </c>
      <c r="G117" s="6">
        <v>208</v>
      </c>
      <c r="H117" s="6">
        <v>1473</v>
      </c>
      <c r="I117" s="6">
        <v>168</v>
      </c>
      <c r="J117" s="6">
        <v>14</v>
      </c>
      <c r="K117" s="1"/>
      <c r="L117" s="6">
        <v>676</v>
      </c>
      <c r="M117" s="6">
        <v>864</v>
      </c>
      <c r="N117" s="6">
        <f t="shared" si="34"/>
        <v>1863</v>
      </c>
    </row>
    <row r="118" spans="1:14" ht="15" customHeight="1" x14ac:dyDescent="0.2">
      <c r="A118" s="5" t="s">
        <v>115</v>
      </c>
      <c r="B118" s="6">
        <v>-61</v>
      </c>
      <c r="C118" s="6">
        <v>-42</v>
      </c>
      <c r="D118" s="6">
        <v>-33</v>
      </c>
      <c r="E118" s="6">
        <v>-31</v>
      </c>
      <c r="F118" s="6">
        <v>-35</v>
      </c>
      <c r="G118" s="6">
        <v>-25</v>
      </c>
      <c r="H118" s="6">
        <v>-38</v>
      </c>
      <c r="I118" s="6">
        <v>-46</v>
      </c>
      <c r="J118" s="6">
        <v>-64</v>
      </c>
      <c r="K118" s="1"/>
      <c r="L118" s="6">
        <v>-250</v>
      </c>
      <c r="M118" s="6">
        <v>-124</v>
      </c>
      <c r="N118" s="6">
        <f t="shared" si="34"/>
        <v>-173</v>
      </c>
    </row>
    <row r="119" spans="1:14" ht="15" customHeight="1" x14ac:dyDescent="0.2">
      <c r="A119" s="5" t="s">
        <v>116</v>
      </c>
      <c r="B119" s="6">
        <v>0</v>
      </c>
      <c r="C119" s="6">
        <v>-83</v>
      </c>
      <c r="D119" s="6">
        <v>0</v>
      </c>
      <c r="E119" s="6">
        <v>0</v>
      </c>
      <c r="F119" s="6">
        <v>0</v>
      </c>
      <c r="G119" s="6">
        <v>-184</v>
      </c>
      <c r="H119" s="6">
        <v>0</v>
      </c>
      <c r="I119" s="6">
        <v>0</v>
      </c>
      <c r="J119" s="6">
        <v>0</v>
      </c>
      <c r="K119" s="1"/>
      <c r="L119" s="6">
        <v>-83</v>
      </c>
      <c r="M119" s="6">
        <v>-184</v>
      </c>
      <c r="N119" s="6">
        <f t="shared" si="34"/>
        <v>-184</v>
      </c>
    </row>
    <row r="120" spans="1:14" ht="15" customHeight="1" x14ac:dyDescent="0.2">
      <c r="A120" s="5" t="s">
        <v>117</v>
      </c>
      <c r="B120" s="6">
        <v>-786</v>
      </c>
      <c r="C120" s="6">
        <v>-612</v>
      </c>
      <c r="D120" s="6">
        <v>-666</v>
      </c>
      <c r="E120" s="6">
        <v>-1159</v>
      </c>
      <c r="F120" s="6">
        <v>-1048</v>
      </c>
      <c r="G120" s="6">
        <v>-1119</v>
      </c>
      <c r="H120" s="6">
        <v>-1297</v>
      </c>
      <c r="I120" s="6">
        <v>-1588</v>
      </c>
      <c r="J120" s="6">
        <v>-2045</v>
      </c>
      <c r="K120" s="1"/>
      <c r="L120" s="6">
        <v>-2538</v>
      </c>
      <c r="M120" s="6">
        <v>-3992</v>
      </c>
      <c r="N120" s="6">
        <f t="shared" si="34"/>
        <v>-6049</v>
      </c>
    </row>
    <row r="121" spans="1:14" ht="15" customHeight="1" x14ac:dyDescent="0.2">
      <c r="A121" s="5" t="s">
        <v>118</v>
      </c>
      <c r="B121" s="6">
        <v>101</v>
      </c>
      <c r="C121" s="6">
        <v>133</v>
      </c>
      <c r="D121" s="6">
        <v>110</v>
      </c>
      <c r="E121" s="6">
        <v>136</v>
      </c>
      <c r="F121" s="6">
        <v>54</v>
      </c>
      <c r="G121" s="6">
        <v>262</v>
      </c>
      <c r="H121" s="6">
        <v>213</v>
      </c>
      <c r="I121" s="6">
        <v>382</v>
      </c>
      <c r="J121" s="6">
        <v>794</v>
      </c>
      <c r="K121" s="1"/>
      <c r="L121" s="6">
        <v>234</v>
      </c>
      <c r="M121" s="6">
        <v>562</v>
      </c>
      <c r="N121" s="6">
        <f t="shared" si="34"/>
        <v>1651</v>
      </c>
    </row>
    <row r="122" spans="1:14" ht="15" customHeight="1" x14ac:dyDescent="0.2">
      <c r="A122" s="5" t="s">
        <v>119</v>
      </c>
      <c r="B122" s="6">
        <v>979</v>
      </c>
      <c r="C122" s="6">
        <v>380</v>
      </c>
      <c r="D122" s="6">
        <v>420</v>
      </c>
      <c r="E122" s="6">
        <v>504</v>
      </c>
      <c r="F122" s="6">
        <v>1028</v>
      </c>
      <c r="G122" s="6">
        <v>754</v>
      </c>
      <c r="H122" s="6">
        <v>876</v>
      </c>
      <c r="I122" s="6">
        <v>936</v>
      </c>
      <c r="J122" s="6">
        <v>1313</v>
      </c>
      <c r="K122" s="1"/>
      <c r="L122" s="6">
        <v>2068</v>
      </c>
      <c r="M122" s="6">
        <v>2706</v>
      </c>
      <c r="N122" s="6">
        <f t="shared" si="34"/>
        <v>3879</v>
      </c>
    </row>
    <row r="123" spans="1:14" ht="15" customHeight="1" x14ac:dyDescent="0.2">
      <c r="A123" s="5" t="s">
        <v>120</v>
      </c>
      <c r="B123" s="6">
        <v>-14</v>
      </c>
      <c r="C123" s="6">
        <v>-34</v>
      </c>
      <c r="D123" s="6">
        <v>-3</v>
      </c>
      <c r="E123" s="6">
        <v>-404</v>
      </c>
      <c r="F123" s="6">
        <v>290</v>
      </c>
      <c r="G123" s="6">
        <v>10</v>
      </c>
      <c r="H123" s="6">
        <v>-43</v>
      </c>
      <c r="I123" s="6">
        <v>-542</v>
      </c>
      <c r="J123" s="6">
        <v>465</v>
      </c>
      <c r="K123" s="1"/>
      <c r="L123" s="6">
        <v>-80</v>
      </c>
      <c r="M123" s="6">
        <v>-107</v>
      </c>
      <c r="N123" s="6">
        <f t="shared" si="34"/>
        <v>-110</v>
      </c>
    </row>
    <row r="124" spans="1:14" ht="15" customHeight="1" x14ac:dyDescent="0.25">
      <c r="A124" s="2" t="s">
        <v>121</v>
      </c>
      <c r="B124" s="11">
        <f t="shared" ref="B124:J124" si="35">SUM(B115:B123)</f>
        <v>-219</v>
      </c>
      <c r="C124" s="11">
        <f t="shared" si="35"/>
        <v>-252</v>
      </c>
      <c r="D124" s="11">
        <f t="shared" si="35"/>
        <v>-188</v>
      </c>
      <c r="E124" s="11">
        <f t="shared" si="35"/>
        <v>-489</v>
      </c>
      <c r="F124" s="11">
        <f t="shared" si="35"/>
        <v>-416</v>
      </c>
      <c r="G124" s="11">
        <f t="shared" si="35"/>
        <v>-1225</v>
      </c>
      <c r="H124" s="11">
        <f t="shared" si="35"/>
        <v>1198</v>
      </c>
      <c r="I124" s="11">
        <f t="shared" si="35"/>
        <v>-700</v>
      </c>
      <c r="J124" s="11">
        <f t="shared" si="35"/>
        <v>-1598</v>
      </c>
      <c r="K124" s="1"/>
      <c r="L124" s="11">
        <f>SUM(L115:L123)</f>
        <v>-227</v>
      </c>
      <c r="M124" s="11">
        <f>SUM(M115:M123)</f>
        <v>-2318</v>
      </c>
      <c r="N124" s="11">
        <f>SUM(N115:N123)</f>
        <v>-2325</v>
      </c>
    </row>
    <row r="125" spans="1:14" ht="15" customHeight="1" x14ac:dyDescent="0.2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1"/>
      <c r="L125" s="6"/>
      <c r="M125" s="6"/>
      <c r="N125" s="6"/>
    </row>
    <row r="126" spans="1:14" ht="15" customHeight="1" x14ac:dyDescent="0.25">
      <c r="A126" s="2" t="s">
        <v>122</v>
      </c>
      <c r="B126" s="6"/>
      <c r="C126" s="6"/>
      <c r="D126" s="6"/>
      <c r="E126" s="6"/>
      <c r="F126" s="6"/>
      <c r="G126" s="6"/>
      <c r="H126" s="6"/>
      <c r="I126" s="6"/>
      <c r="J126" s="6"/>
      <c r="K126" s="1"/>
      <c r="L126" s="6"/>
      <c r="M126" s="6"/>
      <c r="N126" s="6"/>
    </row>
    <row r="127" spans="1:14" ht="15" customHeight="1" x14ac:dyDescent="0.2">
      <c r="A127" s="5" t="s">
        <v>123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1"/>
      <c r="L127" s="6">
        <v>3956</v>
      </c>
      <c r="M127" s="6">
        <v>0</v>
      </c>
      <c r="N127" s="6">
        <f t="shared" ref="N127:N138" si="36">SUM(G127:J127)</f>
        <v>0</v>
      </c>
    </row>
    <row r="128" spans="1:14" ht="15" customHeight="1" x14ac:dyDescent="0.2">
      <c r="A128" s="5" t="s">
        <v>124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-500</v>
      </c>
      <c r="H128" s="6">
        <v>0</v>
      </c>
      <c r="I128" s="6">
        <v>0</v>
      </c>
      <c r="J128" s="6">
        <v>0</v>
      </c>
      <c r="K128" s="1"/>
      <c r="L128" s="6">
        <v>-4200</v>
      </c>
      <c r="M128" s="6">
        <v>-500</v>
      </c>
      <c r="N128" s="6">
        <f t="shared" si="36"/>
        <v>-500</v>
      </c>
    </row>
    <row r="129" spans="1:14" ht="15" customHeight="1" x14ac:dyDescent="0.2">
      <c r="A129" s="5" t="s">
        <v>125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1"/>
      <c r="L129" s="6">
        <v>100</v>
      </c>
      <c r="M129" s="6">
        <v>0</v>
      </c>
      <c r="N129" s="6">
        <f t="shared" si="36"/>
        <v>0</v>
      </c>
    </row>
    <row r="130" spans="1:14" ht="15" customHeight="1" x14ac:dyDescent="0.2">
      <c r="A130" s="5" t="s">
        <v>126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1"/>
      <c r="L130" s="6">
        <v>-100</v>
      </c>
      <c r="M130" s="6">
        <v>0</v>
      </c>
      <c r="N130" s="6">
        <f t="shared" si="36"/>
        <v>0</v>
      </c>
    </row>
    <row r="131" spans="1:14" ht="15" customHeight="1" x14ac:dyDescent="0.2">
      <c r="A131" s="5" t="s">
        <v>127</v>
      </c>
      <c r="B131" s="6">
        <v>0</v>
      </c>
      <c r="C131" s="6">
        <v>85</v>
      </c>
      <c r="D131" s="6">
        <v>85</v>
      </c>
      <c r="E131" s="6">
        <v>134</v>
      </c>
      <c r="F131" s="6">
        <v>145</v>
      </c>
      <c r="G131" s="6">
        <v>65</v>
      </c>
      <c r="H131" s="6">
        <v>166</v>
      </c>
      <c r="I131" s="6">
        <v>20</v>
      </c>
      <c r="J131" s="6">
        <v>0</v>
      </c>
      <c r="K131" s="1"/>
      <c r="L131" s="6">
        <v>180</v>
      </c>
      <c r="M131" s="6">
        <v>429</v>
      </c>
      <c r="N131" s="6">
        <f t="shared" si="36"/>
        <v>251</v>
      </c>
    </row>
    <row r="132" spans="1:14" ht="15" customHeight="1" x14ac:dyDescent="0.2">
      <c r="A132" s="5" t="s">
        <v>128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1"/>
      <c r="L132" s="6">
        <v>-25</v>
      </c>
      <c r="M132" s="6">
        <v>0</v>
      </c>
      <c r="N132" s="6">
        <f t="shared" si="36"/>
        <v>0</v>
      </c>
    </row>
    <row r="133" spans="1:14" ht="15" customHeight="1" x14ac:dyDescent="0.2">
      <c r="A133" s="5" t="s">
        <v>129</v>
      </c>
      <c r="B133" s="6">
        <v>57</v>
      </c>
      <c r="C133" s="6">
        <v>56</v>
      </c>
      <c r="D133" s="6">
        <v>96</v>
      </c>
      <c r="E133" s="6">
        <v>79</v>
      </c>
      <c r="F133" s="6">
        <v>88</v>
      </c>
      <c r="G133" s="6">
        <v>135</v>
      </c>
      <c r="H133" s="6">
        <v>62</v>
      </c>
      <c r="I133" s="6">
        <v>29</v>
      </c>
      <c r="J133" s="6">
        <v>45</v>
      </c>
      <c r="K133" s="1"/>
      <c r="L133" s="6">
        <v>282</v>
      </c>
      <c r="M133" s="6">
        <v>398</v>
      </c>
      <c r="N133" s="6">
        <f t="shared" si="36"/>
        <v>271</v>
      </c>
    </row>
    <row r="134" spans="1:14" ht="15" customHeight="1" x14ac:dyDescent="0.2">
      <c r="A134" s="5" t="s">
        <v>130</v>
      </c>
      <c r="B134" s="6">
        <v>-202</v>
      </c>
      <c r="C134" s="6">
        <v>-370</v>
      </c>
      <c r="D134" s="6">
        <v>-239</v>
      </c>
      <c r="E134" s="6">
        <v>-197</v>
      </c>
      <c r="F134" s="6">
        <v>-176</v>
      </c>
      <c r="G134" s="6">
        <v>-370</v>
      </c>
      <c r="H134" s="6">
        <v>-244</v>
      </c>
      <c r="I134" s="6">
        <v>-210</v>
      </c>
      <c r="J134" s="6">
        <v>-121</v>
      </c>
      <c r="K134" s="1"/>
      <c r="L134" s="6">
        <v>-1002</v>
      </c>
      <c r="M134" s="6">
        <v>-982</v>
      </c>
      <c r="N134" s="6">
        <f t="shared" si="36"/>
        <v>-945</v>
      </c>
    </row>
    <row r="135" spans="1:14" ht="15" customHeight="1" x14ac:dyDescent="0.2">
      <c r="A135" s="5" t="s">
        <v>131</v>
      </c>
      <c r="B135" s="6">
        <v>-572</v>
      </c>
      <c r="C135" s="6">
        <v>-281</v>
      </c>
      <c r="D135" s="6">
        <v>-557</v>
      </c>
      <c r="E135" s="6">
        <v>-717</v>
      </c>
      <c r="F135" s="6">
        <v>-752</v>
      </c>
      <c r="G135" s="6">
        <v>-746</v>
      </c>
      <c r="H135" s="6">
        <v>-854</v>
      </c>
      <c r="I135" s="6">
        <v>-933</v>
      </c>
      <c r="J135" s="6">
        <v>-1554</v>
      </c>
      <c r="K135" s="1"/>
      <c r="L135" s="6">
        <v>-1988</v>
      </c>
      <c r="M135" s="6">
        <v>-2772</v>
      </c>
      <c r="N135" s="6">
        <f t="shared" si="36"/>
        <v>-4087</v>
      </c>
    </row>
    <row r="136" spans="1:14" ht="15" customHeight="1" x14ac:dyDescent="0.2">
      <c r="A136" s="5" t="s">
        <v>132</v>
      </c>
      <c r="B136" s="6">
        <v>-257</v>
      </c>
      <c r="C136" s="6">
        <v>-261</v>
      </c>
      <c r="D136" s="6">
        <v>-296</v>
      </c>
      <c r="E136" s="6">
        <v>-300</v>
      </c>
      <c r="F136" s="6">
        <v>-292</v>
      </c>
      <c r="G136" s="6">
        <v>-301</v>
      </c>
      <c r="H136" s="6">
        <v>-341</v>
      </c>
      <c r="I136" s="6">
        <v>-341</v>
      </c>
      <c r="J136" s="6">
        <v>-333</v>
      </c>
      <c r="K136" s="1"/>
      <c r="L136" s="6">
        <v>-1034</v>
      </c>
      <c r="M136" s="6">
        <v>-1189</v>
      </c>
      <c r="N136" s="6">
        <f t="shared" si="36"/>
        <v>-1316</v>
      </c>
    </row>
    <row r="137" spans="1:14" ht="15" customHeight="1" x14ac:dyDescent="0.2">
      <c r="A137" s="5" t="s">
        <v>133</v>
      </c>
      <c r="B137" s="6">
        <v>-709</v>
      </c>
      <c r="C137" s="6">
        <v>1224</v>
      </c>
      <c r="D137" s="6">
        <v>1672</v>
      </c>
      <c r="E137" s="6">
        <v>-2255</v>
      </c>
      <c r="F137" s="6">
        <v>1834</v>
      </c>
      <c r="G137" s="6">
        <v>1856</v>
      </c>
      <c r="H137" s="6">
        <v>-3160</v>
      </c>
      <c r="I137" s="6">
        <v>404</v>
      </c>
      <c r="J137" s="6">
        <v>3389</v>
      </c>
      <c r="K137" s="1"/>
      <c r="L137" s="6">
        <v>3436</v>
      </c>
      <c r="M137" s="6">
        <v>3107</v>
      </c>
      <c r="N137" s="6">
        <f t="shared" si="36"/>
        <v>2489</v>
      </c>
    </row>
    <row r="138" spans="1:14" ht="15" customHeight="1" x14ac:dyDescent="0.2">
      <c r="A138" s="5" t="s">
        <v>134</v>
      </c>
      <c r="B138" s="6">
        <v>-1</v>
      </c>
      <c r="C138" s="6">
        <v>1</v>
      </c>
      <c r="D138" s="6">
        <v>0</v>
      </c>
      <c r="E138" s="6">
        <v>-4</v>
      </c>
      <c r="F138" s="6">
        <v>0</v>
      </c>
      <c r="G138" s="6">
        <v>3</v>
      </c>
      <c r="H138" s="6">
        <v>-1</v>
      </c>
      <c r="I138" s="6">
        <v>-6</v>
      </c>
      <c r="J138" s="6">
        <v>0</v>
      </c>
      <c r="K138" s="1"/>
      <c r="L138" s="6">
        <v>-2</v>
      </c>
      <c r="M138" s="6">
        <v>-1</v>
      </c>
      <c r="N138" s="6">
        <f t="shared" si="36"/>
        <v>-4</v>
      </c>
    </row>
    <row r="139" spans="1:14" ht="15" customHeight="1" x14ac:dyDescent="0.25">
      <c r="A139" s="2" t="s">
        <v>135</v>
      </c>
      <c r="B139" s="11">
        <f t="shared" ref="B139:J139" si="37">SUM(B127:B138)</f>
        <v>-1684</v>
      </c>
      <c r="C139" s="11">
        <f t="shared" si="37"/>
        <v>454</v>
      </c>
      <c r="D139" s="11">
        <f t="shared" si="37"/>
        <v>761</v>
      </c>
      <c r="E139" s="11">
        <f t="shared" si="37"/>
        <v>-3260</v>
      </c>
      <c r="F139" s="11">
        <f t="shared" si="37"/>
        <v>847</v>
      </c>
      <c r="G139" s="11">
        <f t="shared" si="37"/>
        <v>142</v>
      </c>
      <c r="H139" s="11">
        <f t="shared" si="37"/>
        <v>-4372</v>
      </c>
      <c r="I139" s="11">
        <f t="shared" si="37"/>
        <v>-1037</v>
      </c>
      <c r="J139" s="11">
        <f t="shared" si="37"/>
        <v>1426</v>
      </c>
      <c r="K139" s="1"/>
      <c r="L139" s="11">
        <f>SUM(L127:L138)</f>
        <v>-397</v>
      </c>
      <c r="M139" s="11">
        <f>SUM(M127:M138)</f>
        <v>-1510</v>
      </c>
      <c r="N139" s="11">
        <f>SUM(N127:N138)</f>
        <v>-3841</v>
      </c>
    </row>
    <row r="140" spans="1:14" ht="15" customHeight="1" x14ac:dyDescent="0.2">
      <c r="A140" s="5" t="s">
        <v>136</v>
      </c>
      <c r="B140" s="6">
        <v>-8</v>
      </c>
      <c r="C140" s="6">
        <v>-1</v>
      </c>
      <c r="D140" s="6">
        <v>0</v>
      </c>
      <c r="E140" s="6">
        <v>-12</v>
      </c>
      <c r="F140" s="6">
        <v>16</v>
      </c>
      <c r="G140" s="6">
        <v>-1</v>
      </c>
      <c r="H140" s="6">
        <v>-1</v>
      </c>
      <c r="I140" s="6">
        <v>7</v>
      </c>
      <c r="J140" s="6">
        <v>3</v>
      </c>
      <c r="K140" s="1"/>
      <c r="L140" s="6">
        <v>-13</v>
      </c>
      <c r="M140" s="6">
        <v>3</v>
      </c>
      <c r="N140" s="6">
        <f>SUM(G140:J140)</f>
        <v>8</v>
      </c>
    </row>
    <row r="141" spans="1:14" ht="15" customHeight="1" x14ac:dyDescent="0.25">
      <c r="A141" s="2" t="s">
        <v>137</v>
      </c>
      <c r="B141" s="11">
        <f t="shared" ref="B141:J141" si="38">SUM(B112,B124,B139:B140)</f>
        <v>2040</v>
      </c>
      <c r="C141" s="11">
        <f t="shared" si="38"/>
        <v>618</v>
      </c>
      <c r="D141" s="11">
        <f t="shared" si="38"/>
        <v>935</v>
      </c>
      <c r="E141" s="11">
        <f t="shared" si="38"/>
        <v>-2692</v>
      </c>
      <c r="F141" s="11">
        <f t="shared" si="38"/>
        <v>4842</v>
      </c>
      <c r="G141" s="11">
        <f t="shared" si="38"/>
        <v>-703</v>
      </c>
      <c r="H141" s="11">
        <f t="shared" si="38"/>
        <v>-2538</v>
      </c>
      <c r="I141" s="11">
        <f t="shared" si="38"/>
        <v>-160</v>
      </c>
      <c r="J141" s="11">
        <f t="shared" si="38"/>
        <v>5131</v>
      </c>
      <c r="K141" s="1"/>
      <c r="L141" s="11">
        <f>SUM(L112,L124,L139:L140)</f>
        <v>4247</v>
      </c>
      <c r="M141" s="11">
        <f>SUM(M112,M124,M139:M140)</f>
        <v>2382</v>
      </c>
      <c r="N141" s="11">
        <f>SUM(N112,N124,N139:N140)</f>
        <v>1730</v>
      </c>
    </row>
    <row r="142" spans="1:14" ht="15" customHeight="1" x14ac:dyDescent="0.2">
      <c r="A142" s="5" t="s">
        <v>138</v>
      </c>
      <c r="B142" s="6">
        <v>6481</v>
      </c>
      <c r="C142" s="6">
        <v>7099</v>
      </c>
      <c r="D142" s="6">
        <v>8034</v>
      </c>
      <c r="E142" s="6">
        <v>5342</v>
      </c>
      <c r="F142" s="6">
        <v>10184</v>
      </c>
      <c r="G142" s="6">
        <v>9481</v>
      </c>
      <c r="H142" s="6">
        <v>6943</v>
      </c>
      <c r="I142" s="6">
        <v>6783</v>
      </c>
      <c r="J142" s="6">
        <v>11914</v>
      </c>
      <c r="K142" s="1"/>
      <c r="L142" s="6">
        <v>7099</v>
      </c>
      <c r="M142" s="6">
        <v>9481</v>
      </c>
      <c r="N142" s="6">
        <f>J142</f>
        <v>11914</v>
      </c>
    </row>
    <row r="143" spans="1:14" ht="15" customHeight="1" x14ac:dyDescent="0.25">
      <c r="A143" s="2" t="s">
        <v>139</v>
      </c>
      <c r="B143" s="12">
        <f>0</f>
        <v>0</v>
      </c>
      <c r="C143" s="12">
        <f t="shared" ref="C143:J143" si="39">C142-B142-C141</f>
        <v>0</v>
      </c>
      <c r="D143" s="12">
        <f t="shared" si="39"/>
        <v>0</v>
      </c>
      <c r="E143" s="12">
        <f t="shared" si="39"/>
        <v>0</v>
      </c>
      <c r="F143" s="12">
        <f t="shared" si="39"/>
        <v>0</v>
      </c>
      <c r="G143" s="12">
        <f t="shared" si="39"/>
        <v>0</v>
      </c>
      <c r="H143" s="12">
        <f t="shared" si="39"/>
        <v>0</v>
      </c>
      <c r="I143" s="12">
        <f t="shared" si="39"/>
        <v>0</v>
      </c>
      <c r="J143" s="12">
        <f t="shared" si="39"/>
        <v>0</v>
      </c>
      <c r="K143" s="9"/>
      <c r="L143" s="12">
        <f>0</f>
        <v>0</v>
      </c>
      <c r="M143" s="12">
        <f>0</f>
        <v>0</v>
      </c>
      <c r="N143" s="12">
        <f>0</f>
        <v>0</v>
      </c>
    </row>
    <row r="144" spans="1:14" ht="15" customHeight="1" x14ac:dyDescent="0.25">
      <c r="A144" s="2" t="s">
        <v>140</v>
      </c>
      <c r="B144" s="11">
        <f t="shared" ref="B144:J144" si="40">B112+B118</f>
        <v>3890</v>
      </c>
      <c r="C144" s="11">
        <f t="shared" si="40"/>
        <v>375</v>
      </c>
      <c r="D144" s="11">
        <f t="shared" si="40"/>
        <v>329</v>
      </c>
      <c r="E144" s="11">
        <f t="shared" si="40"/>
        <v>1038</v>
      </c>
      <c r="F144" s="11">
        <f t="shared" si="40"/>
        <v>4360</v>
      </c>
      <c r="G144" s="11">
        <f t="shared" si="40"/>
        <v>356</v>
      </c>
      <c r="H144" s="11">
        <f t="shared" si="40"/>
        <v>599</v>
      </c>
      <c r="I144" s="11">
        <f t="shared" si="40"/>
        <v>1524</v>
      </c>
      <c r="J144" s="11">
        <f t="shared" si="40"/>
        <v>5236</v>
      </c>
      <c r="K144" s="1"/>
      <c r="L144" s="11">
        <f>L112+L118</f>
        <v>4634</v>
      </c>
      <c r="M144" s="11">
        <f>M112+M118</f>
        <v>6083</v>
      </c>
      <c r="N144" s="11">
        <f>N112+N118</f>
        <v>7715</v>
      </c>
    </row>
    <row r="145" spans="1:14" ht="15" customHeight="1" x14ac:dyDescent="0.2">
      <c r="A145" s="1"/>
      <c r="B145" s="4"/>
      <c r="C145" s="4"/>
      <c r="D145" s="4"/>
      <c r="E145" s="4"/>
      <c r="F145" s="4"/>
      <c r="G145" s="4"/>
      <c r="H145" s="4"/>
      <c r="I145" s="4"/>
      <c r="J145" s="4"/>
      <c r="K145" s="1"/>
      <c r="L145" s="4"/>
      <c r="M145" s="4"/>
      <c r="N145" s="4"/>
    </row>
    <row r="146" spans="1:14" ht="15" customHeight="1" x14ac:dyDescent="0.25">
      <c r="A146" s="2" t="s">
        <v>141</v>
      </c>
      <c r="B146" s="4"/>
      <c r="C146" s="4"/>
      <c r="D146" s="4"/>
      <c r="E146" s="4"/>
      <c r="F146" s="4"/>
      <c r="G146" s="4"/>
      <c r="H146" s="4"/>
      <c r="I146" s="4"/>
      <c r="J146" s="4"/>
      <c r="K146" s="1"/>
      <c r="L146" s="4"/>
      <c r="M146" s="4"/>
      <c r="N146" s="4"/>
    </row>
    <row r="147" spans="1:14" ht="15" customHeight="1" x14ac:dyDescent="0.2">
      <c r="A147" s="5" t="s">
        <v>142</v>
      </c>
      <c r="B147" s="8">
        <v>0.18</v>
      </c>
      <c r="C147" s="8">
        <v>0.2</v>
      </c>
      <c r="D147" s="8">
        <v>0.09</v>
      </c>
      <c r="E147" s="8">
        <v>0.19</v>
      </c>
      <c r="F147" s="8">
        <v>0.19</v>
      </c>
      <c r="G147" s="8">
        <v>0.18</v>
      </c>
      <c r="H147" s="8">
        <v>0.18</v>
      </c>
      <c r="I147" s="8">
        <v>0.18</v>
      </c>
      <c r="J147" s="8">
        <v>0.15</v>
      </c>
      <c r="K147" s="1"/>
      <c r="L147" s="8">
        <v>0.19</v>
      </c>
      <c r="M147" s="8">
        <v>0.16</v>
      </c>
      <c r="N147" s="8"/>
    </row>
    <row r="148" spans="1:14" ht="15" customHeight="1" x14ac:dyDescent="0.2">
      <c r="A148" s="5" t="s">
        <v>143</v>
      </c>
      <c r="B148" s="8">
        <v>0.19</v>
      </c>
      <c r="C148" s="8">
        <v>0.18</v>
      </c>
      <c r="D148" s="8">
        <v>0.2</v>
      </c>
      <c r="E148" s="8">
        <v>0.21</v>
      </c>
      <c r="F148" s="8">
        <v>0.2</v>
      </c>
      <c r="G148" s="8">
        <v>0.21</v>
      </c>
      <c r="H148" s="8">
        <v>0.21</v>
      </c>
      <c r="I148" s="8">
        <v>0.21</v>
      </c>
      <c r="J148" s="8">
        <v>0.19</v>
      </c>
      <c r="K148" s="1"/>
      <c r="L148" s="8">
        <v>0.2</v>
      </c>
      <c r="M148" s="8">
        <v>0.2</v>
      </c>
      <c r="N148" s="8"/>
    </row>
    <row r="149" spans="1:14" ht="15" customHeight="1" x14ac:dyDescent="0.2">
      <c r="A149" s="5" t="s">
        <v>144</v>
      </c>
      <c r="B149" s="8">
        <v>0.19</v>
      </c>
      <c r="C149" s="8">
        <v>0.17</v>
      </c>
      <c r="D149" s="8">
        <v>0.21</v>
      </c>
      <c r="E149" s="8">
        <v>0.22</v>
      </c>
      <c r="F149" s="8">
        <v>0.21</v>
      </c>
      <c r="G149" s="8">
        <v>0.23</v>
      </c>
      <c r="H149" s="8">
        <v>0.25</v>
      </c>
      <c r="I149" s="8">
        <v>0.24</v>
      </c>
      <c r="J149" s="8">
        <v>0.22</v>
      </c>
      <c r="K149" s="1"/>
      <c r="L149" s="8">
        <v>0.19</v>
      </c>
      <c r="M149" s="8">
        <v>0.22</v>
      </c>
      <c r="N149" s="8"/>
    </row>
    <row r="150" spans="1:14" ht="15" customHeight="1" x14ac:dyDescent="0.2">
      <c r="A150" s="5" t="s">
        <v>145</v>
      </c>
      <c r="B150" s="8">
        <v>0.2</v>
      </c>
      <c r="C150" s="8">
        <v>0.19</v>
      </c>
      <c r="D150" s="8">
        <v>0.19</v>
      </c>
      <c r="E150" s="8">
        <v>0.19</v>
      </c>
      <c r="F150" s="8">
        <v>0.18</v>
      </c>
      <c r="G150" s="8">
        <v>0.19</v>
      </c>
      <c r="H150" s="8">
        <v>0.17</v>
      </c>
      <c r="I150" s="8">
        <v>0.18</v>
      </c>
      <c r="J150" s="8">
        <v>0.15</v>
      </c>
      <c r="K150" s="1"/>
      <c r="L150" s="8">
        <v>0.21</v>
      </c>
      <c r="M150" s="8">
        <v>0.19</v>
      </c>
      <c r="N150" s="8"/>
    </row>
    <row r="151" spans="1:14" ht="15" customHeight="1" x14ac:dyDescent="0.2">
      <c r="A151" s="5" t="s">
        <v>43</v>
      </c>
      <c r="B151" s="8">
        <f t="shared" ref="B151:J151" si="41">IFERROR(B8/B10,0)</f>
        <v>0.8977289594775123</v>
      </c>
      <c r="C151" s="8">
        <f t="shared" si="41"/>
        <v>0.83856783919597988</v>
      </c>
      <c r="D151" s="8">
        <f t="shared" si="41"/>
        <v>0.87998781602193121</v>
      </c>
      <c r="E151" s="8">
        <f t="shared" si="41"/>
        <v>0.81983345950037845</v>
      </c>
      <c r="F151" s="8">
        <f t="shared" si="41"/>
        <v>0.89901986071704931</v>
      </c>
      <c r="G151" s="8">
        <f t="shared" si="41"/>
        <v>0.85904463586530933</v>
      </c>
      <c r="H151" s="8">
        <f t="shared" si="41"/>
        <v>0.90012870012870017</v>
      </c>
      <c r="I151" s="8">
        <f t="shared" si="41"/>
        <v>0.83250913781982372</v>
      </c>
      <c r="J151" s="8">
        <f t="shared" si="41"/>
        <v>0.90663706473475114</v>
      </c>
      <c r="K151" s="1"/>
      <c r="L151" s="8">
        <f>IFERROR(L8/L10,0)</f>
        <v>0.85115136628799504</v>
      </c>
      <c r="M151" s="8">
        <f>IFERROR(M8/M10,0)</f>
        <v>0.87090435983219161</v>
      </c>
      <c r="N151" s="8">
        <f>IFERROR(N8/N10,0)</f>
        <v>0.88023894862604535</v>
      </c>
    </row>
    <row r="152" spans="1:14" ht="15" customHeight="1" x14ac:dyDescent="0.2">
      <c r="A152" s="5" t="s">
        <v>146</v>
      </c>
      <c r="B152" s="8">
        <f t="shared" ref="B152:J152" si="42">IFERROR(B144/B10,0)</f>
        <v>0.57740834199198454</v>
      </c>
      <c r="C152" s="8">
        <f t="shared" si="42"/>
        <v>0.11777638190954774</v>
      </c>
      <c r="D152" s="8">
        <f t="shared" si="42"/>
        <v>0.10021321961620469</v>
      </c>
      <c r="E152" s="8">
        <f t="shared" si="42"/>
        <v>0.26192278576835731</v>
      </c>
      <c r="F152" s="8">
        <f t="shared" si="42"/>
        <v>0.56229043074542173</v>
      </c>
      <c r="G152" s="8">
        <f t="shared" si="42"/>
        <v>9.2926128948055339E-2</v>
      </c>
      <c r="H152" s="8">
        <f t="shared" si="42"/>
        <v>0.15418275418275418</v>
      </c>
      <c r="I152" s="8">
        <f t="shared" si="42"/>
        <v>0.32767146850139756</v>
      </c>
      <c r="J152" s="8">
        <f t="shared" si="42"/>
        <v>0.61182519280205661</v>
      </c>
      <c r="K152" s="1"/>
      <c r="L152" s="8">
        <f>IFERROR(L144/L10,0)</f>
        <v>0.28455634019035925</v>
      </c>
      <c r="M152" s="8">
        <f>IFERROR(M144/M10,0)</f>
        <v>0.32303117200361109</v>
      </c>
      <c r="N152" s="8">
        <f>IFERROR(N144/N10,0)</f>
        <v>0.36869772998805256</v>
      </c>
    </row>
    <row r="153" spans="1:14" ht="15" customHeight="1" x14ac:dyDescent="0.2">
      <c r="A153" s="5" t="s">
        <v>147</v>
      </c>
      <c r="B153" s="6">
        <f t="shared" ref="B153:J153" si="43">B46</f>
        <v>698</v>
      </c>
      <c r="C153" s="6">
        <f t="shared" si="43"/>
        <v>779</v>
      </c>
      <c r="D153" s="6">
        <f t="shared" si="43"/>
        <v>892</v>
      </c>
      <c r="E153" s="6">
        <f t="shared" si="43"/>
        <v>1376</v>
      </c>
      <c r="F153" s="6">
        <f t="shared" si="43"/>
        <v>1278</v>
      </c>
      <c r="G153" s="6">
        <f t="shared" si="43"/>
        <v>1403</v>
      </c>
      <c r="H153" s="6">
        <f t="shared" si="43"/>
        <v>1519</v>
      </c>
      <c r="I153" s="6">
        <f t="shared" si="43"/>
        <v>1699</v>
      </c>
      <c r="J153" s="6">
        <f t="shared" si="43"/>
        <v>1662</v>
      </c>
      <c r="K153" s="1"/>
      <c r="L153" s="6">
        <f>L46</f>
        <v>779</v>
      </c>
      <c r="M153" s="6">
        <f>M46</f>
        <v>1403</v>
      </c>
      <c r="N153" s="6">
        <f>N46</f>
        <v>1662</v>
      </c>
    </row>
    <row r="154" spans="1:14" ht="15" customHeight="1" x14ac:dyDescent="0.2">
      <c r="A154" s="5" t="s">
        <v>148</v>
      </c>
      <c r="B154" s="6">
        <f t="shared" ref="B154:J154" si="44">B51</f>
        <v>2722</v>
      </c>
      <c r="C154" s="6">
        <f t="shared" si="44"/>
        <v>3921</v>
      </c>
      <c r="D154" s="6">
        <f t="shared" si="44"/>
        <v>5606</v>
      </c>
      <c r="E154" s="6">
        <f t="shared" si="44"/>
        <v>3334</v>
      </c>
      <c r="F154" s="6">
        <f t="shared" si="44"/>
        <v>5221</v>
      </c>
      <c r="G154" s="6">
        <f t="shared" si="44"/>
        <v>7076</v>
      </c>
      <c r="H154" s="6">
        <f t="shared" si="44"/>
        <v>3918</v>
      </c>
      <c r="I154" s="6">
        <f t="shared" si="44"/>
        <v>4414</v>
      </c>
      <c r="J154" s="6">
        <f t="shared" si="44"/>
        <v>7760</v>
      </c>
      <c r="K154" s="1"/>
      <c r="L154" s="6">
        <f>L51</f>
        <v>3921</v>
      </c>
      <c r="M154" s="6">
        <f>M51</f>
        <v>7076</v>
      </c>
      <c r="N154" s="6">
        <f>N51</f>
        <v>7760</v>
      </c>
    </row>
    <row r="155" spans="1:14" ht="1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3"/>
  <sheetViews>
    <sheetView showGridLines="0" tabSelected="1" workbookViewId="0">
      <selection activeCell="B77" sqref="B77"/>
    </sheetView>
  </sheetViews>
  <sheetFormatPr defaultRowHeight="15" x14ac:dyDescent="0.2"/>
  <cols>
    <col min="1" max="1" width="38" customWidth="1"/>
    <col min="2" max="7" width="14" customWidth="1"/>
    <col min="8" max="8" width="15" customWidth="1"/>
    <col min="9" max="9" width="3" customWidth="1"/>
    <col min="10" max="10" width="15" customWidth="1"/>
    <col min="11" max="11" width="34" customWidth="1"/>
    <col min="12" max="17" width="12" customWidth="1"/>
  </cols>
  <sheetData>
    <row r="1" spans="1:17" ht="15.75" x14ac:dyDescent="0.25">
      <c r="A1" s="30" t="s">
        <v>149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x14ac:dyDescent="0.2">
      <c r="A2" s="31" t="s">
        <v>150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x14ac:dyDescent="0.2">
      <c r="A3" s="31" t="s">
        <v>151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15.75" x14ac:dyDescent="0.25">
      <c r="A5" s="15" t="s">
        <v>152</v>
      </c>
      <c r="B5" s="14" t="s">
        <v>14</v>
      </c>
      <c r="C5" s="14" t="s">
        <v>153</v>
      </c>
      <c r="D5" s="14" t="s">
        <v>154</v>
      </c>
      <c r="E5" s="14" t="s">
        <v>155</v>
      </c>
      <c r="F5" s="14" t="s">
        <v>156</v>
      </c>
      <c r="G5" s="14" t="s">
        <v>157</v>
      </c>
    </row>
    <row r="6" spans="1:17" x14ac:dyDescent="0.2">
      <c r="A6" t="s">
        <v>158</v>
      </c>
      <c r="B6" s="23">
        <v>4120</v>
      </c>
      <c r="C6" s="23">
        <f>H33</f>
        <v>5096.4003977461052</v>
      </c>
      <c r="D6" s="23">
        <f>C6*(1+$B$22)</f>
        <v>6013.7524693404039</v>
      </c>
      <c r="E6" s="23">
        <f>D6*(1+$C$22)</f>
        <v>6915.8153397414635</v>
      </c>
      <c r="F6" s="23">
        <f>E6*(1+$D$22)</f>
        <v>7745.71318051044</v>
      </c>
      <c r="G6" s="23">
        <f>F6*(1+$E$22)</f>
        <v>8520.2844985614847</v>
      </c>
    </row>
    <row r="7" spans="1:17" x14ac:dyDescent="0.2">
      <c r="A7" t="s">
        <v>159</v>
      </c>
      <c r="B7" s="23">
        <v>4182</v>
      </c>
      <c r="C7" s="23">
        <f>H34</f>
        <v>4885.590479295729</v>
      </c>
      <c r="D7" s="23">
        <f>C7*(1+$B$23)</f>
        <v>5471.8613368112174</v>
      </c>
      <c r="E7" s="23">
        <f>D7*(1+$C$23)</f>
        <v>6019.0474704923399</v>
      </c>
      <c r="F7" s="23">
        <f>E7*(1+$D$23)</f>
        <v>6560.7617428366511</v>
      </c>
      <c r="G7" s="23">
        <f>F7*(1+$E$23)</f>
        <v>7085.6226822635836</v>
      </c>
    </row>
    <row r="8" spans="1:17" x14ac:dyDescent="0.2">
      <c r="A8" t="s">
        <v>160</v>
      </c>
      <c r="B8" s="23">
        <v>2775</v>
      </c>
      <c r="C8" s="23">
        <f>H35</f>
        <v>2978.219696969697</v>
      </c>
      <c r="D8" s="23">
        <f>C8*(1+$B$24)</f>
        <v>3127.130681818182</v>
      </c>
      <c r="E8" s="23">
        <f>D8*(1+$C$24)</f>
        <v>3252.2159090909095</v>
      </c>
      <c r="F8" s="23">
        <f>E8*(1+$D$24)</f>
        <v>3349.7823863636368</v>
      </c>
      <c r="G8" s="23">
        <f>F8*(1+$E$24)</f>
        <v>3450.2758579545462</v>
      </c>
    </row>
    <row r="9" spans="1:17" ht="15.75" x14ac:dyDescent="0.25">
      <c r="A9" s="22" t="s">
        <v>161</v>
      </c>
      <c r="B9" s="26">
        <f t="shared" ref="B9:G9" si="0">SUM(B6:B8)</f>
        <v>11077</v>
      </c>
      <c r="C9" s="26">
        <f t="shared" si="0"/>
        <v>12960.210574011529</v>
      </c>
      <c r="D9" s="26">
        <f t="shared" si="0"/>
        <v>14612.744487969803</v>
      </c>
      <c r="E9" s="26">
        <f t="shared" si="0"/>
        <v>16187.078719324714</v>
      </c>
      <c r="F9" s="26">
        <f t="shared" si="0"/>
        <v>17656.257309710727</v>
      </c>
      <c r="G9" s="26">
        <f t="shared" si="0"/>
        <v>19056.183038779614</v>
      </c>
    </row>
    <row r="10" spans="1:17" x14ac:dyDescent="0.2">
      <c r="A10" t="s">
        <v>162</v>
      </c>
      <c r="B10" s="23">
        <v>4933</v>
      </c>
      <c r="C10" s="23">
        <f>H36</f>
        <v>5302.0729362591428</v>
      </c>
      <c r="D10" s="23">
        <f>C10*(1+$B$25)</f>
        <v>5673.2180417972831</v>
      </c>
      <c r="E10" s="23">
        <f>D10*(1+$C$25)</f>
        <v>6013.61112430512</v>
      </c>
      <c r="F10" s="23">
        <f>E10*(1+$D$25)</f>
        <v>6314.2916805203758</v>
      </c>
      <c r="G10" s="23">
        <f>F10*(1+$E$25)</f>
        <v>6630.006264546395</v>
      </c>
    </row>
    <row r="11" spans="1:17" x14ac:dyDescent="0.2">
      <c r="A11" t="s">
        <v>163</v>
      </c>
      <c r="B11" s="23">
        <v>2200</v>
      </c>
      <c r="C11" s="23">
        <f>H37</f>
        <v>2673.2394366197182</v>
      </c>
      <c r="D11" s="23">
        <f>C11*(1+$B$26)</f>
        <v>2994.0281690140846</v>
      </c>
      <c r="E11" s="23">
        <f>D11*(1+$C$26)</f>
        <v>3293.4309859154932</v>
      </c>
      <c r="F11" s="23">
        <f>E11*(1+$D$26)</f>
        <v>3556.9054647887328</v>
      </c>
      <c r="G11" s="23">
        <f>F11*(1+$E$26)</f>
        <v>3841.4579019718317</v>
      </c>
    </row>
    <row r="12" spans="1:17" x14ac:dyDescent="0.2">
      <c r="A12" t="s">
        <v>164</v>
      </c>
      <c r="B12" s="23">
        <v>621</v>
      </c>
      <c r="C12" s="23">
        <f>H38</f>
        <v>646.30390492359936</v>
      </c>
      <c r="D12" s="23">
        <f>C12*(1+$B$27)</f>
        <v>678.61910016977936</v>
      </c>
      <c r="E12" s="23">
        <f>D12*(1+$C$27)</f>
        <v>705.76386417657056</v>
      </c>
      <c r="F12" s="23">
        <f>E12*(1+$D$27)</f>
        <v>733.99441874363345</v>
      </c>
      <c r="G12" s="23">
        <f>F12*(1+$E$27)</f>
        <v>756.01425130594248</v>
      </c>
    </row>
    <row r="13" spans="1:17" ht="15.75" x14ac:dyDescent="0.25">
      <c r="A13" s="22" t="s">
        <v>165</v>
      </c>
      <c r="B13" s="26">
        <f t="shared" ref="B13:G13" si="1">SUM(B10:B12)</f>
        <v>7754</v>
      </c>
      <c r="C13" s="26">
        <f t="shared" si="1"/>
        <v>8621.6162778024609</v>
      </c>
      <c r="D13" s="26">
        <f t="shared" si="1"/>
        <v>9345.8653109811476</v>
      </c>
      <c r="E13" s="26">
        <f t="shared" si="1"/>
        <v>10012.805974397183</v>
      </c>
      <c r="F13" s="26">
        <f t="shared" si="1"/>
        <v>10605.191564052742</v>
      </c>
      <c r="G13" s="26">
        <f t="shared" si="1"/>
        <v>11227.478417824168</v>
      </c>
    </row>
    <row r="14" spans="1:17" ht="15.75" x14ac:dyDescent="0.25">
      <c r="A14" s="13" t="s">
        <v>166</v>
      </c>
      <c r="B14" s="28">
        <f t="shared" ref="B14:G14" si="2">SUM(B9,B13)</f>
        <v>18831</v>
      </c>
      <c r="C14" s="28">
        <f t="shared" si="2"/>
        <v>21581.826851813988</v>
      </c>
      <c r="D14" s="28">
        <f t="shared" si="2"/>
        <v>23958.609798950951</v>
      </c>
      <c r="E14" s="28">
        <f t="shared" si="2"/>
        <v>26199.884693721899</v>
      </c>
      <c r="F14" s="28">
        <f t="shared" si="2"/>
        <v>28261.448873763467</v>
      </c>
      <c r="G14" s="28">
        <f t="shared" si="2"/>
        <v>30283.661456603782</v>
      </c>
    </row>
    <row r="15" spans="1:17" x14ac:dyDescent="0.2">
      <c r="A15" t="s">
        <v>42</v>
      </c>
      <c r="B15" s="24"/>
      <c r="C15" s="24">
        <f>C14/B14-1</f>
        <v>0.14607970112123558</v>
      </c>
      <c r="D15" s="24">
        <f>D14/C14-1</f>
        <v>0.11012890444615864</v>
      </c>
      <c r="E15" s="24">
        <f>E14/D14-1</f>
        <v>9.3547785684505058E-2</v>
      </c>
      <c r="F15" s="24">
        <f>F14/E14-1</f>
        <v>7.8686002024106916E-2</v>
      </c>
      <c r="G15" s="24">
        <f>G14/F14-1</f>
        <v>7.1553747717359117E-2</v>
      </c>
    </row>
    <row r="16" spans="1:17" x14ac:dyDescent="0.2">
      <c r="A16" t="s">
        <v>167</v>
      </c>
      <c r="B16" s="24"/>
      <c r="C16" s="24">
        <f>G39/C14</f>
        <v>0.2079447158309855</v>
      </c>
      <c r="D16" s="24"/>
      <c r="E16" s="24"/>
      <c r="F16" s="24"/>
      <c r="G16" s="24"/>
    </row>
    <row r="17" spans="1:15" x14ac:dyDescent="0.2">
      <c r="B17" s="25"/>
      <c r="C17" s="25"/>
      <c r="D17" s="25"/>
      <c r="E17" s="25"/>
      <c r="F17" s="25"/>
      <c r="G17" s="25"/>
    </row>
    <row r="20" spans="1:15" ht="15.75" x14ac:dyDescent="0.25">
      <c r="A20" s="32" t="s">
        <v>168</v>
      </c>
      <c r="B20" s="32"/>
      <c r="C20" s="32"/>
      <c r="D20" s="32"/>
      <c r="E20" s="32"/>
      <c r="J20" s="32" t="s">
        <v>169</v>
      </c>
      <c r="K20" s="32"/>
      <c r="L20" s="32"/>
      <c r="M20" s="32"/>
      <c r="N20" s="32"/>
      <c r="O20" s="32"/>
    </row>
    <row r="21" spans="1:15" ht="15.75" x14ac:dyDescent="0.25">
      <c r="A21" s="17" t="s">
        <v>170</v>
      </c>
      <c r="B21" s="16" t="s">
        <v>154</v>
      </c>
      <c r="C21" s="16" t="s">
        <v>155</v>
      </c>
      <c r="D21" s="16" t="s">
        <v>156</v>
      </c>
      <c r="E21" s="16" t="s">
        <v>157</v>
      </c>
      <c r="J21" s="17" t="s">
        <v>171</v>
      </c>
      <c r="K21" s="17" t="s">
        <v>170</v>
      </c>
      <c r="L21" s="16" t="s">
        <v>154</v>
      </c>
      <c r="M21" s="16" t="s">
        <v>155</v>
      </c>
      <c r="N21" s="16" t="s">
        <v>156</v>
      </c>
      <c r="O21" s="16" t="s">
        <v>157</v>
      </c>
    </row>
    <row r="22" spans="1:15" x14ac:dyDescent="0.2">
      <c r="A22" t="s">
        <v>158</v>
      </c>
      <c r="B22" s="18">
        <v>0.18</v>
      </c>
      <c r="C22" s="18">
        <v>0.15</v>
      </c>
      <c r="D22" s="18">
        <v>0.12</v>
      </c>
      <c r="E22" s="18">
        <v>0.1</v>
      </c>
      <c r="J22" t="s">
        <v>172</v>
      </c>
      <c r="K22" t="s">
        <v>158</v>
      </c>
      <c r="L22" s="18">
        <v>0.18</v>
      </c>
      <c r="M22" s="18">
        <v>0.15</v>
      </c>
      <c r="N22" s="18">
        <v>0.12</v>
      </c>
      <c r="O22" s="18">
        <v>0.1</v>
      </c>
    </row>
    <row r="23" spans="1:15" x14ac:dyDescent="0.2">
      <c r="A23" t="s">
        <v>173</v>
      </c>
      <c r="B23" s="18">
        <v>0.12</v>
      </c>
      <c r="C23" s="18">
        <v>0.1</v>
      </c>
      <c r="D23" s="18">
        <v>0.09</v>
      </c>
      <c r="E23" s="18">
        <v>0.08</v>
      </c>
      <c r="J23" t="s">
        <v>172</v>
      </c>
      <c r="K23" t="s">
        <v>173</v>
      </c>
      <c r="L23" s="18">
        <v>0.12</v>
      </c>
      <c r="M23" s="18">
        <v>0.1</v>
      </c>
      <c r="N23" s="18">
        <v>0.09</v>
      </c>
      <c r="O23" s="18">
        <v>0.08</v>
      </c>
    </row>
    <row r="24" spans="1:15" x14ac:dyDescent="0.2">
      <c r="A24" t="s">
        <v>160</v>
      </c>
      <c r="B24" s="18">
        <v>0.05</v>
      </c>
      <c r="C24" s="18">
        <v>0.04</v>
      </c>
      <c r="D24" s="18">
        <v>0.03</v>
      </c>
      <c r="E24" s="18">
        <v>0.03</v>
      </c>
      <c r="J24" t="s">
        <v>172</v>
      </c>
      <c r="K24" t="s">
        <v>160</v>
      </c>
      <c r="L24" s="18">
        <v>0.05</v>
      </c>
      <c r="M24" s="18">
        <v>0.04</v>
      </c>
      <c r="N24" s="18">
        <v>0.03</v>
      </c>
      <c r="O24" s="18">
        <v>0.03</v>
      </c>
    </row>
    <row r="25" spans="1:15" x14ac:dyDescent="0.2">
      <c r="A25" t="s">
        <v>162</v>
      </c>
      <c r="B25" s="18">
        <v>7.0000000000000007E-2</v>
      </c>
      <c r="C25" s="18">
        <v>0.06</v>
      </c>
      <c r="D25" s="18">
        <v>0.05</v>
      </c>
      <c r="E25" s="18">
        <v>0.05</v>
      </c>
      <c r="J25" t="s">
        <v>172</v>
      </c>
      <c r="K25" t="s">
        <v>162</v>
      </c>
      <c r="L25" s="18">
        <v>7.0000000000000007E-2</v>
      </c>
      <c r="M25" s="18">
        <v>0.06</v>
      </c>
      <c r="N25" s="18">
        <v>0.05</v>
      </c>
      <c r="O25" s="18">
        <v>0.05</v>
      </c>
    </row>
    <row r="26" spans="1:15" x14ac:dyDescent="0.2">
      <c r="A26" t="s">
        <v>163</v>
      </c>
      <c r="B26" s="18">
        <v>0.12</v>
      </c>
      <c r="C26" s="18">
        <v>0.1</v>
      </c>
      <c r="D26" s="18">
        <v>0.08</v>
      </c>
      <c r="E26" s="18">
        <v>0.08</v>
      </c>
      <c r="J26" t="s">
        <v>172</v>
      </c>
      <c r="K26" t="s">
        <v>163</v>
      </c>
      <c r="L26" s="18">
        <v>0.12</v>
      </c>
      <c r="M26" s="18">
        <v>0.1</v>
      </c>
      <c r="N26" s="18">
        <v>0.08</v>
      </c>
      <c r="O26" s="18">
        <v>0.08</v>
      </c>
    </row>
    <row r="27" spans="1:15" x14ac:dyDescent="0.2">
      <c r="A27" t="s">
        <v>164</v>
      </c>
      <c r="B27" s="18">
        <v>0.05</v>
      </c>
      <c r="C27" s="18">
        <v>0.04</v>
      </c>
      <c r="D27" s="18">
        <v>0.04</v>
      </c>
      <c r="E27" s="18">
        <v>0.03</v>
      </c>
      <c r="J27" t="s">
        <v>172</v>
      </c>
      <c r="K27" t="s">
        <v>164</v>
      </c>
      <c r="L27" s="18">
        <v>0.05</v>
      </c>
      <c r="M27" s="18">
        <v>0.04</v>
      </c>
      <c r="N27" s="18">
        <v>0.04</v>
      </c>
      <c r="O27" s="18">
        <v>0.03</v>
      </c>
    </row>
    <row r="28" spans="1:15" x14ac:dyDescent="0.2">
      <c r="J28" t="s">
        <v>174</v>
      </c>
      <c r="K28" t="s">
        <v>158</v>
      </c>
      <c r="L28" s="18">
        <v>0.1</v>
      </c>
      <c r="M28" s="18">
        <v>0.08</v>
      </c>
      <c r="N28" s="18">
        <v>7.0000000000000007E-2</v>
      </c>
      <c r="O28" s="18">
        <v>0.06</v>
      </c>
    </row>
    <row r="29" spans="1:15" x14ac:dyDescent="0.2">
      <c r="A29" s="31" t="s">
        <v>175</v>
      </c>
      <c r="B29" s="31"/>
      <c r="C29" s="31"/>
      <c r="D29" s="31"/>
      <c r="E29" s="31"/>
      <c r="J29" t="s">
        <v>174</v>
      </c>
      <c r="K29" t="s">
        <v>173</v>
      </c>
      <c r="L29" s="18">
        <v>0.05</v>
      </c>
      <c r="M29" s="18">
        <v>0.04</v>
      </c>
      <c r="N29" s="18">
        <v>0.03</v>
      </c>
      <c r="O29" s="18">
        <v>0.03</v>
      </c>
    </row>
    <row r="30" spans="1:15" x14ac:dyDescent="0.2">
      <c r="J30" t="s">
        <v>174</v>
      </c>
      <c r="K30" t="s">
        <v>160</v>
      </c>
      <c r="L30" s="18">
        <v>0.02</v>
      </c>
      <c r="M30" s="18">
        <v>0.02</v>
      </c>
      <c r="N30" s="18">
        <v>0.01</v>
      </c>
      <c r="O30" s="18">
        <v>0.01</v>
      </c>
    </row>
    <row r="31" spans="1:15" ht="15.75" x14ac:dyDescent="0.25">
      <c r="A31" s="32" t="s">
        <v>176</v>
      </c>
      <c r="B31" s="32"/>
      <c r="C31" s="32"/>
      <c r="D31" s="32"/>
      <c r="E31" s="32"/>
      <c r="F31" s="32"/>
      <c r="G31" s="32"/>
      <c r="H31" s="32"/>
      <c r="J31" t="s">
        <v>174</v>
      </c>
      <c r="K31" t="s">
        <v>162</v>
      </c>
      <c r="L31" s="18">
        <v>0.02</v>
      </c>
      <c r="M31" s="18">
        <v>0.01</v>
      </c>
      <c r="N31" s="18">
        <v>0.01</v>
      </c>
      <c r="O31" s="18">
        <v>0.01</v>
      </c>
    </row>
    <row r="32" spans="1:15" ht="31.5" x14ac:dyDescent="0.25">
      <c r="A32" s="20" t="s">
        <v>170</v>
      </c>
      <c r="B32" s="19" t="s">
        <v>14</v>
      </c>
      <c r="C32" s="19" t="s">
        <v>177</v>
      </c>
      <c r="D32" s="19" t="s">
        <v>178</v>
      </c>
      <c r="E32" s="19" t="s">
        <v>179</v>
      </c>
      <c r="F32" s="19" t="s">
        <v>180</v>
      </c>
      <c r="G32" s="19" t="s">
        <v>181</v>
      </c>
      <c r="H32" s="19" t="s">
        <v>153</v>
      </c>
      <c r="J32" t="s">
        <v>174</v>
      </c>
      <c r="K32" t="s">
        <v>163</v>
      </c>
      <c r="L32" s="18">
        <v>-0.05</v>
      </c>
      <c r="M32" s="18">
        <v>0.04</v>
      </c>
      <c r="N32" s="18">
        <v>0.05</v>
      </c>
      <c r="O32" s="18">
        <v>0.05</v>
      </c>
    </row>
    <row r="33" spans="1:15" x14ac:dyDescent="0.2">
      <c r="A33" t="s">
        <v>158</v>
      </c>
      <c r="B33" s="23">
        <v>4120</v>
      </c>
      <c r="C33" s="23">
        <v>3017</v>
      </c>
      <c r="D33" s="23">
        <f t="shared" ref="D33:D38" si="3">B33-C33</f>
        <v>1103</v>
      </c>
      <c r="E33" s="23">
        <v>3732</v>
      </c>
      <c r="F33" s="24">
        <f t="shared" ref="F33:F39" si="4">E33/C33-1</f>
        <v>0.23699038780245285</v>
      </c>
      <c r="G33" s="23">
        <f t="shared" ref="G33:G38" si="5">D33*(1+F33)</f>
        <v>1364.4003977461055</v>
      </c>
      <c r="H33" s="23">
        <f t="shared" ref="H33:H38" si="6">E33+G33</f>
        <v>5096.4003977461052</v>
      </c>
      <c r="J33" t="s">
        <v>174</v>
      </c>
      <c r="K33" t="s">
        <v>164</v>
      </c>
      <c r="L33" s="18">
        <v>0.02</v>
      </c>
      <c r="M33" s="18">
        <v>0.02</v>
      </c>
      <c r="N33" s="18">
        <v>0.02</v>
      </c>
      <c r="O33" s="18">
        <v>0.02</v>
      </c>
    </row>
    <row r="34" spans="1:15" x14ac:dyDescent="0.2">
      <c r="A34" t="s">
        <v>173</v>
      </c>
      <c r="B34" s="23">
        <v>4182</v>
      </c>
      <c r="C34" s="23">
        <v>3067</v>
      </c>
      <c r="D34" s="23">
        <f t="shared" si="3"/>
        <v>1115</v>
      </c>
      <c r="E34" s="23">
        <v>3583</v>
      </c>
      <c r="F34" s="24">
        <f t="shared" si="4"/>
        <v>0.16824258232800782</v>
      </c>
      <c r="G34" s="23">
        <f t="shared" si="5"/>
        <v>1302.5904792957288</v>
      </c>
      <c r="H34" s="23">
        <f t="shared" si="6"/>
        <v>4885.590479295729</v>
      </c>
      <c r="J34" t="s">
        <v>182</v>
      </c>
      <c r="K34" t="s">
        <v>158</v>
      </c>
      <c r="L34" s="18">
        <v>0.22</v>
      </c>
      <c r="M34" s="18">
        <v>0.2</v>
      </c>
      <c r="N34" s="18">
        <v>0.17</v>
      </c>
      <c r="O34" s="18">
        <v>0.14000000000000001</v>
      </c>
    </row>
    <row r="35" spans="1:15" x14ac:dyDescent="0.2">
      <c r="A35" t="s">
        <v>160</v>
      </c>
      <c r="B35" s="23">
        <v>2775</v>
      </c>
      <c r="C35" s="23">
        <v>1980</v>
      </c>
      <c r="D35" s="23">
        <f t="shared" si="3"/>
        <v>795</v>
      </c>
      <c r="E35" s="23">
        <v>2125</v>
      </c>
      <c r="F35" s="24">
        <f t="shared" si="4"/>
        <v>7.3232323232323315E-2</v>
      </c>
      <c r="G35" s="23">
        <f t="shared" si="5"/>
        <v>853.219696969697</v>
      </c>
      <c r="H35" s="23">
        <f t="shared" si="6"/>
        <v>2978.219696969697</v>
      </c>
      <c r="J35" t="s">
        <v>182</v>
      </c>
      <c r="K35" t="s">
        <v>173</v>
      </c>
      <c r="L35" s="18">
        <v>0.16</v>
      </c>
      <c r="M35" s="18">
        <v>0.14000000000000001</v>
      </c>
      <c r="N35" s="18">
        <v>0.12</v>
      </c>
      <c r="O35" s="18">
        <v>0.1</v>
      </c>
    </row>
    <row r="36" spans="1:15" x14ac:dyDescent="0.2">
      <c r="A36" t="s">
        <v>162</v>
      </c>
      <c r="B36" s="23">
        <v>4933</v>
      </c>
      <c r="C36" s="23">
        <v>4785</v>
      </c>
      <c r="D36" s="23">
        <f t="shared" si="3"/>
        <v>148</v>
      </c>
      <c r="E36" s="23">
        <v>5143</v>
      </c>
      <c r="F36" s="24">
        <f t="shared" si="4"/>
        <v>7.4817136886102364E-2</v>
      </c>
      <c r="G36" s="23">
        <f t="shared" si="5"/>
        <v>159.07293625914315</v>
      </c>
      <c r="H36" s="23">
        <f t="shared" si="6"/>
        <v>5302.0729362591428</v>
      </c>
      <c r="J36" t="s">
        <v>182</v>
      </c>
      <c r="K36" t="s">
        <v>160</v>
      </c>
      <c r="L36" s="18">
        <v>0.06</v>
      </c>
      <c r="M36" s="18">
        <v>0.05</v>
      </c>
      <c r="N36" s="18">
        <v>0.04</v>
      </c>
      <c r="O36" s="18">
        <v>0.03</v>
      </c>
    </row>
    <row r="37" spans="1:15" x14ac:dyDescent="0.2">
      <c r="A37" t="s">
        <v>163</v>
      </c>
      <c r="B37" s="23">
        <v>2200</v>
      </c>
      <c r="C37" s="23">
        <v>1562</v>
      </c>
      <c r="D37" s="23">
        <f t="shared" si="3"/>
        <v>638</v>
      </c>
      <c r="E37" s="23">
        <v>1898</v>
      </c>
      <c r="F37" s="24">
        <f t="shared" si="4"/>
        <v>0.2151088348271446</v>
      </c>
      <c r="G37" s="23">
        <f t="shared" si="5"/>
        <v>775.23943661971828</v>
      </c>
      <c r="H37" s="23">
        <f t="shared" si="6"/>
        <v>2673.2394366197182</v>
      </c>
      <c r="J37" t="s">
        <v>182</v>
      </c>
      <c r="K37" t="s">
        <v>162</v>
      </c>
      <c r="L37" s="18">
        <v>0.1</v>
      </c>
      <c r="M37" s="18">
        <v>0.09</v>
      </c>
      <c r="N37" s="18">
        <v>0.08</v>
      </c>
      <c r="O37" s="18">
        <v>7.0000000000000007E-2</v>
      </c>
    </row>
    <row r="38" spans="1:15" x14ac:dyDescent="0.2">
      <c r="A38" t="s">
        <v>164</v>
      </c>
      <c r="B38" s="23">
        <v>621</v>
      </c>
      <c r="C38" s="23">
        <v>589</v>
      </c>
      <c r="D38" s="23">
        <f t="shared" si="3"/>
        <v>32</v>
      </c>
      <c r="E38" s="23">
        <v>613</v>
      </c>
      <c r="F38" s="24">
        <f t="shared" si="4"/>
        <v>4.0747028862478718E-2</v>
      </c>
      <c r="G38" s="23">
        <f t="shared" si="5"/>
        <v>33.303904923599319</v>
      </c>
      <c r="H38" s="23">
        <f t="shared" si="6"/>
        <v>646.30390492359936</v>
      </c>
      <c r="J38" t="s">
        <v>182</v>
      </c>
      <c r="K38" t="s">
        <v>163</v>
      </c>
      <c r="L38" s="18">
        <v>0.18</v>
      </c>
      <c r="M38" s="18">
        <v>0.16</v>
      </c>
      <c r="N38" s="18">
        <v>0.14000000000000001</v>
      </c>
      <c r="O38" s="18">
        <v>0.12</v>
      </c>
    </row>
    <row r="39" spans="1:15" ht="15.75" x14ac:dyDescent="0.25">
      <c r="A39" s="22" t="s">
        <v>166</v>
      </c>
      <c r="B39" s="26">
        <f>SUM(B33:B38)</f>
        <v>18831</v>
      </c>
      <c r="C39" s="26">
        <f>SUM(C33:C38)</f>
        <v>15000</v>
      </c>
      <c r="D39" s="26">
        <f>SUM(D33:D38)</f>
        <v>3831</v>
      </c>
      <c r="E39" s="26">
        <f>SUM(E33:E38)</f>
        <v>17094</v>
      </c>
      <c r="F39" s="27">
        <f t="shared" si="4"/>
        <v>0.13959999999999995</v>
      </c>
      <c r="G39" s="26">
        <f>SUM(G33:G38)</f>
        <v>4487.8268518139921</v>
      </c>
      <c r="H39" s="26">
        <f>SUM(H33:H38)</f>
        <v>21581.826851813992</v>
      </c>
      <c r="J39" t="s">
        <v>182</v>
      </c>
      <c r="K39" t="s">
        <v>164</v>
      </c>
      <c r="L39" s="18">
        <v>7.0000000000000007E-2</v>
      </c>
      <c r="M39" s="18">
        <v>0.06</v>
      </c>
      <c r="N39" s="18">
        <v>0.05</v>
      </c>
      <c r="O39" s="18">
        <v>0.04</v>
      </c>
    </row>
    <row r="41" spans="1:15" x14ac:dyDescent="0.2">
      <c r="A41" s="31" t="s">
        <v>183</v>
      </c>
      <c r="B41" s="31"/>
      <c r="C41" s="31"/>
      <c r="D41" s="31"/>
      <c r="E41" s="31"/>
      <c r="F41" s="31"/>
      <c r="G41" s="31"/>
      <c r="H41" s="31"/>
    </row>
    <row r="44" spans="1:15" ht="15.75" x14ac:dyDescent="0.25">
      <c r="A44" s="32" t="s">
        <v>184</v>
      </c>
      <c r="B44" s="32"/>
      <c r="C44" s="32"/>
      <c r="D44" s="32"/>
      <c r="E44" s="32"/>
      <c r="F44" s="32"/>
      <c r="G44" s="32"/>
      <c r="J44" s="17" t="s">
        <v>185</v>
      </c>
      <c r="K44" s="16" t="s">
        <v>172</v>
      </c>
      <c r="L44" s="16" t="s">
        <v>174</v>
      </c>
      <c r="M44" s="16" t="s">
        <v>182</v>
      </c>
    </row>
    <row r="45" spans="1:15" ht="15.75" x14ac:dyDescent="0.25">
      <c r="A45" s="17" t="s">
        <v>171</v>
      </c>
      <c r="B45" s="16" t="s">
        <v>153</v>
      </c>
      <c r="C45" s="16" t="s">
        <v>154</v>
      </c>
      <c r="D45" s="16" t="s">
        <v>155</v>
      </c>
      <c r="E45" s="16" t="s">
        <v>156</v>
      </c>
      <c r="F45" s="16" t="s">
        <v>157</v>
      </c>
      <c r="G45" s="16" t="s">
        <v>186</v>
      </c>
      <c r="J45" t="s">
        <v>153</v>
      </c>
      <c r="K45" s="21">
        <f>$B$46</f>
        <v>21581.826851813992</v>
      </c>
      <c r="L45" s="21">
        <f>$B$47</f>
        <v>21581.826851813992</v>
      </c>
      <c r="M45" s="21">
        <f>$B$48</f>
        <v>21581.826851813992</v>
      </c>
    </row>
    <row r="46" spans="1:15" ht="15.75" x14ac:dyDescent="0.25">
      <c r="A46" s="22" t="s">
        <v>172</v>
      </c>
      <c r="B46" s="26">
        <f>B59</f>
        <v>21581.826851813992</v>
      </c>
      <c r="C46" s="26">
        <f>C59</f>
        <v>23958.609798950951</v>
      </c>
      <c r="D46" s="26">
        <f>D59</f>
        <v>26199.884693721899</v>
      </c>
      <c r="E46" s="26">
        <f>E59</f>
        <v>28261.448873763467</v>
      </c>
      <c r="F46" s="26">
        <f>F59</f>
        <v>30283.661456603786</v>
      </c>
      <c r="G46" s="27">
        <f>(F46/B46)^(1/4)-1</f>
        <v>8.8378726998436186E-2</v>
      </c>
      <c r="J46" t="s">
        <v>154</v>
      </c>
      <c r="K46" s="21">
        <f>$C$46</f>
        <v>23958.609798950951</v>
      </c>
      <c r="L46" s="21">
        <f>$C$47</f>
        <v>22380.616374485449</v>
      </c>
      <c r="M46" s="21">
        <f>$C$48</f>
        <v>24720.054263385748</v>
      </c>
    </row>
    <row r="47" spans="1:15" ht="15.75" x14ac:dyDescent="0.25">
      <c r="A47" s="13" t="s">
        <v>174</v>
      </c>
      <c r="B47" s="28">
        <f>B66</f>
        <v>21581.826851813992</v>
      </c>
      <c r="C47" s="28">
        <f>C66</f>
        <v>22380.616374485449</v>
      </c>
      <c r="D47" s="28">
        <f>D66</f>
        <v>23263.898933637545</v>
      </c>
      <c r="E47" s="28">
        <f>E66</f>
        <v>24078.881207755119</v>
      </c>
      <c r="F47" s="28">
        <f>F66</f>
        <v>24871.276743667808</v>
      </c>
      <c r="G47" s="29">
        <f>(F47/B47)^(1/4)-1</f>
        <v>3.6101897356994428E-2</v>
      </c>
      <c r="J47" t="s">
        <v>155</v>
      </c>
      <c r="K47" s="21">
        <f>$D$46</f>
        <v>26199.884693721899</v>
      </c>
      <c r="L47" s="21">
        <f>$D$47</f>
        <v>23263.898933637545</v>
      </c>
      <c r="M47" s="21">
        <f>$D$48</f>
        <v>27985.947035232373</v>
      </c>
    </row>
    <row r="48" spans="1:15" ht="15.75" x14ac:dyDescent="0.25">
      <c r="A48" s="13" t="s">
        <v>182</v>
      </c>
      <c r="B48" s="28">
        <f>B73</f>
        <v>21581.826851813992</v>
      </c>
      <c r="C48" s="28">
        <f>C73</f>
        <v>24720.054263385748</v>
      </c>
      <c r="D48" s="28">
        <f>D73</f>
        <v>27985.947035232373</v>
      </c>
      <c r="E48" s="28">
        <f>E73</f>
        <v>31219.7190393235</v>
      </c>
      <c r="F48" s="28">
        <f>F73</f>
        <v>34280.831386940859</v>
      </c>
      <c r="G48" s="29">
        <f>(F48/B48)^(1/4)-1</f>
        <v>0.12264070651025971</v>
      </c>
      <c r="J48" t="s">
        <v>156</v>
      </c>
      <c r="K48" s="21">
        <f>$E$46</f>
        <v>28261.448873763467</v>
      </c>
      <c r="L48" s="21">
        <f>$E$47</f>
        <v>24078.881207755119</v>
      </c>
      <c r="M48" s="21">
        <f>$E$48</f>
        <v>31219.7190393235</v>
      </c>
    </row>
    <row r="49" spans="1:13" x14ac:dyDescent="0.2">
      <c r="J49" t="s">
        <v>157</v>
      </c>
      <c r="K49" s="21">
        <f>$F$46</f>
        <v>30283.661456603786</v>
      </c>
      <c r="L49" s="21">
        <f>$F$47</f>
        <v>24871.276743667808</v>
      </c>
      <c r="M49" s="21">
        <f>$F$48</f>
        <v>34280.831386940859</v>
      </c>
    </row>
    <row r="50" spans="1:13" x14ac:dyDescent="0.2">
      <c r="A50" s="31" t="s">
        <v>187</v>
      </c>
      <c r="B50" s="31"/>
      <c r="C50" s="31"/>
      <c r="D50" s="31"/>
      <c r="E50" s="31"/>
      <c r="F50" s="31"/>
      <c r="G50" s="31"/>
    </row>
    <row r="52" spans="1:13" ht="15.75" x14ac:dyDescent="0.25">
      <c r="A52" s="20" t="s">
        <v>188</v>
      </c>
      <c r="B52" s="19" t="s">
        <v>153</v>
      </c>
      <c r="C52" s="19" t="s">
        <v>154</v>
      </c>
      <c r="D52" s="19" t="s">
        <v>155</v>
      </c>
      <c r="E52" s="19" t="s">
        <v>156</v>
      </c>
      <c r="F52" s="19" t="s">
        <v>157</v>
      </c>
      <c r="G52" s="19" t="s">
        <v>189</v>
      </c>
    </row>
    <row r="53" spans="1:13" x14ac:dyDescent="0.2">
      <c r="A53" t="s">
        <v>190</v>
      </c>
      <c r="B53" s="23">
        <f>$C$6</f>
        <v>5096.4003977461052</v>
      </c>
      <c r="C53" s="23">
        <f>B53*(1+$L$22)</f>
        <v>6013.7524693404039</v>
      </c>
      <c r="D53" s="23">
        <f>C53*(1+$M$22)</f>
        <v>6915.8153397414635</v>
      </c>
      <c r="E53" s="23">
        <f>D53*(1+$N$22)</f>
        <v>7745.71318051044</v>
      </c>
      <c r="F53" s="23">
        <f>E53*(1+$O$22)</f>
        <v>8520.2844985614847</v>
      </c>
      <c r="G53" t="s">
        <v>191</v>
      </c>
    </row>
    <row r="54" spans="1:13" x14ac:dyDescent="0.2">
      <c r="A54" t="s">
        <v>192</v>
      </c>
      <c r="B54" s="23">
        <f>$C$7</f>
        <v>4885.590479295729</v>
      </c>
      <c r="C54" s="23">
        <f>B54*(1+$L$23)</f>
        <v>5471.8613368112174</v>
      </c>
      <c r="D54" s="23">
        <f>C54*(1+$M$23)</f>
        <v>6019.0474704923399</v>
      </c>
      <c r="E54" s="23">
        <f>D54*(1+$N$23)</f>
        <v>6560.7617428366511</v>
      </c>
      <c r="F54" s="23">
        <f>E54*(1+$O$23)</f>
        <v>7085.6226822635836</v>
      </c>
      <c r="G54" t="s">
        <v>191</v>
      </c>
    </row>
    <row r="55" spans="1:13" x14ac:dyDescent="0.2">
      <c r="A55" t="s">
        <v>193</v>
      </c>
      <c r="B55" s="23">
        <f>$C$8</f>
        <v>2978.219696969697</v>
      </c>
      <c r="C55" s="23">
        <f>B55*(1+$L$24)</f>
        <v>3127.130681818182</v>
      </c>
      <c r="D55" s="23">
        <f>C55*(1+$M$24)</f>
        <v>3252.2159090909095</v>
      </c>
      <c r="E55" s="23">
        <f>D55*(1+$N$24)</f>
        <v>3349.7823863636368</v>
      </c>
      <c r="F55" s="23">
        <f>E55*(1+$O$24)</f>
        <v>3450.2758579545462</v>
      </c>
      <c r="G55" t="s">
        <v>191</v>
      </c>
    </row>
    <row r="56" spans="1:13" x14ac:dyDescent="0.2">
      <c r="A56" t="s">
        <v>194</v>
      </c>
      <c r="B56" s="23">
        <f>$C$10</f>
        <v>5302.0729362591428</v>
      </c>
      <c r="C56" s="23">
        <f>B56*(1+$L$25)</f>
        <v>5673.2180417972831</v>
      </c>
      <c r="D56" s="23">
        <f>C56*(1+$M$25)</f>
        <v>6013.61112430512</v>
      </c>
      <c r="E56" s="23">
        <f>D56*(1+$N$25)</f>
        <v>6314.2916805203758</v>
      </c>
      <c r="F56" s="23">
        <f>E56*(1+$O$25)</f>
        <v>6630.006264546395</v>
      </c>
      <c r="G56" t="s">
        <v>191</v>
      </c>
    </row>
    <row r="57" spans="1:13" x14ac:dyDescent="0.2">
      <c r="A57" t="s">
        <v>195</v>
      </c>
      <c r="B57" s="23">
        <f>$C$11</f>
        <v>2673.2394366197182</v>
      </c>
      <c r="C57" s="23">
        <f>B57*(1+$L$26)</f>
        <v>2994.0281690140846</v>
      </c>
      <c r="D57" s="23">
        <f>C57*(1+$M$26)</f>
        <v>3293.4309859154932</v>
      </c>
      <c r="E57" s="23">
        <f>D57*(1+$N$26)</f>
        <v>3556.9054647887328</v>
      </c>
      <c r="F57" s="23">
        <f>E57*(1+$O$26)</f>
        <v>3841.4579019718317</v>
      </c>
      <c r="G57" t="s">
        <v>191</v>
      </c>
    </row>
    <row r="58" spans="1:13" x14ac:dyDescent="0.2">
      <c r="A58" t="s">
        <v>196</v>
      </c>
      <c r="B58" s="23">
        <f>$C$12</f>
        <v>646.30390492359936</v>
      </c>
      <c r="C58" s="23">
        <f>B58*(1+$L$27)</f>
        <v>678.61910016977936</v>
      </c>
      <c r="D58" s="23">
        <f>C58*(1+$M$27)</f>
        <v>705.76386417657056</v>
      </c>
      <c r="E58" s="23">
        <f>D58*(1+$N$27)</f>
        <v>733.99441874363345</v>
      </c>
      <c r="F58" s="23">
        <f>E58*(1+$O$27)</f>
        <v>756.01425130594248</v>
      </c>
      <c r="G58" t="s">
        <v>191</v>
      </c>
    </row>
    <row r="59" spans="1:13" ht="15.75" x14ac:dyDescent="0.25">
      <c r="A59" s="22" t="s">
        <v>197</v>
      </c>
      <c r="B59" s="26">
        <f>SUM(B53:B58)</f>
        <v>21581.826851813992</v>
      </c>
      <c r="C59" s="26">
        <f>SUM(C53:C58)</f>
        <v>23958.609798950951</v>
      </c>
      <c r="D59" s="26">
        <f>SUM(D53:D58)</f>
        <v>26199.884693721899</v>
      </c>
      <c r="E59" s="26">
        <f>SUM(E53:E58)</f>
        <v>28261.448873763467</v>
      </c>
      <c r="F59" s="26">
        <f>SUM(F53:F58)</f>
        <v>30283.661456603786</v>
      </c>
      <c r="G59" s="22" t="s">
        <v>198</v>
      </c>
    </row>
    <row r="60" spans="1:13" x14ac:dyDescent="0.2">
      <c r="A60" t="s">
        <v>199</v>
      </c>
      <c r="B60" s="23">
        <f>$C$6</f>
        <v>5096.4003977461052</v>
      </c>
      <c r="C60" s="23">
        <f>B60*(1+$L$28)</f>
        <v>5606.0404375207163</v>
      </c>
      <c r="D60" s="23">
        <f>C60*(1+$M$28)</f>
        <v>6054.523672522374</v>
      </c>
      <c r="E60" s="23">
        <f>D60*(1+$N$28)</f>
        <v>6478.3403295989401</v>
      </c>
      <c r="F60" s="23">
        <f>E60*(1+$O$28)</f>
        <v>6867.0407493748771</v>
      </c>
      <c r="G60" t="s">
        <v>191</v>
      </c>
    </row>
    <row r="61" spans="1:13" x14ac:dyDescent="0.2">
      <c r="A61" t="s">
        <v>200</v>
      </c>
      <c r="B61" s="23">
        <f>$C$7</f>
        <v>4885.590479295729</v>
      </c>
      <c r="C61" s="23">
        <f>B61*(1+$L$29)</f>
        <v>5129.8700032605157</v>
      </c>
      <c r="D61" s="23">
        <f>C61*(1+$M$29)</f>
        <v>5335.0648033909365</v>
      </c>
      <c r="E61" s="23">
        <f>D61*(1+$N$29)</f>
        <v>5495.1167474926651</v>
      </c>
      <c r="F61" s="23">
        <f>E61*(1+$O$29)</f>
        <v>5659.9702499174455</v>
      </c>
      <c r="G61" t="s">
        <v>191</v>
      </c>
    </row>
    <row r="62" spans="1:13" x14ac:dyDescent="0.2">
      <c r="A62" t="s">
        <v>201</v>
      </c>
      <c r="B62" s="23">
        <f>$C$8</f>
        <v>2978.219696969697</v>
      </c>
      <c r="C62" s="23">
        <f>B62*(1+$L$30)</f>
        <v>3037.784090909091</v>
      </c>
      <c r="D62" s="23">
        <f>C62*(1+$M$30)</f>
        <v>3098.539772727273</v>
      </c>
      <c r="E62" s="23">
        <f>D62*(1+$N$30)</f>
        <v>3129.5251704545458</v>
      </c>
      <c r="F62" s="23">
        <f>E62*(1+$O$30)</f>
        <v>3160.8204221590913</v>
      </c>
      <c r="G62" t="s">
        <v>191</v>
      </c>
    </row>
    <row r="63" spans="1:13" x14ac:dyDescent="0.2">
      <c r="A63" t="s">
        <v>202</v>
      </c>
      <c r="B63" s="23">
        <f>$C$10</f>
        <v>5302.0729362591428</v>
      </c>
      <c r="C63" s="23">
        <f>B63*(1+$L$31)</f>
        <v>5408.1143949843254</v>
      </c>
      <c r="D63" s="23">
        <f>C63*(1+$M$31)</f>
        <v>5462.1955389341683</v>
      </c>
      <c r="E63" s="23">
        <f>D63*(1+$N$31)</f>
        <v>5516.8174943235099</v>
      </c>
      <c r="F63" s="23">
        <f>E63*(1+$O$31)</f>
        <v>5571.9856692667454</v>
      </c>
      <c r="G63" t="s">
        <v>191</v>
      </c>
    </row>
    <row r="64" spans="1:13" x14ac:dyDescent="0.2">
      <c r="A64" t="s">
        <v>203</v>
      </c>
      <c r="B64" s="23">
        <f>$C$11</f>
        <v>2673.2394366197182</v>
      </c>
      <c r="C64" s="23">
        <f>B64*(1+$L$32)</f>
        <v>2539.577464788732</v>
      </c>
      <c r="D64" s="23">
        <f>C64*(1+$M$32)</f>
        <v>2641.1605633802815</v>
      </c>
      <c r="E64" s="23">
        <f>D64*(1+$N$32)</f>
        <v>2773.2185915492955</v>
      </c>
      <c r="F64" s="23">
        <f>E64*(1+$O$32)</f>
        <v>2911.8795211267602</v>
      </c>
      <c r="G64" t="s">
        <v>191</v>
      </c>
    </row>
    <row r="65" spans="1:7" x14ac:dyDescent="0.2">
      <c r="A65" t="s">
        <v>204</v>
      </c>
      <c r="B65" s="23">
        <f>$C$12</f>
        <v>646.30390492359936</v>
      </c>
      <c r="C65" s="23">
        <f>B65*(1+$L$33)</f>
        <v>659.22998302207134</v>
      </c>
      <c r="D65" s="23">
        <f>C65*(1+$M$33)</f>
        <v>672.41458268251279</v>
      </c>
      <c r="E65" s="23">
        <f>D65*(1+$N$33)</f>
        <v>685.86287433616303</v>
      </c>
      <c r="F65" s="23">
        <f>E65*(1+$O$33)</f>
        <v>699.5801318228863</v>
      </c>
      <c r="G65" t="s">
        <v>191</v>
      </c>
    </row>
    <row r="66" spans="1:7" ht="15.75" x14ac:dyDescent="0.25">
      <c r="A66" s="22" t="s">
        <v>205</v>
      </c>
      <c r="B66" s="26">
        <f>SUM(B60:B65)</f>
        <v>21581.826851813992</v>
      </c>
      <c r="C66" s="26">
        <f>SUM(C60:C65)</f>
        <v>22380.616374485449</v>
      </c>
      <c r="D66" s="26">
        <f>SUM(D60:D65)</f>
        <v>23263.898933637545</v>
      </c>
      <c r="E66" s="26">
        <f>SUM(E60:E65)</f>
        <v>24078.881207755119</v>
      </c>
      <c r="F66" s="26">
        <f>SUM(F60:F65)</f>
        <v>24871.276743667808</v>
      </c>
      <c r="G66" s="22" t="s">
        <v>198</v>
      </c>
    </row>
    <row r="67" spans="1:7" x14ac:dyDescent="0.2">
      <c r="A67" t="s">
        <v>206</v>
      </c>
      <c r="B67" s="23">
        <f>$C$6</f>
        <v>5096.4003977461052</v>
      </c>
      <c r="C67" s="23">
        <f>B67*(1+$L$34)</f>
        <v>6217.6084852502481</v>
      </c>
      <c r="D67" s="23">
        <f>C67*(1+$M$34)</f>
        <v>7461.1301823002977</v>
      </c>
      <c r="E67" s="23">
        <f>D67*(1+$N$34)</f>
        <v>8729.522313291347</v>
      </c>
      <c r="F67" s="23">
        <f>E67*(1+$O$34)</f>
        <v>9951.6554371521361</v>
      </c>
      <c r="G67" t="s">
        <v>191</v>
      </c>
    </row>
    <row r="68" spans="1:7" x14ac:dyDescent="0.2">
      <c r="A68" t="s">
        <v>207</v>
      </c>
      <c r="B68" s="23">
        <f>$C$7</f>
        <v>4885.590479295729</v>
      </c>
      <c r="C68" s="23">
        <f>B68*(1+$L$35)</f>
        <v>5667.2849559830456</v>
      </c>
      <c r="D68" s="23">
        <f>C68*(1+$M$35)</f>
        <v>6460.7048498206723</v>
      </c>
      <c r="E68" s="23">
        <f>D68*(1+$N$35)</f>
        <v>7235.9894317991539</v>
      </c>
      <c r="F68" s="23">
        <f>E68*(1+$O$35)</f>
        <v>7959.5883749790701</v>
      </c>
      <c r="G68" t="s">
        <v>191</v>
      </c>
    </row>
    <row r="69" spans="1:7" x14ac:dyDescent="0.2">
      <c r="A69" t="s">
        <v>208</v>
      </c>
      <c r="B69" s="23">
        <f>$C$8</f>
        <v>2978.219696969697</v>
      </c>
      <c r="C69" s="23">
        <f>B69*(1+$L$36)</f>
        <v>3156.912878787879</v>
      </c>
      <c r="D69" s="23">
        <f>C69*(1+$M$36)</f>
        <v>3314.758522727273</v>
      </c>
      <c r="E69" s="23">
        <f>D69*(1+$N$36)</f>
        <v>3447.3488636363641</v>
      </c>
      <c r="F69" s="23">
        <f>E69*(1+$O$36)</f>
        <v>3550.7693295454551</v>
      </c>
      <c r="G69" t="s">
        <v>191</v>
      </c>
    </row>
    <row r="70" spans="1:7" x14ac:dyDescent="0.2">
      <c r="A70" t="s">
        <v>209</v>
      </c>
      <c r="B70" s="23">
        <f>$C$10</f>
        <v>5302.0729362591428</v>
      </c>
      <c r="C70" s="23">
        <f>B70*(1+$L$37)</f>
        <v>5832.2802298850575</v>
      </c>
      <c r="D70" s="23">
        <f>C70*(1+$M$37)</f>
        <v>6357.1854505747133</v>
      </c>
      <c r="E70" s="23">
        <f>D70*(1+$N$37)</f>
        <v>6865.7602866206907</v>
      </c>
      <c r="F70" s="23">
        <f>E70*(1+$O$37)</f>
        <v>7346.3635066841398</v>
      </c>
      <c r="G70" t="s">
        <v>191</v>
      </c>
    </row>
    <row r="71" spans="1:7" x14ac:dyDescent="0.2">
      <c r="A71" t="s">
        <v>210</v>
      </c>
      <c r="B71" s="23">
        <f>$C$11</f>
        <v>2673.2394366197182</v>
      </c>
      <c r="C71" s="23">
        <f>B71*(1+$L$38)</f>
        <v>3154.4225352112671</v>
      </c>
      <c r="D71" s="23">
        <f>C71*(1+$M$38)</f>
        <v>3659.1301408450695</v>
      </c>
      <c r="E71" s="23">
        <f>D71*(1+$N$38)</f>
        <v>4171.4083605633796</v>
      </c>
      <c r="F71" s="23">
        <f>E71*(1+$O$38)</f>
        <v>4671.9773638309853</v>
      </c>
      <c r="G71" t="s">
        <v>191</v>
      </c>
    </row>
    <row r="72" spans="1:7" x14ac:dyDescent="0.2">
      <c r="A72" t="s">
        <v>211</v>
      </c>
      <c r="B72" s="23">
        <f>$C$12</f>
        <v>646.30390492359936</v>
      </c>
      <c r="C72" s="23">
        <f>B72*(1+$L$39)</f>
        <v>691.54517826825133</v>
      </c>
      <c r="D72" s="23">
        <f>C72*(1+$M$39)</f>
        <v>733.03788896434651</v>
      </c>
      <c r="E72" s="23">
        <f>D72*(1+$N$39)</f>
        <v>769.68978341256388</v>
      </c>
      <c r="F72" s="23">
        <f>E72*(1+$O$39)</f>
        <v>800.47737474906648</v>
      </c>
      <c r="G72" t="s">
        <v>191</v>
      </c>
    </row>
    <row r="73" spans="1:7" ht="15.75" x14ac:dyDescent="0.25">
      <c r="A73" s="22" t="s">
        <v>212</v>
      </c>
      <c r="B73" s="26">
        <f>SUM(B67:B72)</f>
        <v>21581.826851813992</v>
      </c>
      <c r="C73" s="26">
        <f>SUM(C67:C72)</f>
        <v>24720.054263385748</v>
      </c>
      <c r="D73" s="26">
        <f>SUM(D67:D72)</f>
        <v>27985.947035232373</v>
      </c>
      <c r="E73" s="26">
        <f>SUM(E67:E72)</f>
        <v>31219.7190393235</v>
      </c>
      <c r="F73" s="26">
        <f>SUM(F67:F72)</f>
        <v>34280.831386940859</v>
      </c>
      <c r="G73" s="22" t="s">
        <v>198</v>
      </c>
    </row>
  </sheetData>
  <mergeCells count="10">
    <mergeCell ref="A31:H31"/>
    <mergeCell ref="A41:H41"/>
    <mergeCell ref="J20:O20"/>
    <mergeCell ref="A44:G44"/>
    <mergeCell ref="A50:G50"/>
    <mergeCell ref="A1:Q1"/>
    <mergeCell ref="A2:Q2"/>
    <mergeCell ref="A3:Q3"/>
    <mergeCell ref="A20:E20"/>
    <mergeCell ref="A29:E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INTU Model</vt:lpstr>
      <vt:lpstr>5Y Sales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modified xsi:type="dcterms:W3CDTF">2026-07-29T03:26:35Z</dcterms:modified>
</cp:coreProperties>
</file>