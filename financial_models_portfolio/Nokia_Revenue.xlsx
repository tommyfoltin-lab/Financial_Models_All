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8_{0FE1FBCD-3188-4988-8BAF-DCFD0D38F17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Nokia Revenu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E27" i="1"/>
  <c r="D27" i="1"/>
  <c r="C27" i="1"/>
  <c r="G23" i="1"/>
  <c r="F23" i="1"/>
  <c r="E23" i="1"/>
  <c r="D23" i="1"/>
  <c r="C23" i="1"/>
  <c r="G19" i="1"/>
  <c r="F19" i="1"/>
  <c r="E19" i="1"/>
  <c r="D19" i="1"/>
  <c r="C19" i="1"/>
  <c r="G15" i="1"/>
  <c r="F15" i="1"/>
  <c r="E15" i="1"/>
  <c r="D15" i="1"/>
  <c r="C15" i="1"/>
  <c r="G11" i="1"/>
  <c r="F11" i="1"/>
  <c r="E11" i="1"/>
  <c r="D11" i="1"/>
  <c r="C11" i="1"/>
  <c r="D7" i="1"/>
  <c r="E7" i="1"/>
  <c r="F7" i="1"/>
  <c r="G7" i="1"/>
  <c r="C7" i="1"/>
  <c r="C29" i="1"/>
  <c r="D29" i="1"/>
  <c r="D26" i="1" s="1"/>
  <c r="E29" i="1"/>
  <c r="E18" i="1" s="1"/>
  <c r="F29" i="1"/>
  <c r="F31" i="1" s="1"/>
  <c r="G29" i="1"/>
  <c r="B29" i="1"/>
  <c r="B10" i="1" s="1"/>
  <c r="E26" i="1" l="1"/>
  <c r="G31" i="1"/>
  <c r="D31" i="1"/>
  <c r="D18" i="1"/>
  <c r="D10" i="1"/>
  <c r="E31" i="1"/>
  <c r="D22" i="1"/>
  <c r="F26" i="1"/>
  <c r="E22" i="1"/>
  <c r="B22" i="1"/>
  <c r="F22" i="1"/>
  <c r="B18" i="1"/>
  <c r="B30" i="1"/>
  <c r="D30" i="1"/>
  <c r="D14" i="1"/>
  <c r="E14" i="1"/>
  <c r="B26" i="1"/>
  <c r="F30" i="1"/>
  <c r="F18" i="1"/>
  <c r="E30" i="1"/>
  <c r="G30" i="1"/>
  <c r="C30" i="1"/>
  <c r="G26" i="1"/>
  <c r="C31" i="1"/>
  <c r="C14" i="1"/>
  <c r="G22" i="1"/>
  <c r="E10" i="1"/>
  <c r="F14" i="1"/>
  <c r="G18" i="1"/>
  <c r="C26" i="1"/>
  <c r="C22" i="1"/>
  <c r="B14" i="1"/>
  <c r="C10" i="1"/>
  <c r="F10" i="1"/>
  <c r="G14" i="1"/>
  <c r="C18" i="1"/>
  <c r="G10" i="1"/>
  <c r="B6" i="1" l="1"/>
  <c r="C6" i="1"/>
  <c r="D6" i="1"/>
  <c r="E6" i="1"/>
  <c r="F6" i="1"/>
  <c r="G6" i="1"/>
</calcChain>
</file>

<file path=xl/sharedStrings.xml><?xml version="1.0" encoding="utf-8"?>
<sst xmlns="http://schemas.openxmlformats.org/spreadsheetml/2006/main" count="34" uniqueCount="22">
  <si>
    <t>Nokia Revenue by Segment ($mm)</t>
  </si>
  <si>
    <t>Period Ending Dec 31</t>
  </si>
  <si>
    <t>2020</t>
  </si>
  <si>
    <t>2021</t>
  </si>
  <si>
    <t>2022</t>
  </si>
  <si>
    <t>2023</t>
  </si>
  <si>
    <t>2024</t>
  </si>
  <si>
    <t>2025</t>
  </si>
  <si>
    <t>Network Infrastructure Revenue</t>
  </si>
  <si>
    <t>Mobile Network Revenue</t>
  </si>
  <si>
    <t>Cloud and Network Services Revenue</t>
  </si>
  <si>
    <t>Nokia Technologies Revenue</t>
  </si>
  <si>
    <t>Group Common and Other Revenue</t>
  </si>
  <si>
    <t>Eliminations from Revenue</t>
  </si>
  <si>
    <t>Revenue (Total)</t>
  </si>
  <si>
    <t>% of Sales</t>
  </si>
  <si>
    <t>Growth %</t>
  </si>
  <si>
    <t>2026</t>
  </si>
  <si>
    <t>2027</t>
  </si>
  <si>
    <t>2028</t>
  </si>
  <si>
    <t>2029</t>
  </si>
  <si>
    <t>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</si>
</sst>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0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1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164" fontId="1" fillId="0" borderId="0" xfId="1" applyNumberFormat="1" applyAlignment="1">
      <alignment horizontal="right"/>
    </xf>
    <xf numFmtId="165" fontId="1" fillId="0" borderId="0" xfId="1" applyNumberForma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1" applyNumberFormat="1" applyFont="1" applyAlignment="1">
      <alignment horizontal="right"/>
    </xf>
    <xf numFmtId="0" fontId="8" fillId="0" borderId="0" xfId="0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6" sqref="G6"/>
    </sheetView>
  </sheetViews>
  <sheetFormatPr defaultColWidth="8.7109375" defaultRowHeight="15" x14ac:dyDescent="0.25"/>
  <cols>
    <col min="1" max="1" width="40.140625" customWidth="1"/>
    <col min="2" max="12" width="14.7109375" customWidth="1"/>
  </cols>
  <sheetData>
    <row r="1" spans="1:12" ht="18" x14ac:dyDescent="0.25">
      <c r="A1" s="10" t="s">
        <v>0</v>
      </c>
      <c r="B1" s="10"/>
      <c r="C1" s="10"/>
      <c r="D1" s="10"/>
      <c r="E1" s="10"/>
      <c r="F1" s="10"/>
      <c r="G1" s="10"/>
    </row>
    <row r="3" spans="1:12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</row>
    <row r="5" spans="1:12" s="9" customFormat="1" x14ac:dyDescent="0.25">
      <c r="A5" s="7" t="s">
        <v>8</v>
      </c>
      <c r="B5" s="8">
        <v>7900</v>
      </c>
      <c r="C5" s="8">
        <v>9000</v>
      </c>
      <c r="D5" s="8">
        <v>10610</v>
      </c>
      <c r="E5" s="8">
        <v>8110</v>
      </c>
      <c r="F5" s="8">
        <v>7640</v>
      </c>
      <c r="G5" s="8">
        <v>9370</v>
      </c>
    </row>
    <row r="6" spans="1:12" x14ac:dyDescent="0.25">
      <c r="A6" s="6" t="s">
        <v>15</v>
      </c>
      <c r="B6" s="5">
        <f t="shared" ref="B6:G6" si="0">B5/B$29</f>
        <v>0.30834153625901312</v>
      </c>
      <c r="C6" s="5">
        <f t="shared" si="0"/>
        <v>0.34564826908948182</v>
      </c>
      <c r="D6" s="5">
        <f t="shared" si="0"/>
        <v>0.3631111886843465</v>
      </c>
      <c r="E6" s="5">
        <f t="shared" si="0"/>
        <v>0.32715371827748524</v>
      </c>
      <c r="F6" s="5">
        <f t="shared" si="0"/>
        <v>0.33892786115669338</v>
      </c>
      <c r="G6" s="5">
        <f t="shared" si="0"/>
        <v>0.40148648550213878</v>
      </c>
    </row>
    <row r="7" spans="1:12" x14ac:dyDescent="0.25">
      <c r="A7" s="6" t="s">
        <v>16</v>
      </c>
      <c r="B7" s="4"/>
      <c r="C7" s="5">
        <f>C5/B5-1</f>
        <v>0.139240506329114</v>
      </c>
      <c r="D7" s="5">
        <f>D5/C5-1</f>
        <v>0.17888888888888888</v>
      </c>
      <c r="E7" s="5">
        <f>E5/D5-1</f>
        <v>-0.23562676720075404</v>
      </c>
      <c r="F7" s="5">
        <f>F5/E5-1</f>
        <v>-5.7953144266337908E-2</v>
      </c>
      <c r="G7" s="5">
        <f>G5/F5-1</f>
        <v>0.22643979057591612</v>
      </c>
    </row>
    <row r="8" spans="1:12" x14ac:dyDescent="0.25">
      <c r="A8" s="3"/>
      <c r="B8" s="4"/>
      <c r="C8" s="4"/>
      <c r="D8" s="4"/>
      <c r="E8" s="4"/>
      <c r="F8" s="4"/>
      <c r="G8" s="4"/>
    </row>
    <row r="9" spans="1:12" x14ac:dyDescent="0.25">
      <c r="A9" s="7" t="s">
        <v>9</v>
      </c>
      <c r="B9" s="8">
        <v>12190</v>
      </c>
      <c r="C9" s="8">
        <v>11400</v>
      </c>
      <c r="D9" s="8">
        <v>12520</v>
      </c>
      <c r="E9" s="8">
        <v>12070</v>
      </c>
      <c r="F9" s="8">
        <v>9570</v>
      </c>
      <c r="G9" s="8">
        <v>9160</v>
      </c>
    </row>
    <row r="10" spans="1:12" x14ac:dyDescent="0.25">
      <c r="A10" s="6" t="s">
        <v>15</v>
      </c>
      <c r="B10" s="5">
        <f t="shared" ref="B10:G10" si="1">B9/B$29</f>
        <v>0.4757826996199202</v>
      </c>
      <c r="C10" s="5">
        <f t="shared" si="1"/>
        <v>0.437821140846677</v>
      </c>
      <c r="D10" s="5">
        <f t="shared" si="1"/>
        <v>0.4284780473447708</v>
      </c>
      <c r="E10" s="5">
        <f t="shared" si="1"/>
        <v>0.48689832054368026</v>
      </c>
      <c r="F10" s="5">
        <f t="shared" si="1"/>
        <v>0.42454707215570103</v>
      </c>
      <c r="G10" s="5">
        <f t="shared" si="1"/>
        <v>0.3924883892422189</v>
      </c>
    </row>
    <row r="11" spans="1:12" x14ac:dyDescent="0.25">
      <c r="A11" s="6" t="s">
        <v>16</v>
      </c>
      <c r="B11" s="4"/>
      <c r="C11" s="5">
        <f>C9/B9-1</f>
        <v>-6.480721903199349E-2</v>
      </c>
      <c r="D11" s="5">
        <f>D9/C9-1</f>
        <v>9.8245614035087803E-2</v>
      </c>
      <c r="E11" s="5">
        <f>E9/D9-1</f>
        <v>-3.5942492012779548E-2</v>
      </c>
      <c r="F11" s="5">
        <f>F9/E9-1</f>
        <v>-0.20712510356255176</v>
      </c>
      <c r="G11" s="5">
        <f>G9/F9-1</f>
        <v>-4.2842215256008398E-2</v>
      </c>
    </row>
    <row r="12" spans="1:12" x14ac:dyDescent="0.25">
      <c r="A12" s="3"/>
      <c r="B12" s="4"/>
      <c r="C12" s="4"/>
      <c r="D12" s="4"/>
      <c r="E12" s="4"/>
      <c r="F12" s="4"/>
      <c r="G12" s="4"/>
    </row>
    <row r="13" spans="1:12" x14ac:dyDescent="0.25">
      <c r="A13" s="7" t="s">
        <v>10</v>
      </c>
      <c r="B13" s="8">
        <v>3620</v>
      </c>
      <c r="C13" s="8">
        <v>3620</v>
      </c>
      <c r="D13" s="8">
        <v>3930</v>
      </c>
      <c r="E13" s="8">
        <v>3200</v>
      </c>
      <c r="F13" s="8">
        <v>3040</v>
      </c>
      <c r="G13" s="8">
        <v>3060</v>
      </c>
    </row>
    <row r="14" spans="1:12" x14ac:dyDescent="0.25">
      <c r="A14" s="6" t="s">
        <v>15</v>
      </c>
      <c r="B14" s="5">
        <f t="shared" ref="B14:G14" si="2">B13/B$29</f>
        <v>0.141290678640206</v>
      </c>
      <c r="C14" s="5">
        <f t="shared" si="2"/>
        <v>0.13902741490043602</v>
      </c>
      <c r="D14" s="5">
        <f t="shared" si="2"/>
        <v>0.13449830080390968</v>
      </c>
      <c r="E14" s="5">
        <f t="shared" si="2"/>
        <v>0.12908654728581415</v>
      </c>
      <c r="F14" s="5">
        <f t="shared" si="2"/>
        <v>0.13486134789480994</v>
      </c>
      <c r="G14" s="5">
        <f t="shared" si="2"/>
        <v>0.1311151169302609</v>
      </c>
    </row>
    <row r="15" spans="1:12" x14ac:dyDescent="0.25">
      <c r="A15" s="6" t="s">
        <v>16</v>
      </c>
      <c r="B15" s="4"/>
      <c r="C15" s="5">
        <f>C13/B13-1</f>
        <v>0</v>
      </c>
      <c r="D15" s="5">
        <f>D13/C13-1</f>
        <v>8.5635359116022158E-2</v>
      </c>
      <c r="E15" s="5">
        <f>E13/D13-1</f>
        <v>-0.18575063613231557</v>
      </c>
      <c r="F15" s="5">
        <f>F13/E13-1</f>
        <v>-5.0000000000000044E-2</v>
      </c>
      <c r="G15" s="5">
        <f>G13/F13-1</f>
        <v>6.5789473684210176E-3</v>
      </c>
    </row>
    <row r="16" spans="1:12" x14ac:dyDescent="0.25">
      <c r="A16" s="3"/>
      <c r="B16" s="4"/>
      <c r="C16" s="4"/>
      <c r="D16" s="4"/>
      <c r="E16" s="4"/>
      <c r="F16" s="4"/>
      <c r="G16" s="4"/>
    </row>
    <row r="17" spans="1:7" x14ac:dyDescent="0.25">
      <c r="A17" s="7" t="s">
        <v>11</v>
      </c>
      <c r="B17" s="8">
        <v>1640</v>
      </c>
      <c r="C17" s="8">
        <v>1760</v>
      </c>
      <c r="D17" s="8">
        <v>1870</v>
      </c>
      <c r="E17" s="8">
        <v>1270</v>
      </c>
      <c r="F17" s="8">
        <v>2260</v>
      </c>
      <c r="G17" s="8">
        <v>1760</v>
      </c>
    </row>
    <row r="18" spans="1:7" x14ac:dyDescent="0.25">
      <c r="A18" s="6" t="s">
        <v>15</v>
      </c>
      <c r="B18" s="5">
        <f t="shared" ref="B18:G18" si="3">B17/B$29</f>
        <v>6.4010141704402723E-2</v>
      </c>
      <c r="C18" s="5">
        <f t="shared" si="3"/>
        <v>6.759343928860978E-2</v>
      </c>
      <c r="D18" s="5">
        <f t="shared" si="3"/>
        <v>6.3997919212038457E-2</v>
      </c>
      <c r="E18" s="5">
        <f t="shared" si="3"/>
        <v>5.1231223454057492E-2</v>
      </c>
      <c r="F18" s="5">
        <f t="shared" si="3"/>
        <v>0.10025876521127318</v>
      </c>
      <c r="G18" s="5">
        <f t="shared" si="3"/>
        <v>7.5412616273614105E-2</v>
      </c>
    </row>
    <row r="19" spans="1:7" x14ac:dyDescent="0.25">
      <c r="A19" s="6" t="s">
        <v>16</v>
      </c>
      <c r="B19" s="4"/>
      <c r="C19" s="5">
        <f>C17/B17-1</f>
        <v>7.3170731707317138E-2</v>
      </c>
      <c r="D19" s="5">
        <f>D17/C17-1</f>
        <v>6.25E-2</v>
      </c>
      <c r="E19" s="5">
        <f>E17/D17-1</f>
        <v>-0.32085561497326198</v>
      </c>
      <c r="F19" s="5">
        <f>F17/E17-1</f>
        <v>0.77952755905511806</v>
      </c>
      <c r="G19" s="5">
        <f>G17/F17-1</f>
        <v>-0.22123893805309736</v>
      </c>
    </row>
    <row r="20" spans="1:7" x14ac:dyDescent="0.25">
      <c r="A20" s="3"/>
      <c r="B20" s="4"/>
      <c r="C20" s="4"/>
      <c r="D20" s="4"/>
      <c r="E20" s="4"/>
      <c r="F20" s="4"/>
      <c r="G20" s="4"/>
    </row>
    <row r="21" spans="1:7" x14ac:dyDescent="0.25">
      <c r="A21" s="7" t="s">
        <v>12</v>
      </c>
      <c r="B21" s="8">
        <v>315.51</v>
      </c>
      <c r="C21" s="8">
        <v>301.43</v>
      </c>
      <c r="D21" s="8">
        <v>346</v>
      </c>
      <c r="E21" s="8">
        <v>152.47</v>
      </c>
      <c r="F21" s="8">
        <v>39.880000000000003</v>
      </c>
      <c r="G21" s="8">
        <v>19.940000000000001</v>
      </c>
    </row>
    <row r="22" spans="1:7" x14ac:dyDescent="0.25">
      <c r="A22" s="6" t="s">
        <v>15</v>
      </c>
      <c r="B22" s="5">
        <f t="shared" ref="B22:G22" si="4">B21/B$29</f>
        <v>1.2314536468997623E-2</v>
      </c>
      <c r="C22" s="5">
        <f t="shared" si="4"/>
        <v>1.157652863907139E-2</v>
      </c>
      <c r="D22" s="5">
        <f t="shared" si="4"/>
        <v>1.1841326228537596E-2</v>
      </c>
      <c r="E22" s="5">
        <f t="shared" si="4"/>
        <v>6.1505705827087764E-3</v>
      </c>
      <c r="F22" s="5">
        <f t="shared" si="4"/>
        <v>1.7691679454095463E-3</v>
      </c>
      <c r="G22" s="5">
        <f t="shared" si="4"/>
        <v>8.543906639181054E-4</v>
      </c>
    </row>
    <row r="23" spans="1:7" x14ac:dyDescent="0.25">
      <c r="A23" s="6" t="s">
        <v>16</v>
      </c>
      <c r="B23" s="4"/>
      <c r="C23" s="5">
        <f>C21/B21-1</f>
        <v>-4.4626160818991401E-2</v>
      </c>
      <c r="D23" s="5">
        <f>D21/C21-1</f>
        <v>0.14786185847460431</v>
      </c>
      <c r="E23" s="5">
        <f>E21/D21-1</f>
        <v>-0.55933526011560697</v>
      </c>
      <c r="F23" s="5">
        <f>F21/E21-1</f>
        <v>-0.73844034892109922</v>
      </c>
      <c r="G23" s="5">
        <f>G21/F21-1</f>
        <v>-0.5</v>
      </c>
    </row>
    <row r="24" spans="1:7" x14ac:dyDescent="0.25">
      <c r="A24" s="3"/>
      <c r="B24" s="4"/>
      <c r="C24" s="4"/>
      <c r="D24" s="4"/>
      <c r="E24" s="4"/>
      <c r="F24" s="4"/>
      <c r="G24" s="4"/>
    </row>
    <row r="25" spans="1:7" x14ac:dyDescent="0.25">
      <c r="A25" s="7" t="s">
        <v>13</v>
      </c>
      <c r="B25" s="8">
        <v>-44.57</v>
      </c>
      <c r="C25" s="8">
        <v>-43.4</v>
      </c>
      <c r="D25" s="8">
        <v>-56.3</v>
      </c>
      <c r="E25" s="8">
        <v>-12.9</v>
      </c>
      <c r="F25" s="8">
        <v>-8.2100000000000009</v>
      </c>
      <c r="G25" s="8">
        <v>-31.67</v>
      </c>
    </row>
    <row r="26" spans="1:7" x14ac:dyDescent="0.25">
      <c r="A26" s="6" t="s">
        <v>15</v>
      </c>
      <c r="B26" s="5">
        <f t="shared" ref="B26:G26" si="5">B25/B$29</f>
        <v>-1.7395926925397739E-3</v>
      </c>
      <c r="C26" s="5">
        <f t="shared" si="5"/>
        <v>-1.6667927642759455E-3</v>
      </c>
      <c r="D26" s="5">
        <f t="shared" si="5"/>
        <v>-1.9267822736030826E-3</v>
      </c>
      <c r="E26" s="5">
        <f t="shared" si="5"/>
        <v>-5.203801437459383E-4</v>
      </c>
      <c r="F26" s="5">
        <f t="shared" si="5"/>
        <v>-3.6421436388697027E-4</v>
      </c>
      <c r="G26" s="5">
        <f t="shared" si="5"/>
        <v>-1.3569986121507722E-3</v>
      </c>
    </row>
    <row r="27" spans="1:7" x14ac:dyDescent="0.25">
      <c r="A27" s="6" t="s">
        <v>16</v>
      </c>
      <c r="B27" s="4"/>
      <c r="C27" s="5">
        <f>C25/B25-1</f>
        <v>-2.6250841373120948E-2</v>
      </c>
      <c r="D27" s="5">
        <f>D25/C25-1</f>
        <v>0.29723502304147464</v>
      </c>
      <c r="E27" s="5">
        <f>E25/D25-1</f>
        <v>-0.77087033747779743</v>
      </c>
      <c r="F27" s="5">
        <f>F25/E25-1</f>
        <v>-0.36356589147286822</v>
      </c>
      <c r="G27" s="5">
        <f>G25/F25-1</f>
        <v>2.8574908647990256</v>
      </c>
    </row>
    <row r="28" spans="1:7" x14ac:dyDescent="0.25">
      <c r="A28" s="3"/>
      <c r="B28" s="4"/>
      <c r="C28" s="4"/>
      <c r="D28" s="4"/>
      <c r="E28" s="4"/>
      <c r="F28" s="4"/>
      <c r="G28" s="4"/>
    </row>
    <row r="29" spans="1:7" x14ac:dyDescent="0.25">
      <c r="A29" s="7" t="s">
        <v>14</v>
      </c>
      <c r="B29" s="8">
        <f t="shared" ref="B29:G29" si="6">SUM(B25,B21,B17,B13,B9,B5)</f>
        <v>25620.940000000002</v>
      </c>
      <c r="C29" s="8">
        <f t="shared" si="6"/>
        <v>26038.03</v>
      </c>
      <c r="D29" s="8">
        <f t="shared" si="6"/>
        <v>29219.7</v>
      </c>
      <c r="E29" s="8">
        <f t="shared" si="6"/>
        <v>24789.57</v>
      </c>
      <c r="F29" s="8">
        <f t="shared" si="6"/>
        <v>22541.67</v>
      </c>
      <c r="G29" s="8">
        <f t="shared" si="6"/>
        <v>23338.27</v>
      </c>
    </row>
    <row r="30" spans="1:7" x14ac:dyDescent="0.25">
      <c r="A30" s="6" t="s">
        <v>15</v>
      </c>
      <c r="B30" s="5">
        <f t="shared" ref="B30:G30" si="7">B29/B$29</f>
        <v>1</v>
      </c>
      <c r="C30" s="5">
        <f t="shared" si="7"/>
        <v>1</v>
      </c>
      <c r="D30" s="5">
        <f t="shared" si="7"/>
        <v>1</v>
      </c>
      <c r="E30" s="5">
        <f t="shared" si="7"/>
        <v>1</v>
      </c>
      <c r="F30" s="5">
        <f t="shared" si="7"/>
        <v>1</v>
      </c>
      <c r="G30" s="5">
        <f t="shared" si="7"/>
        <v>1</v>
      </c>
    </row>
    <row r="31" spans="1:7" x14ac:dyDescent="0.25">
      <c r="A31" s="6" t="s">
        <v>16</v>
      </c>
      <c r="B31" s="4"/>
      <c r="C31" s="5">
        <f>C29/B29-1</f>
        <v>1.62792621972494E-2</v>
      </c>
      <c r="D31" s="5">
        <f>D29/C29-1</f>
        <v>0.12219319203488133</v>
      </c>
      <c r="E31" s="5">
        <f>E29/D29-1</f>
        <v>-0.15161449296194007</v>
      </c>
      <c r="F31" s="5">
        <f>F29/E29-1</f>
        <v>-9.0679265513681773E-2</v>
      </c>
      <c r="G31" s="5">
        <f>G29/F29-1</f>
        <v>3.5338996622699348E-2</v>
      </c>
    </row>
  </sheetData>
  <mergeCells count="1">
    <mergeCell ref="A1:G1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Nokia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Tomohawk WR</cp:lastModifiedBy>
  <cp:revision>0</cp:revision>
  <dcterms:created xsi:type="dcterms:W3CDTF">2026-05-03T19:29:05Z</dcterms:created>
  <dcterms:modified xsi:type="dcterms:W3CDTF">2026-05-17T22:52:55Z</dcterms:modified>
  <dc:language>en-US</dc:language>
</cp:coreProperties>
</file>