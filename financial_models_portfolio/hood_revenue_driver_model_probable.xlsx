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11_EDFAB54656465BAA441FFDD4BD64A18FBFAD1C97" xr6:coauthVersionLast="47" xr6:coauthVersionMax="47" xr10:uidLastSave="{00000000-0000-0000-0000-000000000000}"/>
  <bookViews>
    <workbookView xWindow="420" yWindow="240" windowWidth="26955" windowHeight="15015" xr2:uid="{00000000-000D-0000-FFFF-FFFF00000000}"/>
  </bookViews>
  <sheets>
    <sheet name="Revenue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8" i="1" l="1"/>
  <c r="B107" i="1"/>
  <c r="B106" i="1"/>
  <c r="B105" i="1"/>
  <c r="B103" i="1"/>
  <c r="B102" i="1"/>
  <c r="B101" i="1"/>
  <c r="B99" i="1"/>
  <c r="I64" i="1"/>
  <c r="H64" i="1"/>
  <c r="G64" i="1"/>
  <c r="F64" i="1"/>
  <c r="E64" i="1"/>
  <c r="D64" i="1"/>
  <c r="C64" i="1"/>
  <c r="B64" i="1"/>
  <c r="U62" i="1"/>
  <c r="T62" i="1"/>
  <c r="S62" i="1"/>
  <c r="R62" i="1"/>
  <c r="Q62" i="1"/>
  <c r="P62" i="1"/>
  <c r="O62" i="1"/>
  <c r="N62" i="1"/>
  <c r="M62" i="1"/>
  <c r="L62" i="1"/>
  <c r="K62" i="1"/>
  <c r="J62" i="1"/>
  <c r="I35" i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H35" i="1"/>
  <c r="G35" i="1"/>
  <c r="F35" i="1"/>
  <c r="E35" i="1"/>
  <c r="D35" i="1"/>
  <c r="C35" i="1"/>
  <c r="B35" i="1"/>
  <c r="J33" i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I33" i="1"/>
  <c r="H33" i="1"/>
  <c r="G33" i="1"/>
  <c r="F33" i="1"/>
  <c r="E33" i="1"/>
  <c r="D33" i="1"/>
  <c r="C33" i="1"/>
  <c r="B33" i="1"/>
  <c r="J31" i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I31" i="1"/>
  <c r="H31" i="1"/>
  <c r="G31" i="1"/>
  <c r="F31" i="1"/>
  <c r="E31" i="1"/>
  <c r="D31" i="1"/>
  <c r="C31" i="1"/>
  <c r="B31" i="1"/>
  <c r="I30" i="1"/>
  <c r="H30" i="1"/>
  <c r="G30" i="1"/>
  <c r="F30" i="1"/>
  <c r="E30" i="1"/>
  <c r="D30" i="1"/>
  <c r="C30" i="1"/>
  <c r="B30" i="1"/>
  <c r="J28" i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I28" i="1"/>
  <c r="H28" i="1"/>
  <c r="G28" i="1"/>
  <c r="F28" i="1"/>
  <c r="E28" i="1"/>
  <c r="D28" i="1"/>
  <c r="C28" i="1"/>
  <c r="B28" i="1"/>
  <c r="U26" i="1"/>
  <c r="T26" i="1"/>
  <c r="S26" i="1"/>
  <c r="R26" i="1"/>
  <c r="Q26" i="1"/>
  <c r="P26" i="1"/>
  <c r="O26" i="1"/>
  <c r="N26" i="1"/>
  <c r="M26" i="1"/>
  <c r="L26" i="1"/>
  <c r="K26" i="1"/>
  <c r="J26" i="1"/>
  <c r="U25" i="1"/>
  <c r="T25" i="1"/>
  <c r="S25" i="1"/>
  <c r="R25" i="1"/>
  <c r="Q25" i="1"/>
  <c r="P25" i="1"/>
  <c r="O25" i="1"/>
  <c r="N25" i="1"/>
  <c r="M25" i="1"/>
  <c r="L25" i="1"/>
  <c r="K25" i="1"/>
  <c r="J25" i="1"/>
  <c r="I22" i="1"/>
  <c r="H22" i="1"/>
  <c r="G22" i="1"/>
  <c r="F22" i="1"/>
  <c r="E22" i="1"/>
  <c r="D22" i="1"/>
  <c r="C22" i="1"/>
  <c r="B22" i="1"/>
  <c r="I20" i="1"/>
  <c r="H20" i="1"/>
  <c r="G20" i="1"/>
  <c r="F20" i="1"/>
  <c r="E20" i="1"/>
  <c r="D20" i="1"/>
  <c r="C20" i="1"/>
  <c r="B20" i="1"/>
  <c r="I18" i="1"/>
  <c r="H18" i="1"/>
  <c r="G18" i="1"/>
  <c r="F18" i="1"/>
  <c r="E18" i="1"/>
  <c r="D18" i="1"/>
  <c r="C18" i="1"/>
  <c r="B18" i="1"/>
  <c r="I15" i="1"/>
  <c r="J15" i="1" s="1"/>
  <c r="H15" i="1"/>
  <c r="G15" i="1"/>
  <c r="F15" i="1"/>
  <c r="E15" i="1"/>
  <c r="D15" i="1"/>
  <c r="C15" i="1"/>
  <c r="I12" i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H12" i="1"/>
  <c r="G12" i="1"/>
  <c r="F12" i="1"/>
  <c r="E12" i="1"/>
  <c r="D12" i="1"/>
  <c r="C12" i="1"/>
  <c r="B12" i="1"/>
  <c r="J10" i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I10" i="1"/>
  <c r="H10" i="1"/>
  <c r="G10" i="1"/>
  <c r="F10" i="1"/>
  <c r="E10" i="1"/>
  <c r="D10" i="1"/>
  <c r="C10" i="1"/>
  <c r="B10" i="1"/>
  <c r="J8" i="1"/>
  <c r="I8" i="1"/>
  <c r="H8" i="1"/>
  <c r="G8" i="1"/>
  <c r="F8" i="1"/>
  <c r="E8" i="1"/>
  <c r="D8" i="1"/>
  <c r="C8" i="1"/>
  <c r="L47" i="1" l="1"/>
  <c r="M47" i="1"/>
  <c r="N47" i="1"/>
  <c r="O47" i="1"/>
  <c r="P47" i="1"/>
  <c r="Q47" i="1"/>
  <c r="R47" i="1"/>
  <c r="F47" i="1"/>
  <c r="F61" i="1" s="1"/>
  <c r="S47" i="1"/>
  <c r="T47" i="1"/>
  <c r="U47" i="1"/>
  <c r="H47" i="1"/>
  <c r="H61" i="1" s="1"/>
  <c r="I47" i="1"/>
  <c r="I61" i="1" s="1"/>
  <c r="J47" i="1"/>
  <c r="K47" i="1"/>
  <c r="G47" i="1"/>
  <c r="G61" i="1" s="1"/>
  <c r="E47" i="1"/>
  <c r="E61" i="1" s="1"/>
  <c r="D47" i="1"/>
  <c r="D61" i="1" s="1"/>
  <c r="C47" i="1"/>
  <c r="C61" i="1" s="1"/>
  <c r="B47" i="1"/>
  <c r="B61" i="1" s="1"/>
  <c r="K46" i="1"/>
  <c r="G46" i="1"/>
  <c r="G60" i="1" s="1"/>
  <c r="E46" i="1"/>
  <c r="E60" i="1" s="1"/>
  <c r="C46" i="1"/>
  <c r="C60" i="1" s="1"/>
  <c r="P46" i="1"/>
  <c r="J46" i="1"/>
  <c r="H46" i="1"/>
  <c r="H60" i="1" s="1"/>
  <c r="F46" i="1"/>
  <c r="F60" i="1" s="1"/>
  <c r="D46" i="1"/>
  <c r="D60" i="1" s="1"/>
  <c r="B46" i="1"/>
  <c r="B60" i="1" s="1"/>
  <c r="I46" i="1"/>
  <c r="I60" i="1" s="1"/>
  <c r="R46" i="1"/>
  <c r="L46" i="1"/>
  <c r="Q46" i="1"/>
  <c r="O46" i="1"/>
  <c r="N46" i="1"/>
  <c r="M46" i="1"/>
  <c r="U46" i="1"/>
  <c r="T46" i="1"/>
  <c r="S46" i="1"/>
  <c r="K45" i="1"/>
  <c r="L45" i="1"/>
  <c r="M45" i="1"/>
  <c r="N45" i="1"/>
  <c r="O45" i="1"/>
  <c r="P45" i="1"/>
  <c r="C45" i="1"/>
  <c r="C54" i="1" s="1"/>
  <c r="Q45" i="1"/>
  <c r="R45" i="1"/>
  <c r="S45" i="1"/>
  <c r="U45" i="1"/>
  <c r="B45" i="1"/>
  <c r="B54" i="1" s="1"/>
  <c r="I45" i="1"/>
  <c r="I54" i="1" s="1"/>
  <c r="H45" i="1"/>
  <c r="H54" i="1" s="1"/>
  <c r="G45" i="1"/>
  <c r="G54" i="1" s="1"/>
  <c r="F45" i="1"/>
  <c r="F54" i="1" s="1"/>
  <c r="E45" i="1"/>
  <c r="E54" i="1" s="1"/>
  <c r="D45" i="1"/>
  <c r="D54" i="1" s="1"/>
  <c r="T45" i="1"/>
  <c r="J45" i="1"/>
  <c r="C44" i="1"/>
  <c r="C58" i="1" s="1"/>
  <c r="U44" i="1"/>
  <c r="S44" i="1"/>
  <c r="Q44" i="1"/>
  <c r="O44" i="1"/>
  <c r="N44" i="1"/>
  <c r="B44" i="1"/>
  <c r="B58" i="1" s="1"/>
  <c r="T44" i="1"/>
  <c r="R44" i="1"/>
  <c r="P44" i="1"/>
  <c r="M44" i="1"/>
  <c r="L44" i="1"/>
  <c r="K44" i="1"/>
  <c r="J44" i="1"/>
  <c r="I44" i="1"/>
  <c r="I58" i="1" s="1"/>
  <c r="H44" i="1"/>
  <c r="H58" i="1" s="1"/>
  <c r="G44" i="1"/>
  <c r="G58" i="1" s="1"/>
  <c r="F44" i="1"/>
  <c r="F58" i="1" s="1"/>
  <c r="E44" i="1"/>
  <c r="E58" i="1" s="1"/>
  <c r="D44" i="1"/>
  <c r="D58" i="1" s="1"/>
  <c r="Q42" i="1"/>
  <c r="P42" i="1"/>
  <c r="O42" i="1"/>
  <c r="U42" i="1"/>
  <c r="B42" i="1"/>
  <c r="B56" i="1" s="1"/>
  <c r="C42" i="1"/>
  <c r="C56" i="1" s="1"/>
  <c r="D42" i="1"/>
  <c r="D56" i="1" s="1"/>
  <c r="M42" i="1"/>
  <c r="E42" i="1"/>
  <c r="E56" i="1" s="1"/>
  <c r="F42" i="1"/>
  <c r="F56" i="1" s="1"/>
  <c r="G42" i="1"/>
  <c r="G56" i="1" s="1"/>
  <c r="H42" i="1"/>
  <c r="H56" i="1" s="1"/>
  <c r="I42" i="1"/>
  <c r="I56" i="1" s="1"/>
  <c r="T42" i="1"/>
  <c r="J42" i="1"/>
  <c r="K42" i="1"/>
  <c r="L42" i="1"/>
  <c r="S42" i="1"/>
  <c r="R42" i="1"/>
  <c r="N42" i="1"/>
  <c r="L41" i="1"/>
  <c r="J41" i="1"/>
  <c r="I41" i="1"/>
  <c r="I53" i="1" s="1"/>
  <c r="H41" i="1"/>
  <c r="H53" i="1" s="1"/>
  <c r="B41" i="1"/>
  <c r="B53" i="1" s="1"/>
  <c r="C41" i="1"/>
  <c r="C53" i="1" s="1"/>
  <c r="D41" i="1"/>
  <c r="D53" i="1" s="1"/>
  <c r="E41" i="1"/>
  <c r="E53" i="1" s="1"/>
  <c r="F41" i="1"/>
  <c r="F53" i="1" s="1"/>
  <c r="G41" i="1"/>
  <c r="G53" i="1" s="1"/>
  <c r="K41" i="1"/>
  <c r="U41" i="1"/>
  <c r="T41" i="1"/>
  <c r="S41" i="1"/>
  <c r="R41" i="1"/>
  <c r="Q41" i="1"/>
  <c r="P41" i="1"/>
  <c r="O41" i="1"/>
  <c r="N41" i="1"/>
  <c r="M41" i="1"/>
  <c r="G40" i="1"/>
  <c r="G52" i="1" s="1"/>
  <c r="H40" i="1"/>
  <c r="H52" i="1" s="1"/>
  <c r="I40" i="1"/>
  <c r="I52" i="1" s="1"/>
  <c r="T40" i="1"/>
  <c r="S40" i="1"/>
  <c r="R40" i="1"/>
  <c r="Q40" i="1"/>
  <c r="P40" i="1"/>
  <c r="O40" i="1"/>
  <c r="N40" i="1"/>
  <c r="L40" i="1"/>
  <c r="K40" i="1"/>
  <c r="M40" i="1"/>
  <c r="J40" i="1"/>
  <c r="U40" i="1"/>
  <c r="F40" i="1"/>
  <c r="F52" i="1" s="1"/>
  <c r="E40" i="1"/>
  <c r="E52" i="1" s="1"/>
  <c r="D40" i="1"/>
  <c r="D52" i="1" s="1"/>
  <c r="C40" i="1"/>
  <c r="C52" i="1" s="1"/>
  <c r="B40" i="1"/>
  <c r="B52" i="1" s="1"/>
  <c r="F38" i="1"/>
  <c r="F50" i="1" s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I50" i="1" s="1"/>
  <c r="H38" i="1"/>
  <c r="H50" i="1" s="1"/>
  <c r="G38" i="1"/>
  <c r="G50" i="1" s="1"/>
  <c r="E38" i="1"/>
  <c r="E50" i="1" s="1"/>
  <c r="D38" i="1"/>
  <c r="D50" i="1" s="1"/>
  <c r="C38" i="1"/>
  <c r="C50" i="1" s="1"/>
  <c r="B38" i="1"/>
  <c r="B50" i="1" s="1"/>
  <c r="B100" i="1"/>
  <c r="B104" i="1"/>
  <c r="K15" i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J14" i="1"/>
  <c r="J13" i="1" s="1"/>
  <c r="K8" i="1"/>
  <c r="L8" i="1" s="1"/>
  <c r="M8" i="1" s="1"/>
  <c r="N8" i="1" s="1"/>
  <c r="O8" i="1" s="1"/>
  <c r="P8" i="1" s="1"/>
  <c r="Q8" i="1" s="1"/>
  <c r="R8" i="1" s="1"/>
  <c r="S8" i="1" s="1"/>
  <c r="T8" i="1" s="1"/>
  <c r="U8" i="1" s="1"/>
  <c r="J7" i="1"/>
  <c r="B39" i="1" l="1"/>
  <c r="B51" i="1" s="1"/>
  <c r="B55" i="1" s="1"/>
  <c r="C39" i="1"/>
  <c r="C51" i="1" s="1"/>
  <c r="C55" i="1" s="1"/>
  <c r="D39" i="1"/>
  <c r="D51" i="1" s="1"/>
  <c r="D55" i="1" s="1"/>
  <c r="E39" i="1"/>
  <c r="E51" i="1" s="1"/>
  <c r="E55" i="1" s="1"/>
  <c r="F39" i="1"/>
  <c r="F51" i="1" s="1"/>
  <c r="F55" i="1" s="1"/>
  <c r="G39" i="1"/>
  <c r="G51" i="1" s="1"/>
  <c r="G55" i="1" s="1"/>
  <c r="H39" i="1"/>
  <c r="H51" i="1" s="1"/>
  <c r="H55" i="1" s="1"/>
  <c r="I39" i="1"/>
  <c r="I51" i="1" s="1"/>
  <c r="J39" i="1"/>
  <c r="K39" i="1"/>
  <c r="L39" i="1"/>
  <c r="M39" i="1"/>
  <c r="N39" i="1"/>
  <c r="O39" i="1"/>
  <c r="P39" i="1"/>
  <c r="Q39" i="1"/>
  <c r="R39" i="1"/>
  <c r="S39" i="1"/>
  <c r="T39" i="1"/>
  <c r="U39" i="1"/>
  <c r="B43" i="1"/>
  <c r="B57" i="1" s="1"/>
  <c r="B59" i="1" s="1"/>
  <c r="C43" i="1"/>
  <c r="C57" i="1" s="1"/>
  <c r="C59" i="1" s="1"/>
  <c r="D43" i="1"/>
  <c r="D57" i="1" s="1"/>
  <c r="D59" i="1" s="1"/>
  <c r="E43" i="1"/>
  <c r="E57" i="1" s="1"/>
  <c r="E59" i="1" s="1"/>
  <c r="F43" i="1"/>
  <c r="F57" i="1" s="1"/>
  <c r="F59" i="1" s="1"/>
  <c r="G43" i="1"/>
  <c r="G57" i="1" s="1"/>
  <c r="G59" i="1" s="1"/>
  <c r="H43" i="1"/>
  <c r="H57" i="1" s="1"/>
  <c r="H59" i="1" s="1"/>
  <c r="I43" i="1"/>
  <c r="I57" i="1" s="1"/>
  <c r="J43" i="1"/>
  <c r="K43" i="1"/>
  <c r="L43" i="1"/>
  <c r="M43" i="1"/>
  <c r="N43" i="1"/>
  <c r="O43" i="1"/>
  <c r="P43" i="1"/>
  <c r="Q43" i="1"/>
  <c r="R43" i="1"/>
  <c r="S43" i="1"/>
  <c r="T43" i="1"/>
  <c r="U43" i="1"/>
  <c r="K14" i="1"/>
  <c r="K13" i="1" s="1"/>
  <c r="J18" i="1"/>
  <c r="J19" i="1"/>
  <c r="J21" i="1"/>
  <c r="J27" i="1"/>
  <c r="J50" i="1" s="1"/>
  <c r="J58" i="1"/>
  <c r="K7" i="1"/>
  <c r="J9" i="1"/>
  <c r="J11" i="1"/>
  <c r="J60" i="1" s="1"/>
  <c r="J29" i="1"/>
  <c r="J30" i="1" s="1"/>
  <c r="J51" i="1" s="1"/>
  <c r="J34" i="1"/>
  <c r="J53" i="1" s="1"/>
  <c r="J54" i="1"/>
  <c r="J61" i="1"/>
  <c r="I59" i="1"/>
  <c r="I55" i="1"/>
  <c r="B62" i="1" l="1"/>
  <c r="B63" i="1" s="1"/>
  <c r="C62" i="1"/>
  <c r="C63" i="1" s="1"/>
  <c r="D62" i="1"/>
  <c r="D63" i="1" s="1"/>
  <c r="E62" i="1"/>
  <c r="E63" i="1" s="1"/>
  <c r="F62" i="1"/>
  <c r="F63" i="1" s="1"/>
  <c r="G63" i="1"/>
  <c r="G62" i="1"/>
  <c r="H62" i="1"/>
  <c r="H63" i="1" s="1"/>
  <c r="L14" i="1"/>
  <c r="L13" i="1" s="1"/>
  <c r="K18" i="1"/>
  <c r="K19" i="1"/>
  <c r="K21" i="1"/>
  <c r="K27" i="1"/>
  <c r="K50" i="1" s="1"/>
  <c r="K58" i="1"/>
  <c r="J57" i="1"/>
  <c r="J16" i="1"/>
  <c r="J17" i="1" s="1"/>
  <c r="J20" i="1"/>
  <c r="J56" i="1"/>
  <c r="J59" i="1" s="1"/>
  <c r="J22" i="1"/>
  <c r="J32" i="1"/>
  <c r="J52" i="1" s="1"/>
  <c r="J55" i="1" s="1"/>
  <c r="J63" i="1" s="1"/>
  <c r="J65" i="1" s="1"/>
  <c r="J64" i="1" s="1"/>
  <c r="L7" i="1"/>
  <c r="K9" i="1"/>
  <c r="K29" i="1"/>
  <c r="K30" i="1" s="1"/>
  <c r="K51" i="1" s="1"/>
  <c r="K34" i="1"/>
  <c r="K53" i="1" s="1"/>
  <c r="K61" i="1"/>
  <c r="K11" i="1"/>
  <c r="K60" i="1" s="1"/>
  <c r="K54" i="1"/>
  <c r="I62" i="1"/>
  <c r="I63" i="1" s="1"/>
  <c r="M14" i="1" l="1"/>
  <c r="M13" i="1" s="1"/>
  <c r="L18" i="1"/>
  <c r="L19" i="1"/>
  <c r="L21" i="1"/>
  <c r="L58" i="1"/>
  <c r="L27" i="1"/>
  <c r="L50" i="1" s="1"/>
  <c r="K57" i="1"/>
  <c r="K16" i="1"/>
  <c r="K17" i="1"/>
  <c r="K20" i="1"/>
  <c r="K56" i="1"/>
  <c r="K59" i="1" s="1"/>
  <c r="K22" i="1"/>
  <c r="K32" i="1"/>
  <c r="K52" i="1" s="1"/>
  <c r="K55" i="1" s="1"/>
  <c r="K63" i="1" s="1"/>
  <c r="K65" i="1" s="1"/>
  <c r="K64" i="1" s="1"/>
  <c r="M7" i="1"/>
  <c r="L9" i="1"/>
  <c r="L11" i="1"/>
  <c r="L60" i="1" s="1"/>
  <c r="L29" i="1"/>
  <c r="L30" i="1" s="1"/>
  <c r="L51" i="1" s="1"/>
  <c r="L34" i="1"/>
  <c r="L53" i="1" s="1"/>
  <c r="L54" i="1"/>
  <c r="L61" i="1"/>
  <c r="N14" i="1" l="1"/>
  <c r="N13" i="1" s="1"/>
  <c r="M18" i="1"/>
  <c r="M19" i="1"/>
  <c r="M21" i="1"/>
  <c r="M27" i="1"/>
  <c r="M50" i="1" s="1"/>
  <c r="M58" i="1"/>
  <c r="L57" i="1"/>
  <c r="L16" i="1"/>
  <c r="L17" i="1"/>
  <c r="L20" i="1"/>
  <c r="L56" i="1"/>
  <c r="L59" i="1" s="1"/>
  <c r="L22" i="1"/>
  <c r="L32" i="1"/>
  <c r="L52" i="1" s="1"/>
  <c r="L55" i="1" s="1"/>
  <c r="L63" i="1" s="1"/>
  <c r="L65" i="1" s="1"/>
  <c r="L64" i="1" s="1"/>
  <c r="N7" i="1"/>
  <c r="M9" i="1"/>
  <c r="M29" i="1"/>
  <c r="M30" i="1" s="1"/>
  <c r="M51" i="1" s="1"/>
  <c r="M34" i="1"/>
  <c r="M53" i="1" s="1"/>
  <c r="M61" i="1"/>
  <c r="M54" i="1"/>
  <c r="M11" i="1"/>
  <c r="M60" i="1" s="1"/>
  <c r="O14" i="1" l="1"/>
  <c r="O13" i="1" s="1"/>
  <c r="N18" i="1"/>
  <c r="N19" i="1"/>
  <c r="N21" i="1"/>
  <c r="N27" i="1"/>
  <c r="N50" i="1" s="1"/>
  <c r="N58" i="1"/>
  <c r="M57" i="1"/>
  <c r="M16" i="1"/>
  <c r="M17" i="1"/>
  <c r="M20" i="1"/>
  <c r="M56" i="1"/>
  <c r="M59" i="1" s="1"/>
  <c r="M22" i="1"/>
  <c r="M32" i="1"/>
  <c r="M52" i="1" s="1"/>
  <c r="M55" i="1" s="1"/>
  <c r="O7" i="1"/>
  <c r="N9" i="1"/>
  <c r="N11" i="1"/>
  <c r="N60" i="1" s="1"/>
  <c r="N54" i="1"/>
  <c r="N29" i="1"/>
  <c r="N30" i="1" s="1"/>
  <c r="N51" i="1" s="1"/>
  <c r="N34" i="1"/>
  <c r="N53" i="1" s="1"/>
  <c r="N61" i="1"/>
  <c r="P14" i="1" l="1"/>
  <c r="P13" i="1" s="1"/>
  <c r="O18" i="1"/>
  <c r="O19" i="1"/>
  <c r="O21" i="1"/>
  <c r="O58" i="1"/>
  <c r="O27" i="1"/>
  <c r="O50" i="1" s="1"/>
  <c r="N57" i="1"/>
  <c r="N16" i="1"/>
  <c r="N17" i="1"/>
  <c r="N20" i="1"/>
  <c r="N56" i="1"/>
  <c r="N59" i="1" s="1"/>
  <c r="N22" i="1"/>
  <c r="N32" i="1"/>
  <c r="N52" i="1" s="1"/>
  <c r="N55" i="1" s="1"/>
  <c r="N63" i="1" s="1"/>
  <c r="N65" i="1" s="1"/>
  <c r="N64" i="1" s="1"/>
  <c r="P7" i="1"/>
  <c r="O9" i="1"/>
  <c r="O29" i="1"/>
  <c r="O30" i="1" s="1"/>
  <c r="O51" i="1" s="1"/>
  <c r="O34" i="1"/>
  <c r="O53" i="1" s="1"/>
  <c r="O54" i="1"/>
  <c r="O61" i="1"/>
  <c r="O11" i="1"/>
  <c r="O60" i="1" s="1"/>
  <c r="M63" i="1"/>
  <c r="M65" i="1" s="1"/>
  <c r="M64" i="1" s="1"/>
  <c r="Q14" i="1" l="1"/>
  <c r="Q13" i="1" s="1"/>
  <c r="P18" i="1"/>
  <c r="P19" i="1"/>
  <c r="P21" i="1"/>
  <c r="P58" i="1"/>
  <c r="P27" i="1"/>
  <c r="P50" i="1" s="1"/>
  <c r="O57" i="1"/>
  <c r="O16" i="1"/>
  <c r="O17" i="1"/>
  <c r="O20" i="1"/>
  <c r="O56" i="1"/>
  <c r="O59" i="1" s="1"/>
  <c r="O22" i="1"/>
  <c r="O32" i="1"/>
  <c r="O52" i="1" s="1"/>
  <c r="O55" i="1" s="1"/>
  <c r="O63" i="1" s="1"/>
  <c r="O65" i="1" s="1"/>
  <c r="O64" i="1" s="1"/>
  <c r="Q7" i="1"/>
  <c r="P9" i="1"/>
  <c r="P11" i="1"/>
  <c r="P60" i="1" s="1"/>
  <c r="P29" i="1"/>
  <c r="P30" i="1" s="1"/>
  <c r="P51" i="1" s="1"/>
  <c r="P34" i="1"/>
  <c r="P53" i="1" s="1"/>
  <c r="P61" i="1"/>
  <c r="P54" i="1"/>
  <c r="R14" i="1" l="1"/>
  <c r="R13" i="1" s="1"/>
  <c r="Q18" i="1"/>
  <c r="Q19" i="1"/>
  <c r="Q21" i="1"/>
  <c r="Q27" i="1"/>
  <c r="Q50" i="1" s="1"/>
  <c r="Q58" i="1"/>
  <c r="P57" i="1"/>
  <c r="P16" i="1"/>
  <c r="P17" i="1"/>
  <c r="P20" i="1"/>
  <c r="P56" i="1"/>
  <c r="P22" i="1"/>
  <c r="P32" i="1"/>
  <c r="P52" i="1" s="1"/>
  <c r="P55" i="1" s="1"/>
  <c r="R7" i="1"/>
  <c r="Q9" i="1"/>
  <c r="Q29" i="1"/>
  <c r="Q30" i="1" s="1"/>
  <c r="Q51" i="1" s="1"/>
  <c r="Q34" i="1"/>
  <c r="Q53" i="1" s="1"/>
  <c r="Q61" i="1"/>
  <c r="Q11" i="1"/>
  <c r="Q60" i="1" s="1"/>
  <c r="Q54" i="1"/>
  <c r="S14" i="1" l="1"/>
  <c r="S13" i="1" s="1"/>
  <c r="R18" i="1"/>
  <c r="R19" i="1"/>
  <c r="R21" i="1"/>
  <c r="R27" i="1"/>
  <c r="R50" i="1" s="1"/>
  <c r="R58" i="1"/>
  <c r="Q57" i="1"/>
  <c r="Q16" i="1"/>
  <c r="Q17" i="1"/>
  <c r="Q20" i="1"/>
  <c r="Q56" i="1"/>
  <c r="Q59" i="1" s="1"/>
  <c r="Q22" i="1"/>
  <c r="Q32" i="1"/>
  <c r="Q52" i="1" s="1"/>
  <c r="Q55" i="1" s="1"/>
  <c r="Q63" i="1" s="1"/>
  <c r="Q65" i="1" s="1"/>
  <c r="Q64" i="1" s="1"/>
  <c r="S7" i="1"/>
  <c r="R9" i="1"/>
  <c r="R11" i="1"/>
  <c r="R60" i="1" s="1"/>
  <c r="R54" i="1"/>
  <c r="R29" i="1"/>
  <c r="R30" i="1" s="1"/>
  <c r="R51" i="1" s="1"/>
  <c r="R34" i="1"/>
  <c r="R53" i="1" s="1"/>
  <c r="R61" i="1"/>
  <c r="P59" i="1"/>
  <c r="P63" i="1" s="1"/>
  <c r="P65" i="1" s="1"/>
  <c r="P64" i="1" s="1"/>
  <c r="T14" i="1" l="1"/>
  <c r="T13" i="1" s="1"/>
  <c r="S18" i="1"/>
  <c r="S19" i="1"/>
  <c r="S21" i="1"/>
  <c r="S27" i="1"/>
  <c r="S50" i="1" s="1"/>
  <c r="S58" i="1"/>
  <c r="R57" i="1"/>
  <c r="R16" i="1"/>
  <c r="R17" i="1"/>
  <c r="R20" i="1"/>
  <c r="R56" i="1"/>
  <c r="R59" i="1" s="1"/>
  <c r="R22" i="1"/>
  <c r="R32" i="1"/>
  <c r="R52" i="1" s="1"/>
  <c r="R55" i="1" s="1"/>
  <c r="R63" i="1" s="1"/>
  <c r="R65" i="1" s="1"/>
  <c r="R64" i="1" s="1"/>
  <c r="T7" i="1"/>
  <c r="S9" i="1"/>
  <c r="S11" i="1"/>
  <c r="S60" i="1" s="1"/>
  <c r="S29" i="1"/>
  <c r="S30" i="1" s="1"/>
  <c r="S51" i="1" s="1"/>
  <c r="S34" i="1"/>
  <c r="S53" i="1" s="1"/>
  <c r="S61" i="1"/>
  <c r="S54" i="1"/>
  <c r="U14" i="1" l="1"/>
  <c r="U13" i="1" s="1"/>
  <c r="T18" i="1"/>
  <c r="T19" i="1"/>
  <c r="T21" i="1"/>
  <c r="T58" i="1"/>
  <c r="T27" i="1"/>
  <c r="T50" i="1" s="1"/>
  <c r="S57" i="1"/>
  <c r="S16" i="1"/>
  <c r="S17" i="1"/>
  <c r="S20" i="1"/>
  <c r="S56" i="1"/>
  <c r="S59" i="1" s="1"/>
  <c r="S22" i="1"/>
  <c r="S32" i="1"/>
  <c r="S52" i="1" s="1"/>
  <c r="S55" i="1" s="1"/>
  <c r="S63" i="1" s="1"/>
  <c r="S65" i="1" s="1"/>
  <c r="S64" i="1" s="1"/>
  <c r="U7" i="1"/>
  <c r="T9" i="1"/>
  <c r="T29" i="1"/>
  <c r="T30" i="1" s="1"/>
  <c r="T51" i="1" s="1"/>
  <c r="T34" i="1"/>
  <c r="T53" i="1" s="1"/>
  <c r="T54" i="1"/>
  <c r="T61" i="1"/>
  <c r="T11" i="1"/>
  <c r="T60" i="1" s="1"/>
  <c r="U18" i="1" l="1"/>
  <c r="U19" i="1"/>
  <c r="U21" i="1"/>
  <c r="U27" i="1"/>
  <c r="U50" i="1" s="1"/>
  <c r="U58" i="1"/>
  <c r="T57" i="1"/>
  <c r="T16" i="1"/>
  <c r="T17" i="1" s="1"/>
  <c r="T20" i="1"/>
  <c r="T56" i="1"/>
  <c r="T22" i="1"/>
  <c r="T32" i="1"/>
  <c r="T52" i="1" s="1"/>
  <c r="U9" i="1"/>
  <c r="U11" i="1"/>
  <c r="U60" i="1" s="1"/>
  <c r="U29" i="1"/>
  <c r="U30" i="1" s="1"/>
  <c r="U51" i="1" s="1"/>
  <c r="U34" i="1"/>
  <c r="U53" i="1" s="1"/>
  <c r="U54" i="1"/>
  <c r="U61" i="1"/>
  <c r="T55" i="1"/>
  <c r="U57" i="1" l="1"/>
  <c r="U16" i="1"/>
  <c r="U17" i="1"/>
  <c r="U20" i="1"/>
  <c r="U56" i="1"/>
  <c r="U59" i="1" s="1"/>
  <c r="U22" i="1"/>
  <c r="U32" i="1"/>
  <c r="U52" i="1" s="1"/>
  <c r="U55" i="1" s="1"/>
  <c r="U63" i="1" s="1"/>
  <c r="U65" i="1" s="1"/>
  <c r="U64" i="1" s="1"/>
  <c r="T59" i="1"/>
  <c r="T63" i="1" s="1"/>
  <c r="T65" i="1" s="1"/>
  <c r="T64" i="1" s="1"/>
</calcChain>
</file>

<file path=xl/sharedStrings.xml><?xml version="1.0" encoding="utf-8"?>
<sst xmlns="http://schemas.openxmlformats.org/spreadsheetml/2006/main" count="125" uniqueCount="105">
  <si>
    <t>Robinhood Revenue Driver Model</t>
  </si>
  <si>
    <t>Probability-Filtered Forecast</t>
  </si>
  <si>
    <t>Quarter Ending</t>
  </si>
  <si>
    <t>Period</t>
  </si>
  <si>
    <t>Historical</t>
  </si>
  <si>
    <t>Forecast</t>
  </si>
  <si>
    <t>Core Drivers</t>
  </si>
  <si>
    <t>Funded Customers (mm)</t>
  </si>
  <si>
    <t>Funded Customers Growth</t>
  </si>
  <si>
    <t>Monthly Active Users (mm)</t>
  </si>
  <si>
    <t>MAU / Funded Customers</t>
  </si>
  <si>
    <t>Gold Subscribers (mm)</t>
  </si>
  <si>
    <t>Gold Subscriber Penetration</t>
  </si>
  <si>
    <t>Platform AUC ($mm)</t>
  </si>
  <si>
    <t>Net Deposits ($mm)</t>
  </si>
  <si>
    <t>Net Deposits / Beginning Platform AUC</t>
  </si>
  <si>
    <t>Cash and Deposits ($mm)</t>
  </si>
  <si>
    <t>Cash Sweep ($mm)</t>
  </si>
  <si>
    <t>Total Cash Balance ($mm)</t>
  </si>
  <si>
    <t>Margin Book ($mm)</t>
  </si>
  <si>
    <t>Margin Book / Platform AUC</t>
  </si>
  <si>
    <t>Crypto AUC ($mm)</t>
  </si>
  <si>
    <t>Crypto AUC / Platform AUC</t>
  </si>
  <si>
    <t>Trading Drivers</t>
  </si>
  <si>
    <t>Equity and Options Trading Days</t>
  </si>
  <si>
    <t>Crypto and Event Trading Days</t>
  </si>
  <si>
    <t>Equity Trading Volume ($mm)</t>
  </si>
  <si>
    <t>Equity Volume / Platform AUC</t>
  </si>
  <si>
    <t>Options Average Daily Contracts (mm)</t>
  </si>
  <si>
    <t>Options Contracts (mm)</t>
  </si>
  <si>
    <t>Options Contracts / Funded Customer / Day</t>
  </si>
  <si>
    <t>Crypto Trading Volume ($mm)</t>
  </si>
  <si>
    <t>Crypto Volume / Crypto AUC</t>
  </si>
  <si>
    <t>Event Contracts (mm)</t>
  </si>
  <si>
    <t>Event Contracts / Funded Customer / Day</t>
  </si>
  <si>
    <t>Revenue Assumptions</t>
  </si>
  <si>
    <t>Equity Take Rate (bps)</t>
  </si>
  <si>
    <t>Options Revenue / Contract ($)</t>
  </si>
  <si>
    <t>Crypto Take Rate</t>
  </si>
  <si>
    <t>Event Revenue / Contract ($)</t>
  </si>
  <si>
    <t>Margin Interest Yield</t>
  </si>
  <si>
    <t>Cash Interest Yield</t>
  </si>
  <si>
    <t>Other Net Interest / Platform AUC</t>
  </si>
  <si>
    <t>Other Transaction Revenue / Funded Customer ($)</t>
  </si>
  <si>
    <t>Gold Revenue / Subscriber ($)</t>
  </si>
  <si>
    <t>Other Revenue / Funded Customer ($)</t>
  </si>
  <si>
    <t>Revenue Build</t>
  </si>
  <si>
    <t>Equity Transaction Revenue ($mm)</t>
  </si>
  <si>
    <t>Options Transaction Revenue ($mm)</t>
  </si>
  <si>
    <t>Crypto Transaction Revenue ($mm)</t>
  </si>
  <si>
    <t>Event Contract Revenue ($mm)</t>
  </si>
  <si>
    <t>Other Transaction Revenue ($mm)</t>
  </si>
  <si>
    <t>Total Transaction Revenue ($mm)</t>
  </si>
  <si>
    <t>Margin Interest Revenue ($mm)</t>
  </si>
  <si>
    <t>Cash Interest Revenue ($mm)</t>
  </si>
  <si>
    <t>Other Net Interest Revenue ($mm)</t>
  </si>
  <si>
    <t>Total Net Interest Revenue ($mm)</t>
  </si>
  <si>
    <t>Gold Subscription Revenue ($mm)</t>
  </si>
  <si>
    <t>Other Revenue ($mm)</t>
  </si>
  <si>
    <t>Historical Revenue Reconciliation ($mm)</t>
  </si>
  <si>
    <t>Total Revenue ($mm)</t>
  </si>
  <si>
    <t>ARPU-Implied Revenue ($mm)</t>
  </si>
  <si>
    <t>ARPU ($)</t>
  </si>
  <si>
    <t>Probability Filter Inputs</t>
  </si>
  <si>
    <t>Terminal Funded Customers Growth</t>
  </si>
  <si>
    <t>Funded Customers Growth Cap</t>
  </si>
  <si>
    <t>Funded Customers Growth Fade</t>
  </si>
  <si>
    <t>Market Return / AUC Growth Ex Deposits</t>
  </si>
  <si>
    <t>Gold Subscriber Penetration Cap</t>
  </si>
  <si>
    <t>Gold Penetration Increase</t>
  </si>
  <si>
    <t>Net Deposit Rate Floor</t>
  </si>
  <si>
    <t>Net Deposit Rate Fade</t>
  </si>
  <si>
    <t>Total Cash Balance / Platform AUC</t>
  </si>
  <si>
    <t>Cash and Deposits / Total Cash</t>
  </si>
  <si>
    <t>Equity Turnover Floor</t>
  </si>
  <si>
    <t>Equity Turnover Fade</t>
  </si>
  <si>
    <t>Options / Customer / Day Floor</t>
  </si>
  <si>
    <t>Options / Customer / Day Fade</t>
  </si>
  <si>
    <t>Crypto Turnover Floor</t>
  </si>
  <si>
    <t>Crypto Turnover Fade</t>
  </si>
  <si>
    <t>Event / Customer / Day Cap</t>
  </si>
  <si>
    <t>Event / Customer / Day Increase</t>
  </si>
  <si>
    <t>Q1 2026 Equity Transaction Revenue ($mm)</t>
  </si>
  <si>
    <t>Q1 2026 Options Transaction Revenue ($mm)</t>
  </si>
  <si>
    <t>Q1 2026 Crypto Transaction Revenue ($mm)</t>
  </si>
  <si>
    <t>Q1 2026 Event Contract Revenue ($mm)</t>
  </si>
  <si>
    <t>Q1 2026 Other Transaction Revenue ($mm)</t>
  </si>
  <si>
    <t>Q1 2026 Margin Interest Revenue ($mm)</t>
  </si>
  <si>
    <t>Q1 2026 Cash Interest Revenue ($mm)</t>
  </si>
  <si>
    <t>Q1 2026 Other Net Interest Revenue ($mm)</t>
  </si>
  <si>
    <t>Q1 2026 Gold Subscription Revenue ($mm)</t>
  </si>
  <si>
    <t>Q1 2026 Other Revenue ($mm)</t>
  </si>
  <si>
    <t>Calibrated Equity Take Rate (bps)</t>
  </si>
  <si>
    <t>Calibrated Options Revenue / Contract ($)</t>
  </si>
  <si>
    <t>Calibrated Crypto Take Rate</t>
  </si>
  <si>
    <t>Calibrated Event Revenue / Contract ($)</t>
  </si>
  <si>
    <t>Calibrated Margin Yield</t>
  </si>
  <si>
    <t>Calibrated Cash Yield</t>
  </si>
  <si>
    <t>Calibrated Other NIR / AUC</t>
  </si>
  <si>
    <t>Calibrated Other Transaction / Customer ($)</t>
  </si>
  <si>
    <t>Calibrated Gold Revenue / Subscriber ($)</t>
  </si>
  <si>
    <t>Calibrated Other Revenue / Customer ($)</t>
  </si>
  <si>
    <t>Quarters Per Year</t>
  </si>
  <si>
    <t>Basis Points Divisor</t>
  </si>
  <si>
    <t>Growth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</si>
</sst>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%;\(0.0%\);\-"/>
    <numFmt numFmtId="166" formatCode="#,##0.0;\(#,##0.0\);\-"/>
    <numFmt numFmtId="167" formatCode="0.00;\(0.00\);\-"/>
    <numFmt numFmtId="168" formatCode="yyyy\-mm\-dd"/>
    <numFmt numFmtId="169" formatCode="\$0;\(\$0\);\-"/>
  </numFmts>
  <fonts count="3">
    <font>
      <sz val="11"/>
      <name val="Carlito"/>
    </font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right"/>
    </xf>
    <xf numFmtId="168" fontId="2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tabSelected="1" topLeftCell="A18" workbookViewId="0"/>
  </sheetViews>
  <sheetFormatPr defaultRowHeight="14.25"/>
  <cols>
    <col min="1" max="1" width="43" customWidth="1"/>
    <col min="2" max="21" width="12" customWidth="1"/>
  </cols>
  <sheetData>
    <row r="1" spans="1:21" ht="15">
      <c r="A1" s="10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>
      <c r="A2" s="10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">
      <c r="A3" s="10" t="s">
        <v>2</v>
      </c>
      <c r="B3" s="2">
        <v>45473</v>
      </c>
      <c r="C3" s="2">
        <v>45565</v>
      </c>
      <c r="D3" s="2">
        <v>45657</v>
      </c>
      <c r="E3" s="2">
        <v>45747</v>
      </c>
      <c r="F3" s="2">
        <v>45838</v>
      </c>
      <c r="G3" s="2">
        <v>45930</v>
      </c>
      <c r="H3" s="2">
        <v>46022</v>
      </c>
      <c r="I3" s="2">
        <v>46112</v>
      </c>
      <c r="J3" s="2">
        <v>46203</v>
      </c>
      <c r="K3" s="2">
        <v>46295</v>
      </c>
      <c r="L3" s="2">
        <v>46387</v>
      </c>
      <c r="M3" s="2">
        <v>46477</v>
      </c>
      <c r="N3" s="2">
        <v>46568</v>
      </c>
      <c r="O3" s="2">
        <v>46660</v>
      </c>
      <c r="P3" s="2">
        <v>46752</v>
      </c>
      <c r="Q3" s="2">
        <v>46843</v>
      </c>
      <c r="R3" s="2">
        <v>46934</v>
      </c>
      <c r="S3" s="2">
        <v>47026</v>
      </c>
      <c r="T3" s="2">
        <v>47118</v>
      </c>
      <c r="U3" s="2">
        <v>47208</v>
      </c>
    </row>
    <row r="4" spans="1:21" ht="15">
      <c r="A4" s="10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5</v>
      </c>
      <c r="K4" s="1" t="s">
        <v>5</v>
      </c>
      <c r="L4" s="1" t="s">
        <v>5</v>
      </c>
      <c r="M4" s="1" t="s">
        <v>5</v>
      </c>
      <c r="N4" s="1" t="s">
        <v>5</v>
      </c>
      <c r="O4" s="1" t="s">
        <v>5</v>
      </c>
      <c r="P4" s="1" t="s">
        <v>5</v>
      </c>
      <c r="Q4" s="1" t="s">
        <v>5</v>
      </c>
      <c r="R4" s="1" t="s">
        <v>5</v>
      </c>
      <c r="S4" s="1" t="s">
        <v>5</v>
      </c>
      <c r="T4" s="1" t="s">
        <v>5</v>
      </c>
      <c r="U4" s="1" t="s">
        <v>5</v>
      </c>
    </row>
    <row r="5" spans="1:21" ht="15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5">
      <c r="A6" s="10" t="s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">
      <c r="A7" s="11" t="s">
        <v>7</v>
      </c>
      <c r="B7" s="4">
        <v>24.2</v>
      </c>
      <c r="C7" s="4">
        <v>24.3</v>
      </c>
      <c r="D7" s="4">
        <v>25.2</v>
      </c>
      <c r="E7" s="4">
        <v>25.8</v>
      </c>
      <c r="F7" s="4">
        <v>26.5</v>
      </c>
      <c r="G7" s="4">
        <v>26.8</v>
      </c>
      <c r="H7" s="4">
        <v>27</v>
      </c>
      <c r="I7" s="4">
        <v>27.4</v>
      </c>
      <c r="J7" s="4">
        <f t="shared" ref="J7:U7" si="0">I7*($B$111+J8)</f>
        <v>27.742499999999996</v>
      </c>
      <c r="K7" s="4">
        <f t="shared" si="0"/>
        <v>28.075409999999998</v>
      </c>
      <c r="L7" s="4">
        <f t="shared" si="0"/>
        <v>28.398277215</v>
      </c>
      <c r="M7" s="4">
        <f t="shared" si="0"/>
        <v>28.710658264364998</v>
      </c>
      <c r="N7" s="4">
        <f t="shared" si="0"/>
        <v>29.012120176140829</v>
      </c>
      <c r="O7" s="4">
        <f t="shared" si="0"/>
        <v>29.302241377902238</v>
      </c>
      <c r="P7" s="4">
        <f t="shared" si="0"/>
        <v>29.580612670992313</v>
      </c>
      <c r="Q7" s="4">
        <f t="shared" si="0"/>
        <v>29.846838185031242</v>
      </c>
      <c r="R7" s="4">
        <f t="shared" si="0"/>
        <v>30.100536309604006</v>
      </c>
      <c r="S7" s="4">
        <f t="shared" si="0"/>
        <v>30.341340600080837</v>
      </c>
      <c r="T7" s="4">
        <f t="shared" si="0"/>
        <v>30.568900654581444</v>
      </c>
      <c r="U7" s="4">
        <f t="shared" si="0"/>
        <v>30.798167409490809</v>
      </c>
    </row>
    <row r="8" spans="1:21" ht="15">
      <c r="A8" s="11" t="s">
        <v>8</v>
      </c>
      <c r="B8" s="5"/>
      <c r="C8" s="5">
        <f t="shared" ref="C8:I8" si="1">C7/B7-$B$111</f>
        <v>4.1322314049587749E-3</v>
      </c>
      <c r="D8" s="5">
        <f t="shared" si="1"/>
        <v>3.7037037037036979E-2</v>
      </c>
      <c r="E8" s="5">
        <f t="shared" si="1"/>
        <v>2.3809523809523947E-2</v>
      </c>
      <c r="F8" s="5">
        <f t="shared" si="1"/>
        <v>2.7131782945736482E-2</v>
      </c>
      <c r="G8" s="5">
        <f t="shared" si="1"/>
        <v>1.132075471698113E-2</v>
      </c>
      <c r="H8" s="5">
        <f t="shared" si="1"/>
        <v>7.4626865671640896E-3</v>
      </c>
      <c r="I8" s="5">
        <f t="shared" si="1"/>
        <v>1.4814814814814836E-2</v>
      </c>
      <c r="J8" s="5">
        <f>MIN($B$70,MAX($B$69,AVERAGE(F8:I8)))</f>
        <v>1.2500000000000001E-2</v>
      </c>
      <c r="K8" s="5">
        <f t="shared" ref="K8:U8" si="2">MAX($B$69,J8-$B$71)</f>
        <v>1.2E-2</v>
      </c>
      <c r="L8" s="5">
        <f t="shared" si="2"/>
        <v>1.15E-2</v>
      </c>
      <c r="M8" s="5">
        <f t="shared" si="2"/>
        <v>1.0999999999999999E-2</v>
      </c>
      <c r="N8" s="5">
        <f t="shared" si="2"/>
        <v>1.0499999999999999E-2</v>
      </c>
      <c r="O8" s="5">
        <f t="shared" si="2"/>
        <v>9.9999999999999985E-3</v>
      </c>
      <c r="P8" s="5">
        <f t="shared" si="2"/>
        <v>9.499999999999998E-3</v>
      </c>
      <c r="Q8" s="5">
        <f t="shared" si="2"/>
        <v>8.9999999999999976E-3</v>
      </c>
      <c r="R8" s="5">
        <f t="shared" si="2"/>
        <v>8.4999999999999971E-3</v>
      </c>
      <c r="S8" s="5">
        <f t="shared" si="2"/>
        <v>7.9999999999999967E-3</v>
      </c>
      <c r="T8" s="5">
        <f t="shared" si="2"/>
        <v>7.4999999999999997E-3</v>
      </c>
      <c r="U8" s="5">
        <f t="shared" si="2"/>
        <v>7.4999999999999997E-3</v>
      </c>
    </row>
    <row r="9" spans="1:21" ht="15">
      <c r="A9" s="11" t="s">
        <v>9</v>
      </c>
      <c r="B9" s="4">
        <v>11.8</v>
      </c>
      <c r="C9" s="4">
        <v>11</v>
      </c>
      <c r="D9" s="4">
        <v>14.9</v>
      </c>
      <c r="E9" s="4">
        <v>14.4</v>
      </c>
      <c r="F9" s="4">
        <v>12.8</v>
      </c>
      <c r="G9" s="4">
        <v>13.8</v>
      </c>
      <c r="H9" s="4">
        <v>13</v>
      </c>
      <c r="I9" s="4">
        <v>13.5</v>
      </c>
      <c r="J9" s="4">
        <f t="shared" ref="J9:U9" si="3">J7*J10</f>
        <v>13.677929526893832</v>
      </c>
      <c r="K9" s="4">
        <f t="shared" si="3"/>
        <v>13.842064681216559</v>
      </c>
      <c r="L9" s="4">
        <f t="shared" si="3"/>
        <v>14.00124842505055</v>
      </c>
      <c r="M9" s="4">
        <f t="shared" si="3"/>
        <v>14.155262157726106</v>
      </c>
      <c r="N9" s="4">
        <f t="shared" si="3"/>
        <v>14.303892410382229</v>
      </c>
      <c r="O9" s="4">
        <f t="shared" si="3"/>
        <v>14.446931334486052</v>
      </c>
      <c r="P9" s="4">
        <f t="shared" si="3"/>
        <v>14.584177182163671</v>
      </c>
      <c r="Q9" s="4">
        <f t="shared" si="3"/>
        <v>14.715434776803143</v>
      </c>
      <c r="R9" s="4">
        <f t="shared" si="3"/>
        <v>14.840515972405969</v>
      </c>
      <c r="S9" s="4">
        <f t="shared" si="3"/>
        <v>14.959240100185216</v>
      </c>
      <c r="T9" s="4">
        <f t="shared" si="3"/>
        <v>15.071434400936607</v>
      </c>
      <c r="U9" s="4">
        <f t="shared" si="3"/>
        <v>15.184470158943633</v>
      </c>
    </row>
    <row r="10" spans="1:21" ht="15">
      <c r="A10" s="11" t="s">
        <v>10</v>
      </c>
      <c r="B10" s="5">
        <f t="shared" ref="B10:I10" si="4">B9/B7</f>
        <v>0.48760330578512401</v>
      </c>
      <c r="C10" s="5">
        <f t="shared" si="4"/>
        <v>0.45267489711934156</v>
      </c>
      <c r="D10" s="5">
        <f t="shared" si="4"/>
        <v>0.59126984126984128</v>
      </c>
      <c r="E10" s="5">
        <f t="shared" si="4"/>
        <v>0.55813953488372092</v>
      </c>
      <c r="F10" s="5">
        <f t="shared" si="4"/>
        <v>0.48301886792452831</v>
      </c>
      <c r="G10" s="5">
        <f t="shared" si="4"/>
        <v>0.5149253731343284</v>
      </c>
      <c r="H10" s="5">
        <f t="shared" si="4"/>
        <v>0.48148148148148145</v>
      </c>
      <c r="I10" s="5">
        <f t="shared" si="4"/>
        <v>0.49270072992700731</v>
      </c>
      <c r="J10" s="5">
        <f>AVERAGE(F10:I10)</f>
        <v>0.49303161311683641</v>
      </c>
      <c r="K10" s="5">
        <f t="shared" ref="K10:U10" si="5">J10</f>
        <v>0.49303161311683641</v>
      </c>
      <c r="L10" s="5">
        <f t="shared" si="5"/>
        <v>0.49303161311683641</v>
      </c>
      <c r="M10" s="5">
        <f t="shared" si="5"/>
        <v>0.49303161311683641</v>
      </c>
      <c r="N10" s="5">
        <f t="shared" si="5"/>
        <v>0.49303161311683641</v>
      </c>
      <c r="O10" s="5">
        <f t="shared" si="5"/>
        <v>0.49303161311683641</v>
      </c>
      <c r="P10" s="5">
        <f t="shared" si="5"/>
        <v>0.49303161311683641</v>
      </c>
      <c r="Q10" s="5">
        <f t="shared" si="5"/>
        <v>0.49303161311683641</v>
      </c>
      <c r="R10" s="5">
        <f t="shared" si="5"/>
        <v>0.49303161311683641</v>
      </c>
      <c r="S10" s="5">
        <f t="shared" si="5"/>
        <v>0.49303161311683641</v>
      </c>
      <c r="T10" s="5">
        <f t="shared" si="5"/>
        <v>0.49303161311683641</v>
      </c>
      <c r="U10" s="5">
        <f t="shared" si="5"/>
        <v>0.49303161311683641</v>
      </c>
    </row>
    <row r="11" spans="1:21" ht="15">
      <c r="A11" s="11" t="s">
        <v>11</v>
      </c>
      <c r="B11" s="4">
        <v>1.98</v>
      </c>
      <c r="C11" s="4">
        <v>2.19</v>
      </c>
      <c r="D11" s="4">
        <v>2.64</v>
      </c>
      <c r="E11" s="4">
        <v>3.19</v>
      </c>
      <c r="F11" s="4">
        <v>3.48</v>
      </c>
      <c r="G11" s="4">
        <v>3.88</v>
      </c>
      <c r="H11" s="4">
        <v>4.18</v>
      </c>
      <c r="I11" s="4">
        <v>4.34</v>
      </c>
      <c r="J11" s="4">
        <f t="shared" ref="J11:U11" si="6">J7*J12</f>
        <v>4.4636062499999989</v>
      </c>
      <c r="K11" s="4">
        <f t="shared" si="6"/>
        <v>4.5873580499999997</v>
      </c>
      <c r="L11" s="4">
        <f t="shared" si="6"/>
        <v>4.7111083606125002</v>
      </c>
      <c r="M11" s="4">
        <f t="shared" si="6"/>
        <v>4.8347071982401495</v>
      </c>
      <c r="N11" s="4">
        <f t="shared" si="6"/>
        <v>4.9580019242620228</v>
      </c>
      <c r="O11" s="4">
        <f t="shared" si="6"/>
        <v>5.0808375469493994</v>
      </c>
      <c r="P11" s="4">
        <f t="shared" si="6"/>
        <v>5.2030570353228995</v>
      </c>
      <c r="Q11" s="4">
        <f t="shared" si="6"/>
        <v>5.3245016441033837</v>
      </c>
      <c r="R11" s="4">
        <f t="shared" si="6"/>
        <v>5.4450112488522722</v>
      </c>
      <c r="S11" s="4">
        <f t="shared" si="6"/>
        <v>5.5644246903432926</v>
      </c>
      <c r="T11" s="4">
        <f t="shared" si="6"/>
        <v>5.6825801271573209</v>
      </c>
      <c r="U11" s="4">
        <f t="shared" si="6"/>
        <v>5.8021948966347292</v>
      </c>
    </row>
    <row r="12" spans="1:21" ht="15">
      <c r="A12" s="11" t="s">
        <v>12</v>
      </c>
      <c r="B12" s="5">
        <f t="shared" ref="B12:I12" si="7">B11/B7</f>
        <v>8.1818181818181818E-2</v>
      </c>
      <c r="C12" s="5">
        <f t="shared" si="7"/>
        <v>9.0123456790123457E-2</v>
      </c>
      <c r="D12" s="5">
        <f t="shared" si="7"/>
        <v>0.10476190476190476</v>
      </c>
      <c r="E12" s="5">
        <f t="shared" si="7"/>
        <v>0.12364341085271317</v>
      </c>
      <c r="F12" s="5">
        <f t="shared" si="7"/>
        <v>0.13132075471698113</v>
      </c>
      <c r="G12" s="5">
        <f t="shared" si="7"/>
        <v>0.14477611940298507</v>
      </c>
      <c r="H12" s="5">
        <f t="shared" si="7"/>
        <v>0.15481481481481479</v>
      </c>
      <c r="I12" s="5">
        <f t="shared" si="7"/>
        <v>0.1583941605839416</v>
      </c>
      <c r="J12" s="5">
        <f t="shared" ref="J12:U12" si="8">MIN($B$73,I12+$B$74)</f>
        <v>0.1608941605839416</v>
      </c>
      <c r="K12" s="5">
        <f t="shared" si="8"/>
        <v>0.1633941605839416</v>
      </c>
      <c r="L12" s="5">
        <f t="shared" si="8"/>
        <v>0.1658941605839416</v>
      </c>
      <c r="M12" s="5">
        <f t="shared" si="8"/>
        <v>0.1683941605839416</v>
      </c>
      <c r="N12" s="5">
        <f t="shared" si="8"/>
        <v>0.17089416058394161</v>
      </c>
      <c r="O12" s="5">
        <f t="shared" si="8"/>
        <v>0.17339416058394161</v>
      </c>
      <c r="P12" s="5">
        <f t="shared" si="8"/>
        <v>0.17589416058394161</v>
      </c>
      <c r="Q12" s="5">
        <f t="shared" si="8"/>
        <v>0.17839416058394161</v>
      </c>
      <c r="R12" s="5">
        <f t="shared" si="8"/>
        <v>0.18089416058394162</v>
      </c>
      <c r="S12" s="5">
        <f t="shared" si="8"/>
        <v>0.18339416058394162</v>
      </c>
      <c r="T12" s="5">
        <f t="shared" si="8"/>
        <v>0.18589416058394162</v>
      </c>
      <c r="U12" s="5">
        <f t="shared" si="8"/>
        <v>0.18839416058394162</v>
      </c>
    </row>
    <row r="13" spans="1:21" ht="15">
      <c r="A13" s="11" t="s">
        <v>13</v>
      </c>
      <c r="B13" s="4">
        <v>139700</v>
      </c>
      <c r="C13" s="4">
        <v>152200</v>
      </c>
      <c r="D13" s="4">
        <v>192900</v>
      </c>
      <c r="E13" s="4">
        <v>220600</v>
      </c>
      <c r="F13" s="4">
        <v>278600</v>
      </c>
      <c r="G13" s="4">
        <v>332700</v>
      </c>
      <c r="H13" s="4">
        <v>322100</v>
      </c>
      <c r="I13" s="4">
        <v>307300</v>
      </c>
      <c r="J13" s="4">
        <f t="shared" ref="J13:U13" si="9">I13*($B$111+$B$72)+J14</f>
        <v>328027.9622011797</v>
      </c>
      <c r="K13" s="4">
        <f t="shared" si="9"/>
        <v>349333.9944806298</v>
      </c>
      <c r="L13" s="4">
        <f t="shared" si="9"/>
        <v>371150.55858952057</v>
      </c>
      <c r="M13" s="4">
        <f t="shared" si="9"/>
        <v>393401.73170856101</v>
      </c>
      <c r="N13" s="4">
        <f t="shared" si="9"/>
        <v>416003.40012116526</v>
      </c>
      <c r="O13" s="4">
        <f t="shared" si="9"/>
        <v>438863.56833645434</v>
      </c>
      <c r="P13" s="4">
        <f t="shared" si="9"/>
        <v>461882.78681255586</v>
      </c>
      <c r="Q13" s="4">
        <f t="shared" si="9"/>
        <v>484954.69956766482</v>
      </c>
      <c r="R13" s="4">
        <f t="shared" si="9"/>
        <v>507966.71095191524</v>
      </c>
      <c r="S13" s="4">
        <f t="shared" si="9"/>
        <v>530800.76872239879</v>
      </c>
      <c r="T13" s="4">
        <f t="shared" si="9"/>
        <v>553334.25835703977</v>
      </c>
      <c r="U13" s="4">
        <f t="shared" si="9"/>
        <v>575441.00130540226</v>
      </c>
    </row>
    <row r="14" spans="1:21" ht="15">
      <c r="A14" s="11" t="s">
        <v>14</v>
      </c>
      <c r="B14" s="4">
        <v>13200</v>
      </c>
      <c r="C14" s="4">
        <v>10000</v>
      </c>
      <c r="D14" s="4">
        <v>16100</v>
      </c>
      <c r="E14" s="4">
        <v>18000</v>
      </c>
      <c r="F14" s="4">
        <v>13800</v>
      </c>
      <c r="G14" s="4">
        <v>20400</v>
      </c>
      <c r="H14" s="4">
        <v>15900</v>
      </c>
      <c r="I14" s="4">
        <v>17700</v>
      </c>
      <c r="J14" s="4">
        <f t="shared" ref="J14:U14" si="10">I13*J15</f>
        <v>16118.462201179758</v>
      </c>
      <c r="K14" s="4">
        <f t="shared" si="10"/>
        <v>16385.612846432414</v>
      </c>
      <c r="L14" s="4">
        <f t="shared" si="10"/>
        <v>16576.554191681356</v>
      </c>
      <c r="M14" s="4">
        <f t="shared" si="10"/>
        <v>16683.914740197662</v>
      </c>
      <c r="N14" s="4">
        <f t="shared" si="10"/>
        <v>16700.642436975893</v>
      </c>
      <c r="O14" s="4">
        <f t="shared" si="10"/>
        <v>16620.117213471636</v>
      </c>
      <c r="P14" s="4">
        <f t="shared" si="10"/>
        <v>16436.264951054738</v>
      </c>
      <c r="Q14" s="4">
        <f t="shared" si="10"/>
        <v>16143.670952920682</v>
      </c>
      <c r="R14" s="4">
        <f t="shared" si="10"/>
        <v>15737.690890735503</v>
      </c>
      <c r="S14" s="4">
        <f t="shared" si="10"/>
        <v>15214.557106204904</v>
      </c>
      <c r="T14" s="4">
        <f t="shared" si="10"/>
        <v>14571.478103805117</v>
      </c>
      <c r="U14" s="4">
        <f t="shared" si="10"/>
        <v>13806.729073006911</v>
      </c>
    </row>
    <row r="15" spans="1:21" ht="15">
      <c r="A15" s="11" t="s">
        <v>15</v>
      </c>
      <c r="B15" s="5"/>
      <c r="C15" s="5">
        <f t="shared" ref="C15:I15" si="11">C14/B13</f>
        <v>7.158196134574088E-2</v>
      </c>
      <c r="D15" s="5">
        <f t="shared" si="11"/>
        <v>0.10578186596583443</v>
      </c>
      <c r="E15" s="5">
        <f t="shared" si="11"/>
        <v>9.3312597200622086E-2</v>
      </c>
      <c r="F15" s="5">
        <f t="shared" si="11"/>
        <v>6.2556663644605617E-2</v>
      </c>
      <c r="G15" s="5">
        <f t="shared" si="11"/>
        <v>7.3223259152907394E-2</v>
      </c>
      <c r="H15" s="5">
        <f t="shared" si="11"/>
        <v>4.7790802524797116E-2</v>
      </c>
      <c r="I15" s="5">
        <f t="shared" si="11"/>
        <v>5.4951878298665012E-2</v>
      </c>
      <c r="J15" s="5">
        <f t="shared" ref="J15:U15" si="12">MAX($B$75,I15-$B$76)</f>
        <v>5.245187829866501E-2</v>
      </c>
      <c r="K15" s="5">
        <f t="shared" si="12"/>
        <v>4.9951878298665008E-2</v>
      </c>
      <c r="L15" s="5">
        <f t="shared" si="12"/>
        <v>4.7451878298665005E-2</v>
      </c>
      <c r="M15" s="5">
        <f t="shared" si="12"/>
        <v>4.4951878298665003E-2</v>
      </c>
      <c r="N15" s="5">
        <f t="shared" si="12"/>
        <v>4.2451878298665001E-2</v>
      </c>
      <c r="O15" s="5">
        <f t="shared" si="12"/>
        <v>3.9951878298664999E-2</v>
      </c>
      <c r="P15" s="5">
        <f t="shared" si="12"/>
        <v>3.7451878298664996E-2</v>
      </c>
      <c r="Q15" s="5">
        <f t="shared" si="12"/>
        <v>3.4951878298664994E-2</v>
      </c>
      <c r="R15" s="5">
        <f t="shared" si="12"/>
        <v>3.2451878298664992E-2</v>
      </c>
      <c r="S15" s="5">
        <f t="shared" si="12"/>
        <v>2.9951878298664993E-2</v>
      </c>
      <c r="T15" s="5">
        <f t="shared" si="12"/>
        <v>2.7451878298664995E-2</v>
      </c>
      <c r="U15" s="5">
        <f t="shared" si="12"/>
        <v>2.4951878298664996E-2</v>
      </c>
    </row>
    <row r="16" spans="1:21" ht="15">
      <c r="A16" s="11" t="s">
        <v>16</v>
      </c>
      <c r="B16" s="4">
        <v>10300</v>
      </c>
      <c r="C16" s="4">
        <v>11200</v>
      </c>
      <c r="D16" s="4">
        <v>10000</v>
      </c>
      <c r="E16" s="4">
        <v>9800</v>
      </c>
      <c r="F16" s="4">
        <v>14000</v>
      </c>
      <c r="G16" s="4">
        <v>14400</v>
      </c>
      <c r="H16" s="4">
        <v>11000</v>
      </c>
      <c r="I16" s="4">
        <v>16700</v>
      </c>
      <c r="J16" s="4">
        <f t="shared" ref="J16:U16" si="13">J18*$B$78</f>
        <v>16631.017683599814</v>
      </c>
      <c r="K16" s="4">
        <f t="shared" si="13"/>
        <v>17711.233520167931</v>
      </c>
      <c r="L16" s="4">
        <f t="shared" si="13"/>
        <v>18817.333320488695</v>
      </c>
      <c r="M16" s="4">
        <f t="shared" si="13"/>
        <v>19945.467797624045</v>
      </c>
      <c r="N16" s="4">
        <f t="shared" si="13"/>
        <v>21091.372386143081</v>
      </c>
      <c r="O16" s="4">
        <f t="shared" si="13"/>
        <v>22250.382914658236</v>
      </c>
      <c r="P16" s="4">
        <f t="shared" si="13"/>
        <v>23417.457291396582</v>
      </c>
      <c r="Q16" s="4">
        <f t="shared" si="13"/>
        <v>24587.203268080608</v>
      </c>
      <c r="R16" s="4">
        <f t="shared" si="13"/>
        <v>25753.912245262105</v>
      </c>
      <c r="S16" s="4">
        <f t="shared" si="13"/>
        <v>26911.598974225621</v>
      </c>
      <c r="T16" s="4">
        <f t="shared" si="13"/>
        <v>28054.046898701916</v>
      </c>
      <c r="U16" s="4">
        <f t="shared" si="13"/>
        <v>29174.858766183897</v>
      </c>
    </row>
    <row r="17" spans="1:21" ht="15">
      <c r="A17" s="11" t="s">
        <v>17</v>
      </c>
      <c r="B17" s="4">
        <v>20900</v>
      </c>
      <c r="C17" s="4">
        <v>24500</v>
      </c>
      <c r="D17" s="4">
        <v>26100</v>
      </c>
      <c r="E17" s="4">
        <v>28200</v>
      </c>
      <c r="F17" s="4">
        <v>32700</v>
      </c>
      <c r="G17" s="4">
        <v>35400</v>
      </c>
      <c r="H17" s="4">
        <v>32800</v>
      </c>
      <c r="I17" s="4">
        <v>26000</v>
      </c>
      <c r="J17" s="4">
        <f t="shared" ref="J17:U17" si="14">J18-J16</f>
        <v>26012.617402553551</v>
      </c>
      <c r="K17" s="4">
        <f t="shared" si="14"/>
        <v>27702.185762313944</v>
      </c>
      <c r="L17" s="4">
        <f t="shared" si="14"/>
        <v>29432.239296148982</v>
      </c>
      <c r="M17" s="4">
        <f t="shared" si="14"/>
        <v>31196.757324488888</v>
      </c>
      <c r="N17" s="4">
        <f t="shared" si="14"/>
        <v>32989.069629608406</v>
      </c>
      <c r="O17" s="4">
        <f t="shared" si="14"/>
        <v>34801.880969080827</v>
      </c>
      <c r="P17" s="4">
        <f t="shared" si="14"/>
        <v>36627.304994235681</v>
      </c>
      <c r="Q17" s="4">
        <f t="shared" si="14"/>
        <v>38456.907675715818</v>
      </c>
      <c r="R17" s="4">
        <f t="shared" si="14"/>
        <v>40281.760178486875</v>
      </c>
      <c r="S17" s="4">
        <f t="shared" si="14"/>
        <v>42092.500959686222</v>
      </c>
      <c r="T17" s="4">
        <f t="shared" si="14"/>
        <v>43879.406687713257</v>
      </c>
      <c r="U17" s="4">
        <f t="shared" si="14"/>
        <v>45632.471403518401</v>
      </c>
    </row>
    <row r="18" spans="1:21" ht="15">
      <c r="A18" s="11" t="s">
        <v>18</v>
      </c>
      <c r="B18" s="4">
        <f t="shared" ref="B18:I18" si="15">B16+B17</f>
        <v>31200</v>
      </c>
      <c r="C18" s="4">
        <f t="shared" si="15"/>
        <v>35700</v>
      </c>
      <c r="D18" s="4">
        <f t="shared" si="15"/>
        <v>36100</v>
      </c>
      <c r="E18" s="4">
        <f t="shared" si="15"/>
        <v>38000</v>
      </c>
      <c r="F18" s="4">
        <f t="shared" si="15"/>
        <v>46700</v>
      </c>
      <c r="G18" s="4">
        <f t="shared" si="15"/>
        <v>49800</v>
      </c>
      <c r="H18" s="4">
        <f t="shared" si="15"/>
        <v>43800</v>
      </c>
      <c r="I18" s="4">
        <f t="shared" si="15"/>
        <v>42700</v>
      </c>
      <c r="J18" s="4">
        <f t="shared" ref="J18:U18" si="16">J13*$B$77</f>
        <v>42643.635086153365</v>
      </c>
      <c r="K18" s="4">
        <f t="shared" si="16"/>
        <v>45413.419282481875</v>
      </c>
      <c r="L18" s="4">
        <f t="shared" si="16"/>
        <v>48249.572616637677</v>
      </c>
      <c r="M18" s="4">
        <f t="shared" si="16"/>
        <v>51142.225122112934</v>
      </c>
      <c r="N18" s="4">
        <f t="shared" si="16"/>
        <v>54080.442015751483</v>
      </c>
      <c r="O18" s="4">
        <f t="shared" si="16"/>
        <v>57052.263883739062</v>
      </c>
      <c r="P18" s="4">
        <f t="shared" si="16"/>
        <v>60044.762285632263</v>
      </c>
      <c r="Q18" s="4">
        <f t="shared" si="16"/>
        <v>63044.110943796426</v>
      </c>
      <c r="R18" s="4">
        <f t="shared" si="16"/>
        <v>66035.672423748983</v>
      </c>
      <c r="S18" s="4">
        <f t="shared" si="16"/>
        <v>69004.099933911843</v>
      </c>
      <c r="T18" s="4">
        <f t="shared" si="16"/>
        <v>71933.453586415169</v>
      </c>
      <c r="U18" s="4">
        <f t="shared" si="16"/>
        <v>74807.330169702298</v>
      </c>
    </row>
    <row r="19" spans="1:21" ht="15">
      <c r="A19" s="11" t="s">
        <v>19</v>
      </c>
      <c r="B19" s="4">
        <v>5000</v>
      </c>
      <c r="C19" s="4">
        <v>5500</v>
      </c>
      <c r="D19" s="4">
        <v>7900</v>
      </c>
      <c r="E19" s="4">
        <v>8800</v>
      </c>
      <c r="F19" s="4">
        <v>9500</v>
      </c>
      <c r="G19" s="4">
        <v>13900</v>
      </c>
      <c r="H19" s="4">
        <v>16800</v>
      </c>
      <c r="I19" s="4">
        <v>17000</v>
      </c>
      <c r="J19" s="4">
        <f t="shared" ref="J19:U19" si="17">J13*$B$79</f>
        <v>18041.537921064883</v>
      </c>
      <c r="K19" s="4">
        <f t="shared" si="17"/>
        <v>19213.369696434638</v>
      </c>
      <c r="L19" s="4">
        <f t="shared" si="17"/>
        <v>20413.280722423631</v>
      </c>
      <c r="M19" s="4">
        <f t="shared" si="17"/>
        <v>21637.095243970856</v>
      </c>
      <c r="N19" s="4">
        <f t="shared" si="17"/>
        <v>22880.187006664091</v>
      </c>
      <c r="O19" s="4">
        <f t="shared" si="17"/>
        <v>24137.496258504987</v>
      </c>
      <c r="P19" s="4">
        <f t="shared" si="17"/>
        <v>25403.553274690574</v>
      </c>
      <c r="Q19" s="4">
        <f t="shared" si="17"/>
        <v>26672.508476221567</v>
      </c>
      <c r="R19" s="4">
        <f t="shared" si="17"/>
        <v>27938.169102355339</v>
      </c>
      <c r="S19" s="4">
        <f t="shared" si="17"/>
        <v>29194.042279731933</v>
      </c>
      <c r="T19" s="4">
        <f t="shared" si="17"/>
        <v>30433.384209637188</v>
      </c>
      <c r="U19" s="4">
        <f t="shared" si="17"/>
        <v>31649.255071797124</v>
      </c>
    </row>
    <row r="20" spans="1:21" ht="15">
      <c r="A20" s="11" t="s">
        <v>20</v>
      </c>
      <c r="B20" s="5">
        <f t="shared" ref="B20:U20" si="18">B19/B13</f>
        <v>3.579098067287044E-2</v>
      </c>
      <c r="C20" s="5">
        <f t="shared" si="18"/>
        <v>3.6136662286465178E-2</v>
      </c>
      <c r="D20" s="5">
        <f t="shared" si="18"/>
        <v>4.0953862104717471E-2</v>
      </c>
      <c r="E20" s="5">
        <f t="shared" si="18"/>
        <v>3.9891205802357207E-2</v>
      </c>
      <c r="F20" s="5">
        <f t="shared" si="18"/>
        <v>3.4099066762383348E-2</v>
      </c>
      <c r="G20" s="5">
        <f t="shared" si="18"/>
        <v>4.177938082356477E-2</v>
      </c>
      <c r="H20" s="5">
        <f t="shared" si="18"/>
        <v>5.2157714995343059E-2</v>
      </c>
      <c r="I20" s="5">
        <f t="shared" si="18"/>
        <v>5.5320533680442562E-2</v>
      </c>
      <c r="J20" s="5">
        <f t="shared" si="18"/>
        <v>5.4999999999999993E-2</v>
      </c>
      <c r="K20" s="5">
        <f t="shared" si="18"/>
        <v>5.5E-2</v>
      </c>
      <c r="L20" s="5">
        <f t="shared" si="18"/>
        <v>5.5E-2</v>
      </c>
      <c r="M20" s="5">
        <f t="shared" si="18"/>
        <v>5.5E-2</v>
      </c>
      <c r="N20" s="5">
        <f t="shared" si="18"/>
        <v>5.5000000000000007E-2</v>
      </c>
      <c r="O20" s="5">
        <f t="shared" si="18"/>
        <v>5.4999999999999993E-2</v>
      </c>
      <c r="P20" s="5">
        <f t="shared" si="18"/>
        <v>5.5E-2</v>
      </c>
      <c r="Q20" s="5">
        <f t="shared" si="18"/>
        <v>5.5E-2</v>
      </c>
      <c r="R20" s="5">
        <f t="shared" si="18"/>
        <v>5.5E-2</v>
      </c>
      <c r="S20" s="5">
        <f t="shared" si="18"/>
        <v>5.5E-2</v>
      </c>
      <c r="T20" s="5">
        <f t="shared" si="18"/>
        <v>5.5E-2</v>
      </c>
      <c r="U20" s="5">
        <f t="shared" si="18"/>
        <v>5.5E-2</v>
      </c>
    </row>
    <row r="21" spans="1:21" ht="15">
      <c r="A21" s="11" t="s">
        <v>21</v>
      </c>
      <c r="B21" s="4">
        <v>20700</v>
      </c>
      <c r="C21" s="4">
        <v>19500</v>
      </c>
      <c r="D21" s="4">
        <v>35200</v>
      </c>
      <c r="E21" s="4">
        <v>27500</v>
      </c>
      <c r="F21" s="4">
        <v>41100</v>
      </c>
      <c r="G21" s="4">
        <v>51100</v>
      </c>
      <c r="H21" s="4">
        <v>38200</v>
      </c>
      <c r="I21" s="4">
        <v>30500</v>
      </c>
      <c r="J21" s="4">
        <f t="shared" ref="J21:U21" si="19">J13*$B$80</f>
        <v>31162.656409112071</v>
      </c>
      <c r="K21" s="4">
        <f t="shared" si="19"/>
        <v>33186.729475659835</v>
      </c>
      <c r="L21" s="4">
        <f t="shared" si="19"/>
        <v>35259.303066004453</v>
      </c>
      <c r="M21" s="4">
        <f t="shared" si="19"/>
        <v>37373.164512313298</v>
      </c>
      <c r="N21" s="4">
        <f t="shared" si="19"/>
        <v>39520.3230115107</v>
      </c>
      <c r="O21" s="4">
        <f t="shared" si="19"/>
        <v>41692.038991963163</v>
      </c>
      <c r="P21" s="4">
        <f t="shared" si="19"/>
        <v>43878.864747192805</v>
      </c>
      <c r="Q21" s="4">
        <f t="shared" si="19"/>
        <v>46070.696458928156</v>
      </c>
      <c r="R21" s="4">
        <f t="shared" si="19"/>
        <v>48256.837540431952</v>
      </c>
      <c r="S21" s="4">
        <f t="shared" si="19"/>
        <v>50426.073028627885</v>
      </c>
      <c r="T21" s="4">
        <f t="shared" si="19"/>
        <v>52566.754543918782</v>
      </c>
      <c r="U21" s="4">
        <f t="shared" si="19"/>
        <v>54666.895124013216</v>
      </c>
    </row>
    <row r="22" spans="1:21" ht="15">
      <c r="A22" s="11" t="s">
        <v>22</v>
      </c>
      <c r="B22" s="5">
        <f t="shared" ref="B22:U22" si="20">B21/B13</f>
        <v>0.1481746599856836</v>
      </c>
      <c r="C22" s="5">
        <f t="shared" si="20"/>
        <v>0.12812089356110382</v>
      </c>
      <c r="D22" s="5">
        <f t="shared" si="20"/>
        <v>0.18247796785899431</v>
      </c>
      <c r="E22" s="5">
        <f t="shared" si="20"/>
        <v>0.12466001813236627</v>
      </c>
      <c r="F22" s="5">
        <f t="shared" si="20"/>
        <v>0.14752333094041636</v>
      </c>
      <c r="G22" s="5">
        <f t="shared" si="20"/>
        <v>0.15359182446648634</v>
      </c>
      <c r="H22" s="5">
        <f t="shared" si="20"/>
        <v>0.11859670909655387</v>
      </c>
      <c r="I22" s="5">
        <f t="shared" si="20"/>
        <v>9.9251545720794018E-2</v>
      </c>
      <c r="J22" s="5">
        <f t="shared" si="20"/>
        <v>9.5000000000000001E-2</v>
      </c>
      <c r="K22" s="5">
        <f t="shared" si="20"/>
        <v>9.5000000000000015E-2</v>
      </c>
      <c r="L22" s="5">
        <f t="shared" si="20"/>
        <v>9.5000000000000001E-2</v>
      </c>
      <c r="M22" s="5">
        <f t="shared" si="20"/>
        <v>9.5000000000000001E-2</v>
      </c>
      <c r="N22" s="5">
        <f t="shared" si="20"/>
        <v>9.5000000000000001E-2</v>
      </c>
      <c r="O22" s="5">
        <f t="shared" si="20"/>
        <v>9.5000000000000001E-2</v>
      </c>
      <c r="P22" s="5">
        <f t="shared" si="20"/>
        <v>9.5000000000000001E-2</v>
      </c>
      <c r="Q22" s="5">
        <f t="shared" si="20"/>
        <v>9.5000000000000001E-2</v>
      </c>
      <c r="R22" s="5">
        <f t="shared" si="20"/>
        <v>9.5000000000000001E-2</v>
      </c>
      <c r="S22" s="5">
        <f t="shared" si="20"/>
        <v>9.5000000000000001E-2</v>
      </c>
      <c r="T22" s="5">
        <f t="shared" si="20"/>
        <v>9.5000000000000001E-2</v>
      </c>
      <c r="U22" s="5">
        <f t="shared" si="20"/>
        <v>9.5000000000000001E-2</v>
      </c>
    </row>
    <row r="23" spans="1:21" ht="15">
      <c r="A23" s="1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15">
      <c r="A24" s="10" t="s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">
      <c r="A25" s="11" t="s">
        <v>24</v>
      </c>
      <c r="B25" s="6">
        <v>63</v>
      </c>
      <c r="C25" s="6">
        <v>63.5</v>
      </c>
      <c r="D25" s="6">
        <v>63</v>
      </c>
      <c r="E25" s="6">
        <v>60</v>
      </c>
      <c r="F25" s="6">
        <v>62</v>
      </c>
      <c r="G25" s="6">
        <v>63.5</v>
      </c>
      <c r="H25" s="6">
        <v>63</v>
      </c>
      <c r="I25" s="6">
        <v>61</v>
      </c>
      <c r="J25" s="6">
        <f>AVERAGE(B25:I25)</f>
        <v>62.375</v>
      </c>
      <c r="K25" s="6">
        <f>AVERAGE(B25:I25)</f>
        <v>62.375</v>
      </c>
      <c r="L25" s="6">
        <f>AVERAGE(B25:I25)</f>
        <v>62.375</v>
      </c>
      <c r="M25" s="6">
        <f>AVERAGE(B25:I25)</f>
        <v>62.375</v>
      </c>
      <c r="N25" s="6">
        <f>AVERAGE(B25:I25)</f>
        <v>62.375</v>
      </c>
      <c r="O25" s="6">
        <f>AVERAGE(B25:I25)</f>
        <v>62.375</v>
      </c>
      <c r="P25" s="6">
        <f>AVERAGE(B25:I25)</f>
        <v>62.375</v>
      </c>
      <c r="Q25" s="6">
        <f>AVERAGE(B25:I25)</f>
        <v>62.375</v>
      </c>
      <c r="R25" s="6">
        <f>AVERAGE(B25:I25)</f>
        <v>62.375</v>
      </c>
      <c r="S25" s="6">
        <f>AVERAGE(B25:I25)</f>
        <v>62.375</v>
      </c>
      <c r="T25" s="6">
        <f>AVERAGE(B25:I25)</f>
        <v>62.375</v>
      </c>
      <c r="U25" s="6">
        <f>AVERAGE(B25:I25)</f>
        <v>62.375</v>
      </c>
    </row>
    <row r="26" spans="1:21" ht="15">
      <c r="A26" s="11" t="s">
        <v>25</v>
      </c>
      <c r="B26" s="6">
        <v>91</v>
      </c>
      <c r="C26" s="6">
        <v>92</v>
      </c>
      <c r="D26" s="6">
        <v>92</v>
      </c>
      <c r="E26" s="6">
        <v>90</v>
      </c>
      <c r="F26" s="6">
        <v>91</v>
      </c>
      <c r="G26" s="6">
        <v>92</v>
      </c>
      <c r="H26" s="6">
        <v>92</v>
      </c>
      <c r="I26" s="6">
        <v>90</v>
      </c>
      <c r="J26" s="6">
        <f>AVERAGE(B26:I26)</f>
        <v>91.25</v>
      </c>
      <c r="K26" s="6">
        <f>AVERAGE(B26:I26)</f>
        <v>91.25</v>
      </c>
      <c r="L26" s="6">
        <f>AVERAGE(B26:I26)</f>
        <v>91.25</v>
      </c>
      <c r="M26" s="6">
        <f>AVERAGE(B26:I26)</f>
        <v>91.25</v>
      </c>
      <c r="N26" s="6">
        <f>AVERAGE(B26:I26)</f>
        <v>91.25</v>
      </c>
      <c r="O26" s="6">
        <f>AVERAGE(B26:I26)</f>
        <v>91.25</v>
      </c>
      <c r="P26" s="6">
        <f>AVERAGE(B26:I26)</f>
        <v>91.25</v>
      </c>
      <c r="Q26" s="6">
        <f>AVERAGE(B26:I26)</f>
        <v>91.25</v>
      </c>
      <c r="R26" s="6">
        <f>AVERAGE(B26:I26)</f>
        <v>91.25</v>
      </c>
      <c r="S26" s="6">
        <f>AVERAGE(B26:I26)</f>
        <v>91.25</v>
      </c>
      <c r="T26" s="6">
        <f>AVERAGE(B26:I26)</f>
        <v>91.25</v>
      </c>
      <c r="U26" s="6">
        <f>AVERAGE(B26:I26)</f>
        <v>91.25</v>
      </c>
    </row>
    <row r="27" spans="1:21" ht="15">
      <c r="A27" s="11" t="s">
        <v>26</v>
      </c>
      <c r="B27" s="4">
        <v>243600</v>
      </c>
      <c r="C27" s="4">
        <v>286200</v>
      </c>
      <c r="D27" s="4">
        <v>423300</v>
      </c>
      <c r="E27" s="4">
        <v>413200</v>
      </c>
      <c r="F27" s="4">
        <v>517300</v>
      </c>
      <c r="G27" s="4">
        <v>647200</v>
      </c>
      <c r="H27" s="4">
        <v>710300</v>
      </c>
      <c r="I27" s="4">
        <v>637800</v>
      </c>
      <c r="J27" s="4">
        <f t="shared" ref="J27:U27" si="21">J13*J28</f>
        <v>649724.32960631442</v>
      </c>
      <c r="K27" s="4">
        <f t="shared" si="21"/>
        <v>677951.78541136032</v>
      </c>
      <c r="L27" s="4">
        <f t="shared" si="21"/>
        <v>705445.1254626523</v>
      </c>
      <c r="M27" s="4">
        <f t="shared" si="21"/>
        <v>732001.81650243315</v>
      </c>
      <c r="N27" s="4">
        <f t="shared" si="21"/>
        <v>757416.55977368599</v>
      </c>
      <c r="O27" s="4">
        <f t="shared" si="21"/>
        <v>781483.4796543048</v>
      </c>
      <c r="P27" s="4">
        <f t="shared" si="21"/>
        <v>803998.44454904739</v>
      </c>
      <c r="Q27" s="4">
        <f t="shared" si="21"/>
        <v>824761.48902077065</v>
      </c>
      <c r="R27" s="4">
        <f t="shared" si="21"/>
        <v>843579.30238513323</v>
      </c>
      <c r="S27" s="4">
        <f t="shared" si="21"/>
        <v>875821.26839195797</v>
      </c>
      <c r="T27" s="4">
        <f t="shared" si="21"/>
        <v>913001.52628911554</v>
      </c>
      <c r="U27" s="4">
        <f t="shared" si="21"/>
        <v>949477.65215391363</v>
      </c>
    </row>
    <row r="28" spans="1:21" ht="15">
      <c r="A28" s="11" t="s">
        <v>27</v>
      </c>
      <c r="B28" s="7">
        <f t="shared" ref="B28:I28" si="22">B27/B13</f>
        <v>1.7437365783822476</v>
      </c>
      <c r="C28" s="7">
        <f t="shared" si="22"/>
        <v>1.8804204993429698</v>
      </c>
      <c r="D28" s="7">
        <f t="shared" si="22"/>
        <v>2.1944012441679628</v>
      </c>
      <c r="E28" s="7">
        <f t="shared" si="22"/>
        <v>1.8730734360834089</v>
      </c>
      <c r="F28" s="7">
        <f t="shared" si="22"/>
        <v>1.8567839195979901</v>
      </c>
      <c r="G28" s="7">
        <f t="shared" si="22"/>
        <v>1.9452960625187856</v>
      </c>
      <c r="H28" s="7">
        <f t="shared" si="22"/>
        <v>2.2052157714995344</v>
      </c>
      <c r="I28" s="7">
        <f t="shared" si="22"/>
        <v>2.075496257728604</v>
      </c>
      <c r="J28" s="7">
        <f>MAX($B$81,AVERAGE(F28:I28)-$B$82)</f>
        <v>1.9806980028362284</v>
      </c>
      <c r="K28" s="7">
        <f t="shared" ref="K28:U28" si="23">MAX($B$81,J28-$B$82)</f>
        <v>1.9406980028362284</v>
      </c>
      <c r="L28" s="7">
        <f t="shared" si="23"/>
        <v>1.9006980028362284</v>
      </c>
      <c r="M28" s="7">
        <f t="shared" si="23"/>
        <v>1.8606980028362283</v>
      </c>
      <c r="N28" s="7">
        <f t="shared" si="23"/>
        <v>1.8206980028362283</v>
      </c>
      <c r="O28" s="7">
        <f t="shared" si="23"/>
        <v>1.7806980028362283</v>
      </c>
      <c r="P28" s="7">
        <f t="shared" si="23"/>
        <v>1.7406980028362282</v>
      </c>
      <c r="Q28" s="7">
        <f t="shared" si="23"/>
        <v>1.7006980028362282</v>
      </c>
      <c r="R28" s="7">
        <f t="shared" si="23"/>
        <v>1.6606980028362281</v>
      </c>
      <c r="S28" s="7">
        <f t="shared" si="23"/>
        <v>1.65</v>
      </c>
      <c r="T28" s="7">
        <f t="shared" si="23"/>
        <v>1.65</v>
      </c>
      <c r="U28" s="7">
        <f t="shared" si="23"/>
        <v>1.65</v>
      </c>
    </row>
    <row r="29" spans="1:21" ht="15">
      <c r="A29" s="11" t="s">
        <v>28</v>
      </c>
      <c r="B29" s="4">
        <v>6.2</v>
      </c>
      <c r="C29" s="4">
        <v>7</v>
      </c>
      <c r="D29" s="4">
        <v>7.6</v>
      </c>
      <c r="E29" s="4">
        <v>8.3000000000000007</v>
      </c>
      <c r="F29" s="4">
        <v>8.3000000000000007</v>
      </c>
      <c r="G29" s="4">
        <v>9.6</v>
      </c>
      <c r="H29" s="4">
        <v>10.5</v>
      </c>
      <c r="I29" s="4">
        <v>9.6</v>
      </c>
      <c r="J29" s="4">
        <f t="shared" ref="J29:U29" si="24">J7*J31</f>
        <v>9.7283955794142489</v>
      </c>
      <c r="K29" s="4">
        <f t="shared" si="24"/>
        <v>9.7889855063672204</v>
      </c>
      <c r="L29" s="4">
        <f t="shared" si="24"/>
        <v>9.8447622852604439</v>
      </c>
      <c r="M29" s="4">
        <f t="shared" si="24"/>
        <v>9.8956333538695773</v>
      </c>
      <c r="N29" s="4">
        <f t="shared" si="24"/>
        <v>9.9415132637329258</v>
      </c>
      <c r="O29" s="4">
        <f t="shared" si="24"/>
        <v>9.9823239136144508</v>
      </c>
      <c r="P29" s="4">
        <f t="shared" si="24"/>
        <v>10.017994765451805</v>
      </c>
      <c r="Q29" s="4">
        <f t="shared" si="24"/>
        <v>10.048463041970809</v>
      </c>
      <c r="R29" s="4">
        <f t="shared" si="24"/>
        <v>10.073673905208352</v>
      </c>
      <c r="S29" s="4">
        <f t="shared" si="24"/>
        <v>10.093580615249856</v>
      </c>
      <c r="T29" s="4">
        <f t="shared" si="24"/>
        <v>10.108144668555067</v>
      </c>
      <c r="U29" s="4">
        <f t="shared" si="24"/>
        <v>10.12235941875025</v>
      </c>
    </row>
    <row r="30" spans="1:21" ht="15">
      <c r="A30" s="11" t="s">
        <v>29</v>
      </c>
      <c r="B30" s="4">
        <f t="shared" ref="B30:U30" si="25">B29*B25</f>
        <v>390.6</v>
      </c>
      <c r="C30" s="4">
        <f t="shared" si="25"/>
        <v>444.5</v>
      </c>
      <c r="D30" s="4">
        <f t="shared" si="25"/>
        <v>478.79999999999995</v>
      </c>
      <c r="E30" s="4">
        <f t="shared" si="25"/>
        <v>498.00000000000006</v>
      </c>
      <c r="F30" s="4">
        <f t="shared" si="25"/>
        <v>514.6</v>
      </c>
      <c r="G30" s="4">
        <f t="shared" si="25"/>
        <v>609.6</v>
      </c>
      <c r="H30" s="4">
        <f t="shared" si="25"/>
        <v>661.5</v>
      </c>
      <c r="I30" s="4">
        <f t="shared" si="25"/>
        <v>585.6</v>
      </c>
      <c r="J30" s="4">
        <f t="shared" si="25"/>
        <v>606.80867426596376</v>
      </c>
      <c r="K30" s="4">
        <f t="shared" si="25"/>
        <v>610.58797095965542</v>
      </c>
      <c r="L30" s="4">
        <f t="shared" si="25"/>
        <v>614.06704754312022</v>
      </c>
      <c r="M30" s="4">
        <f t="shared" si="25"/>
        <v>617.24013044761489</v>
      </c>
      <c r="N30" s="4">
        <f t="shared" si="25"/>
        <v>620.10188982534123</v>
      </c>
      <c r="O30" s="4">
        <f t="shared" si="25"/>
        <v>622.64745411170134</v>
      </c>
      <c r="P30" s="4">
        <f t="shared" si="25"/>
        <v>624.8724234950563</v>
      </c>
      <c r="Q30" s="4">
        <f t="shared" si="25"/>
        <v>626.7728822429292</v>
      </c>
      <c r="R30" s="4">
        <f t="shared" si="25"/>
        <v>628.34540983737099</v>
      </c>
      <c r="S30" s="4">
        <f t="shared" si="25"/>
        <v>629.5870908762098</v>
      </c>
      <c r="T30" s="4">
        <f t="shared" si="25"/>
        <v>630.49552370112224</v>
      </c>
      <c r="U30" s="4">
        <f t="shared" si="25"/>
        <v>631.38216874454679</v>
      </c>
    </row>
    <row r="31" spans="1:21" ht="15">
      <c r="A31" s="11" t="s">
        <v>30</v>
      </c>
      <c r="B31" s="7">
        <f t="shared" ref="B31:I31" si="26">B29/B7</f>
        <v>0.25619834710743805</v>
      </c>
      <c r="C31" s="7">
        <f t="shared" si="26"/>
        <v>0.28806584362139914</v>
      </c>
      <c r="D31" s="7">
        <f t="shared" si="26"/>
        <v>0.30158730158730157</v>
      </c>
      <c r="E31" s="7">
        <f t="shared" si="26"/>
        <v>0.32170542635658916</v>
      </c>
      <c r="F31" s="7">
        <f t="shared" si="26"/>
        <v>0.31320754716981136</v>
      </c>
      <c r="G31" s="7">
        <f t="shared" si="26"/>
        <v>0.35820895522388058</v>
      </c>
      <c r="H31" s="7">
        <f t="shared" si="26"/>
        <v>0.3888888888888889</v>
      </c>
      <c r="I31" s="7">
        <f t="shared" si="26"/>
        <v>0.35036496350364965</v>
      </c>
      <c r="J31" s="7">
        <f>MAX($B$83,AVERAGE(F31:I31)-$B$84)</f>
        <v>0.35066758869655762</v>
      </c>
      <c r="K31" s="7">
        <f t="shared" ref="K31:U31" si="27">MAX($B$83,J31-$B$84)</f>
        <v>0.34866758869655762</v>
      </c>
      <c r="L31" s="7">
        <f t="shared" si="27"/>
        <v>0.34666758869655762</v>
      </c>
      <c r="M31" s="7">
        <f t="shared" si="27"/>
        <v>0.34466758869655761</v>
      </c>
      <c r="N31" s="7">
        <f t="shared" si="27"/>
        <v>0.34266758869655761</v>
      </c>
      <c r="O31" s="7">
        <f t="shared" si="27"/>
        <v>0.34066758869655761</v>
      </c>
      <c r="P31" s="7">
        <f t="shared" si="27"/>
        <v>0.33866758869655761</v>
      </c>
      <c r="Q31" s="7">
        <f t="shared" si="27"/>
        <v>0.33666758869655761</v>
      </c>
      <c r="R31" s="7">
        <f t="shared" si="27"/>
        <v>0.33466758869655761</v>
      </c>
      <c r="S31" s="7">
        <f t="shared" si="27"/>
        <v>0.3326675886965576</v>
      </c>
      <c r="T31" s="7">
        <f t="shared" si="27"/>
        <v>0.3306675886965576</v>
      </c>
      <c r="U31" s="7">
        <f t="shared" si="27"/>
        <v>0.3286675886965576</v>
      </c>
    </row>
    <row r="32" spans="1:21" ht="15">
      <c r="A32" s="11" t="s">
        <v>31</v>
      </c>
      <c r="B32" s="4">
        <v>21500</v>
      </c>
      <c r="C32" s="4">
        <v>14400</v>
      </c>
      <c r="D32" s="4">
        <v>71000</v>
      </c>
      <c r="E32" s="4">
        <v>46100</v>
      </c>
      <c r="F32" s="4">
        <v>35000</v>
      </c>
      <c r="G32" s="4">
        <v>80200</v>
      </c>
      <c r="H32" s="4">
        <v>82400</v>
      </c>
      <c r="I32" s="4">
        <v>65700</v>
      </c>
      <c r="J32" s="4">
        <f t="shared" ref="J32:U32" si="28">J21*J33</f>
        <v>50890.328405191576</v>
      </c>
      <c r="K32" s="4">
        <f t="shared" si="28"/>
        <v>53098.767161055737</v>
      </c>
      <c r="L32" s="4">
        <f t="shared" si="28"/>
        <v>56414.884905607127</v>
      </c>
      <c r="M32" s="4">
        <f t="shared" si="28"/>
        <v>59797.063219701282</v>
      </c>
      <c r="N32" s="4">
        <f t="shared" si="28"/>
        <v>63232.51681841712</v>
      </c>
      <c r="O32" s="4">
        <f t="shared" si="28"/>
        <v>66707.262387141061</v>
      </c>
      <c r="P32" s="4">
        <f t="shared" si="28"/>
        <v>70206.183595508497</v>
      </c>
      <c r="Q32" s="4">
        <f t="shared" si="28"/>
        <v>73713.114334285056</v>
      </c>
      <c r="R32" s="4">
        <f t="shared" si="28"/>
        <v>77210.940064691124</v>
      </c>
      <c r="S32" s="4">
        <f t="shared" si="28"/>
        <v>80681.716845804622</v>
      </c>
      <c r="T32" s="4">
        <f t="shared" si="28"/>
        <v>84106.807270270059</v>
      </c>
      <c r="U32" s="4">
        <f t="shared" si="28"/>
        <v>87467.032198421148</v>
      </c>
    </row>
    <row r="33" spans="1:21" ht="15">
      <c r="A33" s="11" t="s">
        <v>32</v>
      </c>
      <c r="B33" s="7">
        <f t="shared" ref="B33:I33" si="29">B32/B21</f>
        <v>1.038647342995169</v>
      </c>
      <c r="C33" s="7">
        <f t="shared" si="29"/>
        <v>0.7384615384615385</v>
      </c>
      <c r="D33" s="7">
        <f t="shared" si="29"/>
        <v>2.0170454545454546</v>
      </c>
      <c r="E33" s="7">
        <f t="shared" si="29"/>
        <v>1.6763636363636363</v>
      </c>
      <c r="F33" s="7">
        <f t="shared" si="29"/>
        <v>0.85158150851581504</v>
      </c>
      <c r="G33" s="7">
        <f t="shared" si="29"/>
        <v>1.5694716242661448</v>
      </c>
      <c r="H33" s="7">
        <f t="shared" si="29"/>
        <v>2.157068062827225</v>
      </c>
      <c r="I33" s="7">
        <f t="shared" si="29"/>
        <v>2.1540983606557376</v>
      </c>
      <c r="J33" s="7">
        <f>MAX($B$85,AVERAGE(F33:I33)-$B$86)</f>
        <v>1.6330548890662306</v>
      </c>
      <c r="K33" s="7">
        <f t="shared" ref="K33:U33" si="30">MAX($B$85,J33-$B$86)</f>
        <v>1.6</v>
      </c>
      <c r="L33" s="7">
        <f t="shared" si="30"/>
        <v>1.6</v>
      </c>
      <c r="M33" s="7">
        <f t="shared" si="30"/>
        <v>1.6</v>
      </c>
      <c r="N33" s="7">
        <f t="shared" si="30"/>
        <v>1.6</v>
      </c>
      <c r="O33" s="7">
        <f t="shared" si="30"/>
        <v>1.6</v>
      </c>
      <c r="P33" s="7">
        <f t="shared" si="30"/>
        <v>1.6</v>
      </c>
      <c r="Q33" s="7">
        <f t="shared" si="30"/>
        <v>1.6</v>
      </c>
      <c r="R33" s="7">
        <f t="shared" si="30"/>
        <v>1.6</v>
      </c>
      <c r="S33" s="7">
        <f t="shared" si="30"/>
        <v>1.6</v>
      </c>
      <c r="T33" s="7">
        <f t="shared" si="30"/>
        <v>1.6</v>
      </c>
      <c r="U33" s="7">
        <f t="shared" si="30"/>
        <v>1.6</v>
      </c>
    </row>
    <row r="34" spans="1:21" ht="15">
      <c r="A34" s="11" t="s">
        <v>33</v>
      </c>
      <c r="B34" s="4"/>
      <c r="C34" s="4"/>
      <c r="D34" s="4"/>
      <c r="E34" s="4">
        <v>300</v>
      </c>
      <c r="F34" s="4">
        <v>1000</v>
      </c>
      <c r="G34" s="4">
        <v>2300</v>
      </c>
      <c r="H34" s="4">
        <v>8500</v>
      </c>
      <c r="I34" s="4">
        <v>8800</v>
      </c>
      <c r="J34" s="4">
        <f t="shared" ref="J34:U34" si="31">J7*J26*J35</f>
        <v>9160.3251562499991</v>
      </c>
      <c r="K34" s="4">
        <f t="shared" si="31"/>
        <v>9398.3431162499983</v>
      </c>
      <c r="L34" s="4">
        <f t="shared" si="31"/>
        <v>9635.9912018803097</v>
      </c>
      <c r="M34" s="4">
        <f t="shared" si="31"/>
        <v>9872.9794834321583</v>
      </c>
      <c r="N34" s="4">
        <f t="shared" si="31"/>
        <v>10109.013566311838</v>
      </c>
      <c r="O34" s="4">
        <f t="shared" si="31"/>
        <v>10343.795178261636</v>
      </c>
      <c r="P34" s="4">
        <f t="shared" si="31"/>
        <v>10577.022777766524</v>
      </c>
      <c r="Q34" s="4">
        <f t="shared" si="31"/>
        <v>10808.392181985626</v>
      </c>
      <c r="R34" s="4">
        <f t="shared" si="31"/>
        <v>11037.597212445073</v>
      </c>
      <c r="S34" s="4">
        <f t="shared" si="31"/>
        <v>11264.330356632501</v>
      </c>
      <c r="T34" s="4">
        <f t="shared" si="31"/>
        <v>11488.283443543773</v>
      </c>
      <c r="U34" s="4">
        <f t="shared" si="31"/>
        <v>11714.962208176154</v>
      </c>
    </row>
    <row r="35" spans="1:21" ht="15">
      <c r="A35" s="11" t="s">
        <v>34</v>
      </c>
      <c r="B35" s="7" t="str">
        <f t="shared" ref="B35:I35" si="32">IF(B34="","",B34/B7/B26)</f>
        <v/>
      </c>
      <c r="C35" s="7" t="str">
        <f t="shared" si="32"/>
        <v/>
      </c>
      <c r="D35" s="7" t="str">
        <f t="shared" si="32"/>
        <v/>
      </c>
      <c r="E35" s="7">
        <f t="shared" si="32"/>
        <v>0.12919896640826872</v>
      </c>
      <c r="F35" s="7">
        <f t="shared" si="32"/>
        <v>0.41467965996267886</v>
      </c>
      <c r="G35" s="7">
        <f t="shared" si="32"/>
        <v>0.93283582089552231</v>
      </c>
      <c r="H35" s="7">
        <f t="shared" si="32"/>
        <v>3.4219001610305959</v>
      </c>
      <c r="I35" s="7">
        <f t="shared" si="32"/>
        <v>3.5685320356853203</v>
      </c>
      <c r="J35" s="7">
        <f t="shared" ref="J35:U35" si="33">MIN($B$87,I35+$B$88)</f>
        <v>3.6185320356853201</v>
      </c>
      <c r="K35" s="7">
        <f t="shared" si="33"/>
        <v>3.6685320356853199</v>
      </c>
      <c r="L35" s="7">
        <f t="shared" si="33"/>
        <v>3.7185320356853198</v>
      </c>
      <c r="M35" s="7">
        <f t="shared" si="33"/>
        <v>3.7685320356853196</v>
      </c>
      <c r="N35" s="7">
        <f t="shared" si="33"/>
        <v>3.8185320356853194</v>
      </c>
      <c r="O35" s="7">
        <f t="shared" si="33"/>
        <v>3.8685320356853192</v>
      </c>
      <c r="P35" s="7">
        <f t="shared" si="33"/>
        <v>3.918532035685319</v>
      </c>
      <c r="Q35" s="7">
        <f t="shared" si="33"/>
        <v>3.9685320356853189</v>
      </c>
      <c r="R35" s="7">
        <f t="shared" si="33"/>
        <v>4.0185320356853191</v>
      </c>
      <c r="S35" s="7">
        <f t="shared" si="33"/>
        <v>4.068532035685319</v>
      </c>
      <c r="T35" s="7">
        <f t="shared" si="33"/>
        <v>4.1185320356853188</v>
      </c>
      <c r="U35" s="7">
        <f t="shared" si="33"/>
        <v>4.1685320356853186</v>
      </c>
    </row>
    <row r="36" spans="1:21" ht="15">
      <c r="A36" s="1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5">
      <c r="A37" s="10" t="s">
        <v>35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">
      <c r="A38" s="11" t="s">
        <v>36</v>
      </c>
      <c r="B38" s="7">
        <f t="shared" ref="B38:U38" si="34">$B$99</f>
        <v>1.2856694888679836</v>
      </c>
      <c r="C38" s="7">
        <f t="shared" si="34"/>
        <v>1.2856694888679836</v>
      </c>
      <c r="D38" s="7">
        <f t="shared" si="34"/>
        <v>1.2856694888679836</v>
      </c>
      <c r="E38" s="7">
        <f t="shared" si="34"/>
        <v>1.2856694888679836</v>
      </c>
      <c r="F38" s="7">
        <f t="shared" si="34"/>
        <v>1.2856694888679836</v>
      </c>
      <c r="G38" s="7">
        <f t="shared" si="34"/>
        <v>1.2856694888679836</v>
      </c>
      <c r="H38" s="7">
        <f t="shared" si="34"/>
        <v>1.2856694888679836</v>
      </c>
      <c r="I38" s="7">
        <f t="shared" si="34"/>
        <v>1.2856694888679836</v>
      </c>
      <c r="J38" s="7">
        <f t="shared" si="34"/>
        <v>1.2856694888679836</v>
      </c>
      <c r="K38" s="7">
        <f t="shared" si="34"/>
        <v>1.2856694888679836</v>
      </c>
      <c r="L38" s="7">
        <f t="shared" si="34"/>
        <v>1.2856694888679836</v>
      </c>
      <c r="M38" s="7">
        <f t="shared" si="34"/>
        <v>1.2856694888679836</v>
      </c>
      <c r="N38" s="7">
        <f t="shared" si="34"/>
        <v>1.2856694888679836</v>
      </c>
      <c r="O38" s="7">
        <f t="shared" si="34"/>
        <v>1.2856694888679836</v>
      </c>
      <c r="P38" s="7">
        <f t="shared" si="34"/>
        <v>1.2856694888679836</v>
      </c>
      <c r="Q38" s="7">
        <f t="shared" si="34"/>
        <v>1.2856694888679836</v>
      </c>
      <c r="R38" s="7">
        <f t="shared" si="34"/>
        <v>1.2856694888679836</v>
      </c>
      <c r="S38" s="7">
        <f t="shared" si="34"/>
        <v>1.2856694888679836</v>
      </c>
      <c r="T38" s="7">
        <f t="shared" si="34"/>
        <v>1.2856694888679836</v>
      </c>
      <c r="U38" s="7">
        <f t="shared" si="34"/>
        <v>1.2856694888679836</v>
      </c>
    </row>
    <row r="39" spans="1:21" ht="15">
      <c r="A39" s="11" t="s">
        <v>37</v>
      </c>
      <c r="B39" s="7">
        <f t="shared" ref="B39:U39" si="35">$B$100</f>
        <v>0.44398907103825136</v>
      </c>
      <c r="C39" s="7">
        <f t="shared" si="35"/>
        <v>0.44398907103825136</v>
      </c>
      <c r="D39" s="7">
        <f t="shared" si="35"/>
        <v>0.44398907103825136</v>
      </c>
      <c r="E39" s="7">
        <f t="shared" si="35"/>
        <v>0.44398907103825136</v>
      </c>
      <c r="F39" s="7">
        <f t="shared" si="35"/>
        <v>0.44398907103825136</v>
      </c>
      <c r="G39" s="7">
        <f t="shared" si="35"/>
        <v>0.44398907103825136</v>
      </c>
      <c r="H39" s="7">
        <f t="shared" si="35"/>
        <v>0.44398907103825136</v>
      </c>
      <c r="I39" s="7">
        <f t="shared" si="35"/>
        <v>0.44398907103825136</v>
      </c>
      <c r="J39" s="7">
        <f t="shared" si="35"/>
        <v>0.44398907103825136</v>
      </c>
      <c r="K39" s="7">
        <f t="shared" si="35"/>
        <v>0.44398907103825136</v>
      </c>
      <c r="L39" s="7">
        <f t="shared" si="35"/>
        <v>0.44398907103825136</v>
      </c>
      <c r="M39" s="7">
        <f t="shared" si="35"/>
        <v>0.44398907103825136</v>
      </c>
      <c r="N39" s="7">
        <f t="shared" si="35"/>
        <v>0.44398907103825136</v>
      </c>
      <c r="O39" s="7">
        <f t="shared" si="35"/>
        <v>0.44398907103825136</v>
      </c>
      <c r="P39" s="7">
        <f t="shared" si="35"/>
        <v>0.44398907103825136</v>
      </c>
      <c r="Q39" s="7">
        <f t="shared" si="35"/>
        <v>0.44398907103825136</v>
      </c>
      <c r="R39" s="7">
        <f t="shared" si="35"/>
        <v>0.44398907103825136</v>
      </c>
      <c r="S39" s="7">
        <f t="shared" si="35"/>
        <v>0.44398907103825136</v>
      </c>
      <c r="T39" s="7">
        <f t="shared" si="35"/>
        <v>0.44398907103825136</v>
      </c>
      <c r="U39" s="7">
        <f t="shared" si="35"/>
        <v>0.44398907103825136</v>
      </c>
    </row>
    <row r="40" spans="1:21" ht="15">
      <c r="A40" s="11" t="s">
        <v>38</v>
      </c>
      <c r="B40" s="5">
        <f t="shared" ref="B40:U40" si="36">$B$101</f>
        <v>2.0395738203957381E-3</v>
      </c>
      <c r="C40" s="5">
        <f t="shared" si="36"/>
        <v>2.0395738203957381E-3</v>
      </c>
      <c r="D40" s="5">
        <f t="shared" si="36"/>
        <v>2.0395738203957381E-3</v>
      </c>
      <c r="E40" s="5">
        <f t="shared" si="36"/>
        <v>2.0395738203957381E-3</v>
      </c>
      <c r="F40" s="5">
        <f t="shared" si="36"/>
        <v>2.0395738203957381E-3</v>
      </c>
      <c r="G40" s="5">
        <f t="shared" si="36"/>
        <v>2.0395738203957381E-3</v>
      </c>
      <c r="H40" s="5">
        <f t="shared" si="36"/>
        <v>2.0395738203957381E-3</v>
      </c>
      <c r="I40" s="5">
        <f t="shared" si="36"/>
        <v>2.0395738203957381E-3</v>
      </c>
      <c r="J40" s="5">
        <f t="shared" si="36"/>
        <v>2.0395738203957381E-3</v>
      </c>
      <c r="K40" s="5">
        <f t="shared" si="36"/>
        <v>2.0395738203957381E-3</v>
      </c>
      <c r="L40" s="5">
        <f t="shared" si="36"/>
        <v>2.0395738203957381E-3</v>
      </c>
      <c r="M40" s="5">
        <f t="shared" si="36"/>
        <v>2.0395738203957381E-3</v>
      </c>
      <c r="N40" s="5">
        <f t="shared" si="36"/>
        <v>2.0395738203957381E-3</v>
      </c>
      <c r="O40" s="5">
        <f t="shared" si="36"/>
        <v>2.0395738203957381E-3</v>
      </c>
      <c r="P40" s="5">
        <f t="shared" si="36"/>
        <v>2.0395738203957381E-3</v>
      </c>
      <c r="Q40" s="5">
        <f t="shared" si="36"/>
        <v>2.0395738203957381E-3</v>
      </c>
      <c r="R40" s="5">
        <f t="shared" si="36"/>
        <v>2.0395738203957381E-3</v>
      </c>
      <c r="S40" s="5">
        <f t="shared" si="36"/>
        <v>2.0395738203957381E-3</v>
      </c>
      <c r="T40" s="5">
        <f t="shared" si="36"/>
        <v>2.0395738203957381E-3</v>
      </c>
      <c r="U40" s="5">
        <f t="shared" si="36"/>
        <v>2.0395738203957381E-3</v>
      </c>
    </row>
    <row r="41" spans="1:21" ht="15">
      <c r="A41" s="11" t="s">
        <v>39</v>
      </c>
      <c r="B41" s="7">
        <f t="shared" ref="B41:U41" si="37">$B$102</f>
        <v>1.1818181818181818E-2</v>
      </c>
      <c r="C41" s="7">
        <f t="shared" si="37"/>
        <v>1.1818181818181818E-2</v>
      </c>
      <c r="D41" s="7">
        <f t="shared" si="37"/>
        <v>1.1818181818181818E-2</v>
      </c>
      <c r="E41" s="7">
        <f t="shared" si="37"/>
        <v>1.1818181818181818E-2</v>
      </c>
      <c r="F41" s="7">
        <f t="shared" si="37"/>
        <v>1.1818181818181818E-2</v>
      </c>
      <c r="G41" s="7">
        <f t="shared" si="37"/>
        <v>1.1818181818181818E-2</v>
      </c>
      <c r="H41" s="7">
        <f t="shared" si="37"/>
        <v>1.1818181818181818E-2</v>
      </c>
      <c r="I41" s="7">
        <f t="shared" si="37"/>
        <v>1.1818181818181818E-2</v>
      </c>
      <c r="J41" s="7">
        <f t="shared" si="37"/>
        <v>1.1818181818181818E-2</v>
      </c>
      <c r="K41" s="7">
        <f t="shared" si="37"/>
        <v>1.1818181818181818E-2</v>
      </c>
      <c r="L41" s="7">
        <f t="shared" si="37"/>
        <v>1.1818181818181818E-2</v>
      </c>
      <c r="M41" s="7">
        <f t="shared" si="37"/>
        <v>1.1818181818181818E-2</v>
      </c>
      <c r="N41" s="7">
        <f t="shared" si="37"/>
        <v>1.1818181818181818E-2</v>
      </c>
      <c r="O41" s="7">
        <f t="shared" si="37"/>
        <v>1.1818181818181818E-2</v>
      </c>
      <c r="P41" s="7">
        <f t="shared" si="37"/>
        <v>1.1818181818181818E-2</v>
      </c>
      <c r="Q41" s="7">
        <f t="shared" si="37"/>
        <v>1.1818181818181818E-2</v>
      </c>
      <c r="R41" s="7">
        <f t="shared" si="37"/>
        <v>1.1818181818181818E-2</v>
      </c>
      <c r="S41" s="7">
        <f t="shared" si="37"/>
        <v>1.1818181818181818E-2</v>
      </c>
      <c r="T41" s="7">
        <f t="shared" si="37"/>
        <v>1.1818181818181818E-2</v>
      </c>
      <c r="U41" s="7">
        <f t="shared" si="37"/>
        <v>1.1818181818181818E-2</v>
      </c>
    </row>
    <row r="42" spans="1:21" ht="15">
      <c r="A42" s="11" t="s">
        <v>40</v>
      </c>
      <c r="B42" s="5">
        <f t="shared" ref="B42:U42" si="38">$B$103</f>
        <v>1.1352941176470588E-2</v>
      </c>
      <c r="C42" s="5">
        <f t="shared" si="38"/>
        <v>1.1352941176470588E-2</v>
      </c>
      <c r="D42" s="5">
        <f t="shared" si="38"/>
        <v>1.1352941176470588E-2</v>
      </c>
      <c r="E42" s="5">
        <f t="shared" si="38"/>
        <v>1.1352941176470588E-2</v>
      </c>
      <c r="F42" s="5">
        <f t="shared" si="38"/>
        <v>1.1352941176470588E-2</v>
      </c>
      <c r="G42" s="5">
        <f t="shared" si="38"/>
        <v>1.1352941176470588E-2</v>
      </c>
      <c r="H42" s="5">
        <f t="shared" si="38"/>
        <v>1.1352941176470588E-2</v>
      </c>
      <c r="I42" s="5">
        <f t="shared" si="38"/>
        <v>1.1352941176470588E-2</v>
      </c>
      <c r="J42" s="5">
        <f t="shared" si="38"/>
        <v>1.1352941176470588E-2</v>
      </c>
      <c r="K42" s="5">
        <f t="shared" si="38"/>
        <v>1.1352941176470588E-2</v>
      </c>
      <c r="L42" s="5">
        <f t="shared" si="38"/>
        <v>1.1352941176470588E-2</v>
      </c>
      <c r="M42" s="5">
        <f t="shared" si="38"/>
        <v>1.1352941176470588E-2</v>
      </c>
      <c r="N42" s="5">
        <f t="shared" si="38"/>
        <v>1.1352941176470588E-2</v>
      </c>
      <c r="O42" s="5">
        <f t="shared" si="38"/>
        <v>1.1352941176470588E-2</v>
      </c>
      <c r="P42" s="5">
        <f t="shared" si="38"/>
        <v>1.1352941176470588E-2</v>
      </c>
      <c r="Q42" s="5">
        <f t="shared" si="38"/>
        <v>1.1352941176470588E-2</v>
      </c>
      <c r="R42" s="5">
        <f t="shared" si="38"/>
        <v>1.1352941176470588E-2</v>
      </c>
      <c r="S42" s="5">
        <f t="shared" si="38"/>
        <v>1.1352941176470588E-2</v>
      </c>
      <c r="T42" s="5">
        <f t="shared" si="38"/>
        <v>1.1352941176470588E-2</v>
      </c>
      <c r="U42" s="5">
        <f t="shared" si="38"/>
        <v>1.1352941176470588E-2</v>
      </c>
    </row>
    <row r="43" spans="1:21" ht="15">
      <c r="A43" s="11" t="s">
        <v>41</v>
      </c>
      <c r="B43" s="5">
        <f t="shared" ref="B43:U43" si="39">$B$104</f>
        <v>2.412177985948478E-3</v>
      </c>
      <c r="C43" s="5">
        <f t="shared" si="39"/>
        <v>2.412177985948478E-3</v>
      </c>
      <c r="D43" s="5">
        <f t="shared" si="39"/>
        <v>2.412177985948478E-3</v>
      </c>
      <c r="E43" s="5">
        <f t="shared" si="39"/>
        <v>2.412177985948478E-3</v>
      </c>
      <c r="F43" s="5">
        <f t="shared" si="39"/>
        <v>2.412177985948478E-3</v>
      </c>
      <c r="G43" s="5">
        <f t="shared" si="39"/>
        <v>2.412177985948478E-3</v>
      </c>
      <c r="H43" s="5">
        <f t="shared" si="39"/>
        <v>2.412177985948478E-3</v>
      </c>
      <c r="I43" s="5">
        <f t="shared" si="39"/>
        <v>2.412177985948478E-3</v>
      </c>
      <c r="J43" s="5">
        <f t="shared" si="39"/>
        <v>2.412177985948478E-3</v>
      </c>
      <c r="K43" s="5">
        <f t="shared" si="39"/>
        <v>2.412177985948478E-3</v>
      </c>
      <c r="L43" s="5">
        <f t="shared" si="39"/>
        <v>2.412177985948478E-3</v>
      </c>
      <c r="M43" s="5">
        <f t="shared" si="39"/>
        <v>2.412177985948478E-3</v>
      </c>
      <c r="N43" s="5">
        <f t="shared" si="39"/>
        <v>2.412177985948478E-3</v>
      </c>
      <c r="O43" s="5">
        <f t="shared" si="39"/>
        <v>2.412177985948478E-3</v>
      </c>
      <c r="P43" s="5">
        <f t="shared" si="39"/>
        <v>2.412177985948478E-3</v>
      </c>
      <c r="Q43" s="5">
        <f t="shared" si="39"/>
        <v>2.412177985948478E-3</v>
      </c>
      <c r="R43" s="5">
        <f t="shared" si="39"/>
        <v>2.412177985948478E-3</v>
      </c>
      <c r="S43" s="5">
        <f t="shared" si="39"/>
        <v>2.412177985948478E-3</v>
      </c>
      <c r="T43" s="5">
        <f t="shared" si="39"/>
        <v>2.412177985948478E-3</v>
      </c>
      <c r="U43" s="5">
        <f t="shared" si="39"/>
        <v>2.412177985948478E-3</v>
      </c>
    </row>
    <row r="44" spans="1:21" ht="15">
      <c r="A44" s="11" t="s">
        <v>42</v>
      </c>
      <c r="B44" s="5">
        <f t="shared" ref="B44:U44" si="40">$B$105</f>
        <v>2.050113895216401E-4</v>
      </c>
      <c r="C44" s="5">
        <f t="shared" si="40"/>
        <v>2.050113895216401E-4</v>
      </c>
      <c r="D44" s="5">
        <f t="shared" si="40"/>
        <v>2.050113895216401E-4</v>
      </c>
      <c r="E44" s="5">
        <f t="shared" si="40"/>
        <v>2.050113895216401E-4</v>
      </c>
      <c r="F44" s="5">
        <f t="shared" si="40"/>
        <v>2.050113895216401E-4</v>
      </c>
      <c r="G44" s="5">
        <f t="shared" si="40"/>
        <v>2.050113895216401E-4</v>
      </c>
      <c r="H44" s="5">
        <f t="shared" si="40"/>
        <v>2.050113895216401E-4</v>
      </c>
      <c r="I44" s="5">
        <f t="shared" si="40"/>
        <v>2.050113895216401E-4</v>
      </c>
      <c r="J44" s="5">
        <f t="shared" si="40"/>
        <v>2.050113895216401E-4</v>
      </c>
      <c r="K44" s="5">
        <f t="shared" si="40"/>
        <v>2.050113895216401E-4</v>
      </c>
      <c r="L44" s="5">
        <f t="shared" si="40"/>
        <v>2.050113895216401E-4</v>
      </c>
      <c r="M44" s="5">
        <f t="shared" si="40"/>
        <v>2.050113895216401E-4</v>
      </c>
      <c r="N44" s="5">
        <f t="shared" si="40"/>
        <v>2.050113895216401E-4</v>
      </c>
      <c r="O44" s="5">
        <f t="shared" si="40"/>
        <v>2.050113895216401E-4</v>
      </c>
      <c r="P44" s="5">
        <f t="shared" si="40"/>
        <v>2.050113895216401E-4</v>
      </c>
      <c r="Q44" s="5">
        <f t="shared" si="40"/>
        <v>2.050113895216401E-4</v>
      </c>
      <c r="R44" s="5">
        <f t="shared" si="40"/>
        <v>2.050113895216401E-4</v>
      </c>
      <c r="S44" s="5">
        <f t="shared" si="40"/>
        <v>2.050113895216401E-4</v>
      </c>
      <c r="T44" s="5">
        <f t="shared" si="40"/>
        <v>2.050113895216401E-4</v>
      </c>
      <c r="U44" s="5">
        <f t="shared" si="40"/>
        <v>2.050113895216401E-4</v>
      </c>
    </row>
    <row r="45" spans="1:21" ht="15">
      <c r="A45" s="11" t="s">
        <v>43</v>
      </c>
      <c r="B45" s="7">
        <f t="shared" ref="B45:U45" si="41">$B$106</f>
        <v>1.5693430656934306</v>
      </c>
      <c r="C45" s="7">
        <f t="shared" si="41"/>
        <v>1.5693430656934306</v>
      </c>
      <c r="D45" s="7">
        <f t="shared" si="41"/>
        <v>1.5693430656934306</v>
      </c>
      <c r="E45" s="7">
        <f t="shared" si="41"/>
        <v>1.5693430656934306</v>
      </c>
      <c r="F45" s="7">
        <f t="shared" si="41"/>
        <v>1.5693430656934306</v>
      </c>
      <c r="G45" s="7">
        <f t="shared" si="41"/>
        <v>1.5693430656934306</v>
      </c>
      <c r="H45" s="7">
        <f t="shared" si="41"/>
        <v>1.5693430656934306</v>
      </c>
      <c r="I45" s="7">
        <f t="shared" si="41"/>
        <v>1.5693430656934306</v>
      </c>
      <c r="J45" s="7">
        <f t="shared" si="41"/>
        <v>1.5693430656934306</v>
      </c>
      <c r="K45" s="7">
        <f t="shared" si="41"/>
        <v>1.5693430656934306</v>
      </c>
      <c r="L45" s="7">
        <f t="shared" si="41"/>
        <v>1.5693430656934306</v>
      </c>
      <c r="M45" s="7">
        <f t="shared" si="41"/>
        <v>1.5693430656934306</v>
      </c>
      <c r="N45" s="7">
        <f t="shared" si="41"/>
        <v>1.5693430656934306</v>
      </c>
      <c r="O45" s="7">
        <f t="shared" si="41"/>
        <v>1.5693430656934306</v>
      </c>
      <c r="P45" s="7">
        <f t="shared" si="41"/>
        <v>1.5693430656934306</v>
      </c>
      <c r="Q45" s="7">
        <f t="shared" si="41"/>
        <v>1.5693430656934306</v>
      </c>
      <c r="R45" s="7">
        <f t="shared" si="41"/>
        <v>1.5693430656934306</v>
      </c>
      <c r="S45" s="7">
        <f t="shared" si="41"/>
        <v>1.5693430656934306</v>
      </c>
      <c r="T45" s="7">
        <f t="shared" si="41"/>
        <v>1.5693430656934306</v>
      </c>
      <c r="U45" s="7">
        <f t="shared" si="41"/>
        <v>1.5693430656934306</v>
      </c>
    </row>
    <row r="46" spans="1:21" ht="15">
      <c r="A46" s="11" t="s">
        <v>44</v>
      </c>
      <c r="B46" s="7">
        <f t="shared" ref="B46:U46" si="42">$B$107</f>
        <v>11.520737327188941</v>
      </c>
      <c r="C46" s="7">
        <f t="shared" si="42"/>
        <v>11.520737327188941</v>
      </c>
      <c r="D46" s="7">
        <f t="shared" si="42"/>
        <v>11.520737327188941</v>
      </c>
      <c r="E46" s="7">
        <f t="shared" si="42"/>
        <v>11.520737327188941</v>
      </c>
      <c r="F46" s="7">
        <f t="shared" si="42"/>
        <v>11.520737327188941</v>
      </c>
      <c r="G46" s="7">
        <f t="shared" si="42"/>
        <v>11.520737327188941</v>
      </c>
      <c r="H46" s="7">
        <f t="shared" si="42"/>
        <v>11.520737327188941</v>
      </c>
      <c r="I46" s="7">
        <f t="shared" si="42"/>
        <v>11.520737327188941</v>
      </c>
      <c r="J46" s="7">
        <f t="shared" si="42"/>
        <v>11.520737327188941</v>
      </c>
      <c r="K46" s="7">
        <f t="shared" si="42"/>
        <v>11.520737327188941</v>
      </c>
      <c r="L46" s="7">
        <f t="shared" si="42"/>
        <v>11.520737327188941</v>
      </c>
      <c r="M46" s="7">
        <f t="shared" si="42"/>
        <v>11.520737327188941</v>
      </c>
      <c r="N46" s="7">
        <f t="shared" si="42"/>
        <v>11.520737327188941</v>
      </c>
      <c r="O46" s="7">
        <f t="shared" si="42"/>
        <v>11.520737327188941</v>
      </c>
      <c r="P46" s="7">
        <f t="shared" si="42"/>
        <v>11.520737327188941</v>
      </c>
      <c r="Q46" s="7">
        <f t="shared" si="42"/>
        <v>11.520737327188941</v>
      </c>
      <c r="R46" s="7">
        <f t="shared" si="42"/>
        <v>11.520737327188941</v>
      </c>
      <c r="S46" s="7">
        <f t="shared" si="42"/>
        <v>11.520737327188941</v>
      </c>
      <c r="T46" s="7">
        <f t="shared" si="42"/>
        <v>11.520737327188941</v>
      </c>
      <c r="U46" s="7">
        <f t="shared" si="42"/>
        <v>11.520737327188941</v>
      </c>
    </row>
    <row r="47" spans="1:21" ht="15">
      <c r="A47" s="11" t="s">
        <v>45</v>
      </c>
      <c r="B47" s="7">
        <f t="shared" ref="B47:U47" si="43">$B$108</f>
        <v>1.2773722627737227</v>
      </c>
      <c r="C47" s="7">
        <f t="shared" si="43"/>
        <v>1.2773722627737227</v>
      </c>
      <c r="D47" s="7">
        <f t="shared" si="43"/>
        <v>1.2773722627737227</v>
      </c>
      <c r="E47" s="7">
        <f t="shared" si="43"/>
        <v>1.2773722627737227</v>
      </c>
      <c r="F47" s="7">
        <f t="shared" si="43"/>
        <v>1.2773722627737227</v>
      </c>
      <c r="G47" s="7">
        <f t="shared" si="43"/>
        <v>1.2773722627737227</v>
      </c>
      <c r="H47" s="7">
        <f t="shared" si="43"/>
        <v>1.2773722627737227</v>
      </c>
      <c r="I47" s="7">
        <f t="shared" si="43"/>
        <v>1.2773722627737227</v>
      </c>
      <c r="J47" s="7">
        <f t="shared" si="43"/>
        <v>1.2773722627737227</v>
      </c>
      <c r="K47" s="7">
        <f t="shared" si="43"/>
        <v>1.2773722627737227</v>
      </c>
      <c r="L47" s="7">
        <f t="shared" si="43"/>
        <v>1.2773722627737227</v>
      </c>
      <c r="M47" s="7">
        <f t="shared" si="43"/>
        <v>1.2773722627737227</v>
      </c>
      <c r="N47" s="7">
        <f t="shared" si="43"/>
        <v>1.2773722627737227</v>
      </c>
      <c r="O47" s="7">
        <f t="shared" si="43"/>
        <v>1.2773722627737227</v>
      </c>
      <c r="P47" s="7">
        <f t="shared" si="43"/>
        <v>1.2773722627737227</v>
      </c>
      <c r="Q47" s="7">
        <f t="shared" si="43"/>
        <v>1.2773722627737227</v>
      </c>
      <c r="R47" s="7">
        <f t="shared" si="43"/>
        <v>1.2773722627737227</v>
      </c>
      <c r="S47" s="7">
        <f t="shared" si="43"/>
        <v>1.2773722627737227</v>
      </c>
      <c r="T47" s="7">
        <f t="shared" si="43"/>
        <v>1.2773722627737227</v>
      </c>
      <c r="U47" s="7">
        <f t="shared" si="43"/>
        <v>1.2773722627737227</v>
      </c>
    </row>
    <row r="48" spans="1:21" ht="15">
      <c r="A48" s="1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15">
      <c r="A49" s="10" t="s">
        <v>46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">
      <c r="A50" s="11" t="s">
        <v>47</v>
      </c>
      <c r="B50" s="4">
        <f t="shared" ref="B50:U50" si="44">B27*B38/$B$110</f>
        <v>31.318908748824079</v>
      </c>
      <c r="C50" s="4">
        <f t="shared" si="44"/>
        <v>36.795860771401692</v>
      </c>
      <c r="D50" s="4">
        <f t="shared" si="44"/>
        <v>54.422389463781741</v>
      </c>
      <c r="E50" s="4">
        <f t="shared" si="44"/>
        <v>53.123863280025077</v>
      </c>
      <c r="F50" s="4">
        <f t="shared" si="44"/>
        <v>66.507682659140784</v>
      </c>
      <c r="G50" s="4">
        <f t="shared" si="44"/>
        <v>83.208529319535899</v>
      </c>
      <c r="H50" s="4">
        <f t="shared" si="44"/>
        <v>91.321103794292867</v>
      </c>
      <c r="I50" s="4">
        <f t="shared" si="44"/>
        <v>81.999999999999986</v>
      </c>
      <c r="J50" s="4">
        <f t="shared" si="44"/>
        <v>83.533074675004357</v>
      </c>
      <c r="K50" s="4">
        <f t="shared" si="44"/>
        <v>87.162192542696062</v>
      </c>
      <c r="L50" s="4">
        <f t="shared" si="44"/>
        <v>90.696927387797885</v>
      </c>
      <c r="M50" s="4">
        <f t="shared" si="44"/>
        <v>94.111240127311873</v>
      </c>
      <c r="N50" s="4">
        <f t="shared" si="44"/>
        <v>97.378736126438142</v>
      </c>
      <c r="O50" s="4">
        <f t="shared" si="44"/>
        <v>100.47294658459234</v>
      </c>
      <c r="P50" s="4">
        <f t="shared" si="44"/>
        <v>103.36762692540276</v>
      </c>
      <c r="Q50" s="4">
        <f t="shared" si="44"/>
        <v>106.03706820273314</v>
      </c>
      <c r="R50" s="4">
        <f t="shared" si="44"/>
        <v>108.45641705171045</v>
      </c>
      <c r="S50" s="4">
        <f t="shared" si="44"/>
        <v>112.60166824731976</v>
      </c>
      <c r="T50" s="4">
        <f t="shared" si="44"/>
        <v>117.38182056398161</v>
      </c>
      <c r="U50" s="4">
        <f t="shared" si="44"/>
        <v>122.07144477362952</v>
      </c>
    </row>
    <row r="51" spans="1:21" ht="15">
      <c r="A51" s="11" t="s">
        <v>48</v>
      </c>
      <c r="B51" s="4">
        <f t="shared" ref="B51:U51" si="45">B30*B39</f>
        <v>173.42213114754099</v>
      </c>
      <c r="C51" s="4">
        <f t="shared" si="45"/>
        <v>197.35314207650273</v>
      </c>
      <c r="D51" s="4">
        <f t="shared" si="45"/>
        <v>212.58196721311472</v>
      </c>
      <c r="E51" s="4">
        <f t="shared" si="45"/>
        <v>221.1065573770492</v>
      </c>
      <c r="F51" s="4">
        <f t="shared" si="45"/>
        <v>228.47677595628417</v>
      </c>
      <c r="G51" s="4">
        <f t="shared" si="45"/>
        <v>270.65573770491801</v>
      </c>
      <c r="H51" s="4">
        <f t="shared" si="45"/>
        <v>293.69877049180326</v>
      </c>
      <c r="I51" s="4">
        <f t="shared" si="45"/>
        <v>260</v>
      </c>
      <c r="J51" s="4">
        <f t="shared" si="45"/>
        <v>269.41641958529812</v>
      </c>
      <c r="K51" s="4">
        <f t="shared" si="45"/>
        <v>271.0943860135082</v>
      </c>
      <c r="L51" s="4">
        <f t="shared" si="45"/>
        <v>272.63905799387169</v>
      </c>
      <c r="M51" s="4">
        <f t="shared" si="45"/>
        <v>274.04787212496564</v>
      </c>
      <c r="N51" s="4">
        <f t="shared" si="45"/>
        <v>275.31846201261737</v>
      </c>
      <c r="O51" s="4">
        <f t="shared" si="45"/>
        <v>276.4486647353865</v>
      </c>
      <c r="P51" s="4">
        <f t="shared" si="45"/>
        <v>277.43652682499084</v>
      </c>
      <c r="Q51" s="4">
        <f t="shared" si="45"/>
        <v>278.28030973900547</v>
      </c>
      <c r="R51" s="4">
        <f t="shared" si="45"/>
        <v>278.97849480484365</v>
      </c>
      <c r="S51" s="4">
        <f t="shared" si="45"/>
        <v>279.52978761580351</v>
      </c>
      <c r="T51" s="4">
        <f t="shared" si="45"/>
        <v>279.93312186183704</v>
      </c>
      <c r="U51" s="4">
        <f t="shared" si="45"/>
        <v>280.32678257100781</v>
      </c>
    </row>
    <row r="52" spans="1:21" ht="15">
      <c r="A52" s="11" t="s">
        <v>49</v>
      </c>
      <c r="B52" s="4">
        <f t="shared" ref="B52:U52" si="46">B32*B40</f>
        <v>43.850837138508368</v>
      </c>
      <c r="C52" s="4">
        <f t="shared" si="46"/>
        <v>29.36986301369863</v>
      </c>
      <c r="D52" s="4">
        <f t="shared" si="46"/>
        <v>144.8097412480974</v>
      </c>
      <c r="E52" s="4">
        <f t="shared" si="46"/>
        <v>94.024353120243532</v>
      </c>
      <c r="F52" s="4">
        <f t="shared" si="46"/>
        <v>71.385083713850833</v>
      </c>
      <c r="G52" s="4">
        <f t="shared" si="46"/>
        <v>163.57382039573821</v>
      </c>
      <c r="H52" s="4">
        <f t="shared" si="46"/>
        <v>168.06088280060882</v>
      </c>
      <c r="I52" s="4">
        <f t="shared" si="46"/>
        <v>134</v>
      </c>
      <c r="J52" s="4">
        <f t="shared" si="46"/>
        <v>103.79458152657034</v>
      </c>
      <c r="K52" s="4">
        <f t="shared" si="46"/>
        <v>108.29885539697821</v>
      </c>
      <c r="L52" s="4">
        <f t="shared" si="46"/>
        <v>115.062322334115</v>
      </c>
      <c r="M52" s="4">
        <f t="shared" si="46"/>
        <v>121.96052467945162</v>
      </c>
      <c r="N52" s="4">
        <f t="shared" si="46"/>
        <v>128.96738590057677</v>
      </c>
      <c r="O52" s="4">
        <f t="shared" si="46"/>
        <v>136.05438599508221</v>
      </c>
      <c r="P52" s="4">
        <f t="shared" si="46"/>
        <v>143.19069409129585</v>
      </c>
      <c r="Q52" s="4">
        <f t="shared" si="46"/>
        <v>150.34333821604562</v>
      </c>
      <c r="R52" s="4">
        <f t="shared" si="46"/>
        <v>157.47741200408845</v>
      </c>
      <c r="S52" s="4">
        <f t="shared" si="46"/>
        <v>164.55631746328493</v>
      </c>
      <c r="T52" s="4">
        <f t="shared" si="46"/>
        <v>171.54204222551274</v>
      </c>
      <c r="U52" s="4">
        <f t="shared" si="46"/>
        <v>178.39546901961086</v>
      </c>
    </row>
    <row r="53" spans="1:21" ht="15">
      <c r="A53" s="11" t="s">
        <v>50</v>
      </c>
      <c r="B53" s="4">
        <f t="shared" ref="B53:U53" si="47">B34*B41</f>
        <v>0</v>
      </c>
      <c r="C53" s="4">
        <f t="shared" si="47"/>
        <v>0</v>
      </c>
      <c r="D53" s="4">
        <f t="shared" si="47"/>
        <v>0</v>
      </c>
      <c r="E53" s="4">
        <f t="shared" si="47"/>
        <v>3.5454545454545454</v>
      </c>
      <c r="F53" s="4">
        <f t="shared" si="47"/>
        <v>11.818181818181818</v>
      </c>
      <c r="G53" s="4">
        <f t="shared" si="47"/>
        <v>27.18181818181818</v>
      </c>
      <c r="H53" s="4">
        <f t="shared" si="47"/>
        <v>100.45454545454545</v>
      </c>
      <c r="I53" s="4">
        <f t="shared" si="47"/>
        <v>104</v>
      </c>
      <c r="J53" s="4">
        <f t="shared" si="47"/>
        <v>108.25838821022725</v>
      </c>
      <c r="K53" s="4">
        <f t="shared" si="47"/>
        <v>111.07132773749997</v>
      </c>
      <c r="L53" s="4">
        <f t="shared" si="47"/>
        <v>113.87989602222184</v>
      </c>
      <c r="M53" s="4">
        <f t="shared" si="47"/>
        <v>116.68066662238004</v>
      </c>
      <c r="N53" s="4">
        <f t="shared" si="47"/>
        <v>119.4701603291399</v>
      </c>
      <c r="O53" s="4">
        <f t="shared" si="47"/>
        <v>122.24485210672843</v>
      </c>
      <c r="P53" s="4">
        <f t="shared" si="47"/>
        <v>125.00117828269528</v>
      </c>
      <c r="Q53" s="4">
        <f t="shared" si="47"/>
        <v>127.73554396892104</v>
      </c>
      <c r="R53" s="4">
        <f t="shared" si="47"/>
        <v>130.44433069253267</v>
      </c>
      <c r="S53" s="4">
        <f t="shared" si="47"/>
        <v>133.12390421474774</v>
      </c>
      <c r="T53" s="4">
        <f t="shared" si="47"/>
        <v>135.77062251460822</v>
      </c>
      <c r="U53" s="4">
        <f t="shared" si="47"/>
        <v>138.44955336935453</v>
      </c>
    </row>
    <row r="54" spans="1:21" ht="15">
      <c r="A54" s="11" t="s">
        <v>51</v>
      </c>
      <c r="B54" s="4">
        <f t="shared" ref="B54:U54" si="48">B7*B45</f>
        <v>37.978102189781019</v>
      </c>
      <c r="C54" s="4">
        <f t="shared" si="48"/>
        <v>38.135036496350367</v>
      </c>
      <c r="D54" s="4">
        <f t="shared" si="48"/>
        <v>39.54744525547445</v>
      </c>
      <c r="E54" s="4">
        <f t="shared" si="48"/>
        <v>40.489051094890513</v>
      </c>
      <c r="F54" s="4">
        <f t="shared" si="48"/>
        <v>41.587591240875909</v>
      </c>
      <c r="G54" s="4">
        <f t="shared" si="48"/>
        <v>42.058394160583944</v>
      </c>
      <c r="H54" s="4">
        <f t="shared" si="48"/>
        <v>42.372262773722625</v>
      </c>
      <c r="I54" s="4">
        <f t="shared" si="48"/>
        <v>43</v>
      </c>
      <c r="J54" s="4">
        <f t="shared" si="48"/>
        <v>43.537499999999994</v>
      </c>
      <c r="K54" s="4">
        <f t="shared" si="48"/>
        <v>44.059949999999994</v>
      </c>
      <c r="L54" s="4">
        <f t="shared" si="48"/>
        <v>44.566639424999998</v>
      </c>
      <c r="M54" s="4">
        <f t="shared" si="48"/>
        <v>45.056872458674995</v>
      </c>
      <c r="N54" s="4">
        <f t="shared" si="48"/>
        <v>45.529969619491084</v>
      </c>
      <c r="O54" s="4">
        <f t="shared" si="48"/>
        <v>45.98526931568599</v>
      </c>
      <c r="P54" s="4">
        <f t="shared" si="48"/>
        <v>46.422129374185019</v>
      </c>
      <c r="Q54" s="4">
        <f t="shared" si="48"/>
        <v>46.839928538552677</v>
      </c>
      <c r="R54" s="4">
        <f t="shared" si="48"/>
        <v>47.238067931130374</v>
      </c>
      <c r="S54" s="4">
        <f t="shared" si="48"/>
        <v>47.615972474579415</v>
      </c>
      <c r="T54" s="4">
        <f t="shared" si="48"/>
        <v>47.973092268138764</v>
      </c>
      <c r="U54" s="4">
        <f t="shared" si="48"/>
        <v>48.332890460149805</v>
      </c>
    </row>
    <row r="55" spans="1:21" ht="15">
      <c r="A55" s="10" t="s">
        <v>52</v>
      </c>
      <c r="B55" s="8">
        <f t="shared" ref="B55:U55" si="49">SUM(B50:B54)</f>
        <v>286.56997922465445</v>
      </c>
      <c r="C55" s="8">
        <f t="shared" si="49"/>
        <v>301.65390235795343</v>
      </c>
      <c r="D55" s="8">
        <f t="shared" si="49"/>
        <v>451.36154318046829</v>
      </c>
      <c r="E55" s="8">
        <f t="shared" si="49"/>
        <v>412.28927941766284</v>
      </c>
      <c r="F55" s="8">
        <f t="shared" si="49"/>
        <v>419.77531538833347</v>
      </c>
      <c r="G55" s="8">
        <f t="shared" si="49"/>
        <v>586.67829976259418</v>
      </c>
      <c r="H55" s="8">
        <f t="shared" si="49"/>
        <v>695.907565314973</v>
      </c>
      <c r="I55" s="8">
        <f t="shared" si="49"/>
        <v>623</v>
      </c>
      <c r="J55" s="8">
        <f t="shared" si="49"/>
        <v>608.53996399710013</v>
      </c>
      <c r="K55" s="8">
        <f t="shared" si="49"/>
        <v>621.68671169068239</v>
      </c>
      <c r="L55" s="8">
        <f t="shared" si="49"/>
        <v>636.84484316300632</v>
      </c>
      <c r="M55" s="8">
        <f t="shared" si="49"/>
        <v>651.85717601278418</v>
      </c>
      <c r="N55" s="8">
        <f t="shared" si="49"/>
        <v>666.6647139882632</v>
      </c>
      <c r="O55" s="8">
        <f t="shared" si="49"/>
        <v>681.20611873747544</v>
      </c>
      <c r="P55" s="8">
        <f t="shared" si="49"/>
        <v>695.41815549856972</v>
      </c>
      <c r="Q55" s="8">
        <f t="shared" si="49"/>
        <v>709.23618866525806</v>
      </c>
      <c r="R55" s="8">
        <f t="shared" si="49"/>
        <v>722.59472248430563</v>
      </c>
      <c r="S55" s="8">
        <f t="shared" si="49"/>
        <v>737.42765001573537</v>
      </c>
      <c r="T55" s="8">
        <f t="shared" si="49"/>
        <v>752.60069943407836</v>
      </c>
      <c r="U55" s="8">
        <f t="shared" si="49"/>
        <v>767.57614019375262</v>
      </c>
    </row>
    <row r="56" spans="1:21" ht="15">
      <c r="A56" s="11" t="s">
        <v>53</v>
      </c>
      <c r="B56" s="4">
        <f t="shared" ref="B56:U56" si="50">B19*B42</f>
        <v>56.764705882352942</v>
      </c>
      <c r="C56" s="4">
        <f t="shared" si="50"/>
        <v>62.441176470588232</v>
      </c>
      <c r="D56" s="4">
        <f t="shared" si="50"/>
        <v>89.688235294117646</v>
      </c>
      <c r="E56" s="4">
        <f t="shared" si="50"/>
        <v>99.905882352941177</v>
      </c>
      <c r="F56" s="4">
        <f t="shared" si="50"/>
        <v>107.85294117647059</v>
      </c>
      <c r="G56" s="4">
        <f t="shared" si="50"/>
        <v>157.80588235294118</v>
      </c>
      <c r="H56" s="4">
        <f t="shared" si="50"/>
        <v>190.72941176470587</v>
      </c>
      <c r="I56" s="4">
        <f t="shared" si="50"/>
        <v>193</v>
      </c>
      <c r="J56" s="4">
        <f t="shared" si="50"/>
        <v>204.82451875091309</v>
      </c>
      <c r="K56" s="4">
        <f t="shared" si="50"/>
        <v>218.128255965405</v>
      </c>
      <c r="L56" s="4">
        <f t="shared" si="50"/>
        <v>231.75077526045652</v>
      </c>
      <c r="M56" s="4">
        <f t="shared" si="50"/>
        <v>245.64466953449266</v>
      </c>
      <c r="N56" s="4">
        <f t="shared" si="50"/>
        <v>259.75741719330409</v>
      </c>
      <c r="O56" s="4">
        <f t="shared" si="50"/>
        <v>274.03157517008606</v>
      </c>
      <c r="P56" s="4">
        <f t="shared" si="50"/>
        <v>288.40504600089889</v>
      </c>
      <c r="Q56" s="4">
        <f t="shared" si="50"/>
        <v>302.81141975945661</v>
      </c>
      <c r="R56" s="4">
        <f t="shared" si="50"/>
        <v>317.18039039732827</v>
      </c>
      <c r="S56" s="4">
        <f t="shared" si="50"/>
        <v>331.43824470519195</v>
      </c>
      <c r="T56" s="4">
        <f t="shared" si="50"/>
        <v>345.50842073293984</v>
      </c>
      <c r="U56" s="4">
        <f t="shared" si="50"/>
        <v>359.31213110922619</v>
      </c>
    </row>
    <row r="57" spans="1:21" ht="15">
      <c r="A57" s="11" t="s">
        <v>54</v>
      </c>
      <c r="B57" s="4">
        <f t="shared" ref="B57:U57" si="51">B18*B43</f>
        <v>75.259953161592506</v>
      </c>
      <c r="C57" s="4">
        <f t="shared" si="51"/>
        <v>86.114754098360663</v>
      </c>
      <c r="D57" s="4">
        <f t="shared" si="51"/>
        <v>87.079625292740062</v>
      </c>
      <c r="E57" s="4">
        <f t="shared" si="51"/>
        <v>91.662763466042165</v>
      </c>
      <c r="F57" s="4">
        <f t="shared" si="51"/>
        <v>112.64871194379393</v>
      </c>
      <c r="G57" s="4">
        <f t="shared" si="51"/>
        <v>120.1264637002342</v>
      </c>
      <c r="H57" s="4">
        <f t="shared" si="51"/>
        <v>105.65339578454333</v>
      </c>
      <c r="I57" s="4">
        <f t="shared" si="51"/>
        <v>103.00000000000001</v>
      </c>
      <c r="J57" s="4">
        <f t="shared" si="51"/>
        <v>102.86403779563928</v>
      </c>
      <c r="K57" s="4">
        <f t="shared" si="51"/>
        <v>109.5452502598509</v>
      </c>
      <c r="L57" s="4">
        <f t="shared" si="51"/>
        <v>116.38655689727591</v>
      </c>
      <c r="M57" s="4">
        <f t="shared" si="51"/>
        <v>123.36414959198203</v>
      </c>
      <c r="N57" s="4">
        <f t="shared" si="51"/>
        <v>130.45165170075884</v>
      </c>
      <c r="O57" s="4">
        <f t="shared" si="51"/>
        <v>137.62021498887879</v>
      </c>
      <c r="P57" s="4">
        <f t="shared" si="51"/>
        <v>144.83865375691155</v>
      </c>
      <c r="Q57" s="4">
        <f t="shared" si="51"/>
        <v>152.07361656231927</v>
      </c>
      <c r="R57" s="4">
        <f t="shared" si="51"/>
        <v>159.28979530787228</v>
      </c>
      <c r="S57" s="4">
        <f t="shared" si="51"/>
        <v>166.45017080077096</v>
      </c>
      <c r="T57" s="4">
        <f t="shared" si="51"/>
        <v>173.51629319439726</v>
      </c>
      <c r="U57" s="4">
        <f t="shared" si="51"/>
        <v>180.44859502293531</v>
      </c>
    </row>
    <row r="58" spans="1:21" ht="15">
      <c r="A58" s="11" t="s">
        <v>55</v>
      </c>
      <c r="B58" s="4">
        <f t="shared" ref="B58:U58" si="52">B13*B44</f>
        <v>28.640091116173121</v>
      </c>
      <c r="C58" s="4">
        <f t="shared" si="52"/>
        <v>31.202733485193622</v>
      </c>
      <c r="D58" s="4">
        <f t="shared" si="52"/>
        <v>39.546697038724375</v>
      </c>
      <c r="E58" s="4">
        <f t="shared" si="52"/>
        <v>45.225512528473807</v>
      </c>
      <c r="F58" s="4">
        <f t="shared" si="52"/>
        <v>57.116173120728931</v>
      </c>
      <c r="G58" s="4">
        <f t="shared" si="52"/>
        <v>68.207289293849655</v>
      </c>
      <c r="H58" s="4">
        <f t="shared" si="52"/>
        <v>66.034168564920279</v>
      </c>
      <c r="I58" s="4">
        <f t="shared" si="52"/>
        <v>63</v>
      </c>
      <c r="J58" s="4">
        <f t="shared" si="52"/>
        <v>67.249468332815894</v>
      </c>
      <c r="K58" s="4">
        <f t="shared" si="52"/>
        <v>71.617447615618872</v>
      </c>
      <c r="L58" s="4">
        <f t="shared" si="52"/>
        <v>76.090091738170514</v>
      </c>
      <c r="M58" s="4">
        <f t="shared" si="52"/>
        <v>80.651835657791551</v>
      </c>
      <c r="N58" s="4">
        <f t="shared" si="52"/>
        <v>85.285435104566915</v>
      </c>
      <c r="O58" s="4">
        <f t="shared" si="52"/>
        <v>89.972029955081766</v>
      </c>
      <c r="P58" s="4">
        <f t="shared" si="52"/>
        <v>94.69123192056955</v>
      </c>
      <c r="Q58" s="4">
        <f t="shared" si="52"/>
        <v>99.421236813416485</v>
      </c>
      <c r="R58" s="4">
        <f t="shared" si="52"/>
        <v>104.13896124298947</v>
      </c>
      <c r="S58" s="4">
        <f t="shared" si="52"/>
        <v>108.82020315493369</v>
      </c>
      <c r="T58" s="4">
        <f t="shared" si="52"/>
        <v>113.43982517570292</v>
      </c>
      <c r="U58" s="4">
        <f t="shared" si="52"/>
        <v>117.97195926534444</v>
      </c>
    </row>
    <row r="59" spans="1:21" ht="15">
      <c r="A59" s="10" t="s">
        <v>56</v>
      </c>
      <c r="B59" s="8">
        <f t="shared" ref="B59:U59" si="53">SUM(B56:B58)</f>
        <v>160.66475016011859</v>
      </c>
      <c r="C59" s="8">
        <f t="shared" si="53"/>
        <v>179.75866405414251</v>
      </c>
      <c r="D59" s="8">
        <f t="shared" si="53"/>
        <v>216.31455762558207</v>
      </c>
      <c r="E59" s="8">
        <f t="shared" si="53"/>
        <v>236.79415834745714</v>
      </c>
      <c r="F59" s="8">
        <f t="shared" si="53"/>
        <v>277.61782624099345</v>
      </c>
      <c r="G59" s="8">
        <f t="shared" si="53"/>
        <v>346.13963534702503</v>
      </c>
      <c r="H59" s="8">
        <f t="shared" si="53"/>
        <v>362.41697611416947</v>
      </c>
      <c r="I59" s="8">
        <f t="shared" si="53"/>
        <v>359</v>
      </c>
      <c r="J59" s="8">
        <f t="shared" si="53"/>
        <v>374.9380248793683</v>
      </c>
      <c r="K59" s="8">
        <f t="shared" si="53"/>
        <v>399.29095384087475</v>
      </c>
      <c r="L59" s="8">
        <f t="shared" si="53"/>
        <v>424.22742389590292</v>
      </c>
      <c r="M59" s="8">
        <f t="shared" si="53"/>
        <v>449.66065478426623</v>
      </c>
      <c r="N59" s="8">
        <f t="shared" si="53"/>
        <v>475.49450399862985</v>
      </c>
      <c r="O59" s="8">
        <f t="shared" si="53"/>
        <v>501.62382011404662</v>
      </c>
      <c r="P59" s="8">
        <f t="shared" si="53"/>
        <v>527.93493167837994</v>
      </c>
      <c r="Q59" s="8">
        <f t="shared" si="53"/>
        <v>554.30627313519233</v>
      </c>
      <c r="R59" s="8">
        <f t="shared" si="53"/>
        <v>580.60914694819007</v>
      </c>
      <c r="S59" s="8">
        <f t="shared" si="53"/>
        <v>606.7086186608966</v>
      </c>
      <c r="T59" s="8">
        <f t="shared" si="53"/>
        <v>632.46453910304001</v>
      </c>
      <c r="U59" s="8">
        <f t="shared" si="53"/>
        <v>657.73268539750597</v>
      </c>
    </row>
    <row r="60" spans="1:21" ht="15">
      <c r="A60" s="11" t="s">
        <v>57</v>
      </c>
      <c r="B60" s="4">
        <f t="shared" ref="B60:U60" si="54">B11*B46</f>
        <v>22.811059907834103</v>
      </c>
      <c r="C60" s="4">
        <f t="shared" si="54"/>
        <v>25.230414746543779</v>
      </c>
      <c r="D60" s="4">
        <f t="shared" si="54"/>
        <v>30.414746543778808</v>
      </c>
      <c r="E60" s="4">
        <f t="shared" si="54"/>
        <v>36.751152073732719</v>
      </c>
      <c r="F60" s="4">
        <f t="shared" si="54"/>
        <v>40.092165898617516</v>
      </c>
      <c r="G60" s="4">
        <f t="shared" si="54"/>
        <v>44.700460829493089</v>
      </c>
      <c r="H60" s="4">
        <f t="shared" si="54"/>
        <v>48.156682027649772</v>
      </c>
      <c r="I60" s="4">
        <f t="shared" si="54"/>
        <v>50</v>
      </c>
      <c r="J60" s="4">
        <f t="shared" si="54"/>
        <v>51.42403513824884</v>
      </c>
      <c r="K60" s="4">
        <f t="shared" si="54"/>
        <v>52.849747119815667</v>
      </c>
      <c r="L60" s="4">
        <f t="shared" si="54"/>
        <v>54.275441942540333</v>
      </c>
      <c r="M60" s="4">
        <f t="shared" si="54"/>
        <v>55.699391684794357</v>
      </c>
      <c r="N60" s="4">
        <f t="shared" si="54"/>
        <v>57.119837837120087</v>
      </c>
      <c r="O60" s="4">
        <f t="shared" si="54"/>
        <v>58.534994780523043</v>
      </c>
      <c r="P60" s="4">
        <f t="shared" si="54"/>
        <v>59.943053402337561</v>
      </c>
      <c r="Q60" s="4">
        <f t="shared" si="54"/>
        <v>61.342184839900739</v>
      </c>
      <c r="R60" s="4">
        <f t="shared" si="54"/>
        <v>62.730544341616046</v>
      </c>
      <c r="S60" s="4">
        <f t="shared" si="54"/>
        <v>64.106275234369733</v>
      </c>
      <c r="T60" s="4">
        <f t="shared" si="54"/>
        <v>65.467512985683427</v>
      </c>
      <c r="U60" s="4">
        <f t="shared" si="54"/>
        <v>66.8455633252849</v>
      </c>
    </row>
    <row r="61" spans="1:21" ht="15">
      <c r="A61" s="11" t="s">
        <v>58</v>
      </c>
      <c r="B61" s="4">
        <f t="shared" ref="B61:U61" si="55">B7*B47</f>
        <v>30.912408759124091</v>
      </c>
      <c r="C61" s="4">
        <f t="shared" si="55"/>
        <v>31.040145985401463</v>
      </c>
      <c r="D61" s="4">
        <f t="shared" si="55"/>
        <v>32.189781021897815</v>
      </c>
      <c r="E61" s="4">
        <f t="shared" si="55"/>
        <v>32.956204379562045</v>
      </c>
      <c r="F61" s="4">
        <f t="shared" si="55"/>
        <v>33.850364963503651</v>
      </c>
      <c r="G61" s="4">
        <f t="shared" si="55"/>
        <v>34.23357664233577</v>
      </c>
      <c r="H61" s="4">
        <f t="shared" si="55"/>
        <v>34.489051094890513</v>
      </c>
      <c r="I61" s="4">
        <f t="shared" si="55"/>
        <v>35</v>
      </c>
      <c r="J61" s="4">
        <f t="shared" si="55"/>
        <v>35.4375</v>
      </c>
      <c r="K61" s="4">
        <f t="shared" si="55"/>
        <v>35.862749999999998</v>
      </c>
      <c r="L61" s="4">
        <f t="shared" si="55"/>
        <v>36.275171625000006</v>
      </c>
      <c r="M61" s="4">
        <f t="shared" si="55"/>
        <v>36.674198512875002</v>
      </c>
      <c r="N61" s="4">
        <f t="shared" si="55"/>
        <v>37.059277597260184</v>
      </c>
      <c r="O61" s="4">
        <f t="shared" si="55"/>
        <v>37.429870373232788</v>
      </c>
      <c r="P61" s="4">
        <f t="shared" si="55"/>
        <v>37.785454141778501</v>
      </c>
      <c r="Q61" s="4">
        <f t="shared" si="55"/>
        <v>38.125523229054508</v>
      </c>
      <c r="R61" s="4">
        <f t="shared" si="55"/>
        <v>38.449590176501474</v>
      </c>
      <c r="S61" s="4">
        <f t="shared" si="55"/>
        <v>38.757186897913485</v>
      </c>
      <c r="T61" s="4">
        <f t="shared" si="55"/>
        <v>39.04786579964783</v>
      </c>
      <c r="U61" s="4">
        <f t="shared" si="55"/>
        <v>39.340724793145199</v>
      </c>
    </row>
    <row r="62" spans="1:21" ht="15">
      <c r="A62" s="10" t="s">
        <v>59</v>
      </c>
      <c r="B62" s="8">
        <f t="shared" ref="B62:I62" si="56">B64-SUM(B55,B59,B60:B61)</f>
        <v>182.69180194826879</v>
      </c>
      <c r="C62" s="8">
        <f t="shared" si="56"/>
        <v>100.19187285595888</v>
      </c>
      <c r="D62" s="8">
        <f t="shared" si="56"/>
        <v>302.91937162827298</v>
      </c>
      <c r="E62" s="8">
        <f t="shared" si="56"/>
        <v>216.45920578158541</v>
      </c>
      <c r="F62" s="8">
        <f t="shared" si="56"/>
        <v>229.03932750855188</v>
      </c>
      <c r="G62" s="8">
        <f t="shared" si="56"/>
        <v>267.9480274185521</v>
      </c>
      <c r="H62" s="8">
        <f t="shared" si="56"/>
        <v>148.27972544831709</v>
      </c>
      <c r="I62" s="8">
        <f t="shared" si="56"/>
        <v>8.4500000000000455</v>
      </c>
      <c r="J62" s="8">
        <f>0</f>
        <v>0</v>
      </c>
      <c r="K62" s="8">
        <f>0</f>
        <v>0</v>
      </c>
      <c r="L62" s="8">
        <f>0</f>
        <v>0</v>
      </c>
      <c r="M62" s="8">
        <f>0</f>
        <v>0</v>
      </c>
      <c r="N62" s="8">
        <f>0</f>
        <v>0</v>
      </c>
      <c r="O62" s="8">
        <f>0</f>
        <v>0</v>
      </c>
      <c r="P62" s="8">
        <f>0</f>
        <v>0</v>
      </c>
      <c r="Q62" s="8">
        <f>0</f>
        <v>0</v>
      </c>
      <c r="R62" s="8">
        <f>0</f>
        <v>0</v>
      </c>
      <c r="S62" s="8">
        <f>0</f>
        <v>0</v>
      </c>
      <c r="T62" s="8">
        <f>0</f>
        <v>0</v>
      </c>
      <c r="U62" s="8">
        <f>0</f>
        <v>0</v>
      </c>
    </row>
    <row r="63" spans="1:21" ht="15">
      <c r="A63" s="10" t="s">
        <v>60</v>
      </c>
      <c r="B63" s="8">
        <f t="shared" ref="B63:U63" si="57">SUM(B55,B59,B60:B62)</f>
        <v>683.65</v>
      </c>
      <c r="C63" s="8">
        <f t="shared" si="57"/>
        <v>637.875</v>
      </c>
      <c r="D63" s="8">
        <f t="shared" si="57"/>
        <v>1033.2</v>
      </c>
      <c r="E63" s="8">
        <f t="shared" si="57"/>
        <v>935.25</v>
      </c>
      <c r="F63" s="8">
        <f t="shared" si="57"/>
        <v>1000.375</v>
      </c>
      <c r="G63" s="8">
        <f t="shared" si="57"/>
        <v>1279.7</v>
      </c>
      <c r="H63" s="8">
        <f t="shared" si="57"/>
        <v>1289.25</v>
      </c>
      <c r="I63" s="8">
        <f t="shared" si="57"/>
        <v>1075.45</v>
      </c>
      <c r="J63" s="8">
        <f t="shared" si="57"/>
        <v>1070.3395240147172</v>
      </c>
      <c r="K63" s="8">
        <f t="shared" si="57"/>
        <v>1109.6901626513727</v>
      </c>
      <c r="L63" s="8">
        <f t="shared" si="57"/>
        <v>1151.6228806264496</v>
      </c>
      <c r="M63" s="8">
        <f t="shared" si="57"/>
        <v>1193.8914209947197</v>
      </c>
      <c r="N63" s="8">
        <f t="shared" si="57"/>
        <v>1236.3383334212733</v>
      </c>
      <c r="O63" s="8">
        <f t="shared" si="57"/>
        <v>1278.7948040052777</v>
      </c>
      <c r="P63" s="8">
        <f t="shared" si="57"/>
        <v>1321.0815947210656</v>
      </c>
      <c r="Q63" s="8">
        <f t="shared" si="57"/>
        <v>1363.0101698694057</v>
      </c>
      <c r="R63" s="8">
        <f t="shared" si="57"/>
        <v>1404.3840039506131</v>
      </c>
      <c r="S63" s="8">
        <f t="shared" si="57"/>
        <v>1446.9997308089153</v>
      </c>
      <c r="T63" s="8">
        <f t="shared" si="57"/>
        <v>1489.5806173224496</v>
      </c>
      <c r="U63" s="8">
        <f t="shared" si="57"/>
        <v>1531.4951137096887</v>
      </c>
    </row>
    <row r="64" spans="1:21" ht="15">
      <c r="A64" s="10" t="s">
        <v>61</v>
      </c>
      <c r="B64" s="8">
        <f t="shared" ref="B64:U64" si="58">B7*B65/$B$109</f>
        <v>683.65</v>
      </c>
      <c r="C64" s="8">
        <f t="shared" si="58"/>
        <v>637.875</v>
      </c>
      <c r="D64" s="8">
        <f t="shared" si="58"/>
        <v>1033.2</v>
      </c>
      <c r="E64" s="8">
        <f t="shared" si="58"/>
        <v>935.25</v>
      </c>
      <c r="F64" s="8">
        <f t="shared" si="58"/>
        <v>1000.375</v>
      </c>
      <c r="G64" s="8">
        <f t="shared" si="58"/>
        <v>1279.7</v>
      </c>
      <c r="H64" s="8">
        <f t="shared" si="58"/>
        <v>1289.25</v>
      </c>
      <c r="I64" s="8">
        <f t="shared" si="58"/>
        <v>1075.45</v>
      </c>
      <c r="J64" s="8">
        <f t="shared" si="58"/>
        <v>1070.3395240147172</v>
      </c>
      <c r="K64" s="8">
        <f t="shared" si="58"/>
        <v>1109.6901626513727</v>
      </c>
      <c r="L64" s="8">
        <f t="shared" si="58"/>
        <v>1151.6228806264496</v>
      </c>
      <c r="M64" s="8">
        <f t="shared" si="58"/>
        <v>1193.8914209947197</v>
      </c>
      <c r="N64" s="8">
        <f t="shared" si="58"/>
        <v>1236.3383334212733</v>
      </c>
      <c r="O64" s="8">
        <f t="shared" si="58"/>
        <v>1278.7948040052777</v>
      </c>
      <c r="P64" s="8">
        <f t="shared" si="58"/>
        <v>1321.0815947210656</v>
      </c>
      <c r="Q64" s="8">
        <f t="shared" si="58"/>
        <v>1363.0101698694057</v>
      </c>
      <c r="R64" s="8">
        <f t="shared" si="58"/>
        <v>1404.3840039506131</v>
      </c>
      <c r="S64" s="8">
        <f t="shared" si="58"/>
        <v>1446.9997308089153</v>
      </c>
      <c r="T64" s="8">
        <f t="shared" si="58"/>
        <v>1489.5806173224496</v>
      </c>
      <c r="U64" s="8">
        <f t="shared" si="58"/>
        <v>1531.4951137096887</v>
      </c>
    </row>
    <row r="65" spans="1:21" ht="15">
      <c r="A65" s="10" t="s">
        <v>62</v>
      </c>
      <c r="B65" s="9">
        <v>113</v>
      </c>
      <c r="C65" s="9">
        <v>105</v>
      </c>
      <c r="D65" s="9">
        <v>164</v>
      </c>
      <c r="E65" s="9">
        <v>145</v>
      </c>
      <c r="F65" s="9">
        <v>151</v>
      </c>
      <c r="G65" s="9">
        <v>191</v>
      </c>
      <c r="H65" s="9">
        <v>191</v>
      </c>
      <c r="I65" s="9">
        <v>157</v>
      </c>
      <c r="J65" s="9">
        <f t="shared" ref="J65:U65" si="59">J63/J7*$B$109</f>
        <v>154.3248840608766</v>
      </c>
      <c r="K65" s="9">
        <f t="shared" si="59"/>
        <v>158.1013652376044</v>
      </c>
      <c r="L65" s="9">
        <f t="shared" si="59"/>
        <v>162.21024562971181</v>
      </c>
      <c r="M65" s="9">
        <f t="shared" si="59"/>
        <v>166.33424563121912</v>
      </c>
      <c r="N65" s="9">
        <f t="shared" si="59"/>
        <v>170.45818449876973</v>
      </c>
      <c r="O65" s="9">
        <f t="shared" si="59"/>
        <v>174.56614154706375</v>
      </c>
      <c r="P65" s="9">
        <f t="shared" si="59"/>
        <v>178.6415459902303</v>
      </c>
      <c r="Q65" s="9">
        <f t="shared" si="59"/>
        <v>182.66727770889733</v>
      </c>
      <c r="R65" s="9">
        <f t="shared" si="59"/>
        <v>186.62577829253152</v>
      </c>
      <c r="S65" s="9">
        <f t="shared" si="59"/>
        <v>190.76279454903982</v>
      </c>
      <c r="T65" s="9">
        <f t="shared" si="59"/>
        <v>194.91451578900035</v>
      </c>
      <c r="U65" s="9">
        <f t="shared" si="59"/>
        <v>198.90730423625672</v>
      </c>
    </row>
    <row r="66" spans="1:21" ht="15">
      <c r="A66" s="1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5">
      <c r="A67" s="1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5">
      <c r="A68" s="10" t="s">
        <v>63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">
      <c r="A69" s="11" t="s">
        <v>64</v>
      </c>
      <c r="B69" s="5">
        <v>7.4999999999999997E-3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5">
      <c r="A70" s="11" t="s">
        <v>65</v>
      </c>
      <c r="B70" s="5">
        <v>1.2500000000000001E-2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5">
      <c r="A71" s="11" t="s">
        <v>66</v>
      </c>
      <c r="B71" s="5">
        <v>5.0000000000000001E-4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5">
      <c r="A72" s="11" t="s">
        <v>67</v>
      </c>
      <c r="B72" s="5">
        <v>1.4999999999999999E-2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5">
      <c r="A73" s="11" t="s">
        <v>68</v>
      </c>
      <c r="B73" s="5">
        <v>0.2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5">
      <c r="A74" s="11" t="s">
        <v>69</v>
      </c>
      <c r="B74" s="5">
        <v>2.5000000000000001E-3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5">
      <c r="A75" s="11" t="s">
        <v>70</v>
      </c>
      <c r="B75" s="5">
        <v>0.02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5">
      <c r="A76" s="11" t="s">
        <v>71</v>
      </c>
      <c r="B76" s="5">
        <v>2.5000000000000001E-3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5">
      <c r="A77" s="11" t="s">
        <v>72</v>
      </c>
      <c r="B77" s="5">
        <v>0.13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5">
      <c r="A78" s="11" t="s">
        <v>73</v>
      </c>
      <c r="B78" s="5">
        <v>0.39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5">
      <c r="A79" s="11" t="s">
        <v>20</v>
      </c>
      <c r="B79" s="5">
        <v>5.5E-2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5">
      <c r="A80" s="11" t="s">
        <v>22</v>
      </c>
      <c r="B80" s="5">
        <v>9.5000000000000001E-2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5">
      <c r="A81" s="11" t="s">
        <v>74</v>
      </c>
      <c r="B81" s="7">
        <v>1.65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5">
      <c r="A82" s="11" t="s">
        <v>75</v>
      </c>
      <c r="B82" s="7">
        <v>0.04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5">
      <c r="A83" s="11" t="s">
        <v>76</v>
      </c>
      <c r="B83" s="7">
        <v>0.3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5">
      <c r="A84" s="11" t="s">
        <v>77</v>
      </c>
      <c r="B84" s="7">
        <v>2E-3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5">
      <c r="A85" s="11" t="s">
        <v>78</v>
      </c>
      <c r="B85" s="7">
        <v>1.6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5">
      <c r="A86" s="11" t="s">
        <v>79</v>
      </c>
      <c r="B86" s="5">
        <v>0.05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5">
      <c r="A87" s="11" t="s">
        <v>80</v>
      </c>
      <c r="B87" s="7">
        <v>4.25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5">
      <c r="A88" s="11" t="s">
        <v>81</v>
      </c>
      <c r="B88" s="7">
        <v>0.05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5">
      <c r="A89" s="11" t="s">
        <v>82</v>
      </c>
      <c r="B89" s="4">
        <v>82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5">
      <c r="A90" s="11" t="s">
        <v>83</v>
      </c>
      <c r="B90" s="4">
        <v>260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5">
      <c r="A91" s="11" t="s">
        <v>84</v>
      </c>
      <c r="B91" s="4">
        <v>134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5">
      <c r="A92" s="11" t="s">
        <v>85</v>
      </c>
      <c r="B92" s="4">
        <v>104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5">
      <c r="A93" s="11" t="s">
        <v>86</v>
      </c>
      <c r="B93" s="4">
        <v>43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5">
      <c r="A94" s="11" t="s">
        <v>87</v>
      </c>
      <c r="B94" s="4">
        <v>193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5">
      <c r="A95" s="11" t="s">
        <v>88</v>
      </c>
      <c r="B95" s="4">
        <v>103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5">
      <c r="A96" s="11" t="s">
        <v>89</v>
      </c>
      <c r="B96" s="4">
        <v>63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5">
      <c r="A97" s="11" t="s">
        <v>90</v>
      </c>
      <c r="B97" s="4">
        <v>50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5">
      <c r="A98" s="11" t="s">
        <v>91</v>
      </c>
      <c r="B98" s="4">
        <v>35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5">
      <c r="A99" s="11" t="s">
        <v>92</v>
      </c>
      <c r="B99" s="7">
        <f>$B$89/$I$27*$B$110</f>
        <v>1.2856694888679836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5">
      <c r="A100" s="11" t="s">
        <v>93</v>
      </c>
      <c r="B100" s="7">
        <f>$B$90/$I$30</f>
        <v>0.44398907103825136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5">
      <c r="A101" s="11" t="s">
        <v>94</v>
      </c>
      <c r="B101" s="5">
        <f>$B$91/$I$32</f>
        <v>2.0395738203957381E-3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5">
      <c r="A102" s="11" t="s">
        <v>95</v>
      </c>
      <c r="B102" s="7">
        <f>$B$92/$I$34</f>
        <v>1.1818181818181818E-2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5">
      <c r="A103" s="11" t="s">
        <v>96</v>
      </c>
      <c r="B103" s="5">
        <f>$B$94/$I$19</f>
        <v>1.1352941176470588E-2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5">
      <c r="A104" s="11" t="s">
        <v>97</v>
      </c>
      <c r="B104" s="5">
        <f>$B$95/$I$18</f>
        <v>2.412177985948478E-3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5">
      <c r="A105" s="11" t="s">
        <v>98</v>
      </c>
      <c r="B105" s="5">
        <f>$B$96/$I$13</f>
        <v>2.050113895216401E-4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5">
      <c r="A106" s="11" t="s">
        <v>99</v>
      </c>
      <c r="B106" s="7">
        <f>$B$93/$I$7</f>
        <v>1.5693430656934306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5">
      <c r="A107" s="11" t="s">
        <v>100</v>
      </c>
      <c r="B107" s="7">
        <f>$B$97/$I$11</f>
        <v>11.520737327188941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5">
      <c r="A108" s="11" t="s">
        <v>101</v>
      </c>
      <c r="B108" s="7">
        <f>$B$98/$I$7</f>
        <v>1.2773722627737227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5">
      <c r="A109" s="11" t="s">
        <v>102</v>
      </c>
      <c r="B109" s="7">
        <v>4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5">
      <c r="A110" s="11" t="s">
        <v>103</v>
      </c>
      <c r="B110" s="7">
        <v>10000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5">
      <c r="A111" s="11" t="s">
        <v>104</v>
      </c>
      <c r="B111" s="7">
        <v>1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Tomohawk WR</cp:lastModifiedBy>
  <dcterms:modified xsi:type="dcterms:W3CDTF">2026-07-09T20:58:34Z</dcterms:modified>
</cp:coreProperties>
</file>