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F9F4A329-5547-4D69-8DA3-71037D4261AC}" xr6:coauthVersionLast="47" xr6:coauthVersionMax="47" xr10:uidLastSave="{00000000-0000-0000-0000-000000000000}"/>
  <bookViews>
    <workbookView xWindow="-180" yWindow="780" windowWidth="28800" windowHeight="14040" tabRatio="500" xr2:uid="{00000000-000D-0000-FFFF-FFFF00000000}"/>
  </bookViews>
  <sheets>
    <sheet name="SOTP" sheetId="1" r:id="rId1"/>
    <sheet name="DC" sheetId="2" r:id="rId2"/>
    <sheet name="Handsets" sheetId="3" r:id="rId3"/>
    <sheet name="Auto" sheetId="4" r:id="rId4"/>
    <sheet name="IoT_Industrial" sheetId="5" r:id="rId5"/>
    <sheet name="IoT_PersonalAI" sheetId="6" r:id="rId6"/>
    <sheet name="QTL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1" l="1"/>
  <c r="F23" i="1"/>
  <c r="F21" i="1"/>
  <c r="C23" i="7"/>
  <c r="C21" i="7"/>
  <c r="C16" i="7"/>
  <c r="C14" i="7"/>
  <c r="D9" i="7"/>
  <c r="D4" i="7"/>
  <c r="D3" i="7"/>
  <c r="I1" i="7"/>
  <c r="D1" i="7"/>
  <c r="D23" i="6"/>
  <c r="C23" i="6"/>
  <c r="D21" i="6"/>
  <c r="C21" i="6"/>
  <c r="D14" i="6"/>
  <c r="C14" i="6"/>
  <c r="D9" i="6"/>
  <c r="D4" i="6"/>
  <c r="D3" i="6"/>
  <c r="I1" i="6"/>
  <c r="D1" i="6"/>
  <c r="C23" i="5"/>
  <c r="C21" i="5"/>
  <c r="C14" i="5"/>
  <c r="D9" i="5"/>
  <c r="D4" i="5"/>
  <c r="D3" i="5"/>
  <c r="I1" i="5"/>
  <c r="D1" i="5"/>
  <c r="D23" i="4"/>
  <c r="C23" i="4"/>
  <c r="D21" i="4"/>
  <c r="C21" i="4"/>
  <c r="C14" i="4"/>
  <c r="D9" i="4"/>
  <c r="D4" i="4"/>
  <c r="D3" i="4"/>
  <c r="I1" i="4"/>
  <c r="D1" i="4"/>
  <c r="I23" i="2"/>
  <c r="H23" i="2"/>
  <c r="G23" i="2"/>
  <c r="F23" i="2"/>
  <c r="E23" i="2"/>
  <c r="D23" i="2"/>
  <c r="C23" i="2"/>
  <c r="I21" i="2"/>
  <c r="H21" i="2"/>
  <c r="G21" i="2"/>
  <c r="F21" i="2"/>
  <c r="E21" i="2"/>
  <c r="D21" i="2"/>
  <c r="C21" i="2"/>
  <c r="I14" i="2"/>
  <c r="H14" i="2"/>
  <c r="G14" i="2"/>
  <c r="F14" i="2"/>
  <c r="E14" i="2"/>
  <c r="D14" i="2"/>
  <c r="C14" i="2"/>
  <c r="I10" i="2"/>
  <c r="H10" i="2"/>
  <c r="G10" i="2"/>
  <c r="F10" i="2"/>
  <c r="E10" i="2"/>
  <c r="D10" i="2"/>
  <c r="D4" i="2"/>
  <c r="D3" i="2"/>
  <c r="I1" i="2"/>
  <c r="D1" i="2"/>
  <c r="D23" i="1"/>
  <c r="D22" i="1"/>
  <c r="D21" i="1"/>
  <c r="H9" i="1"/>
  <c r="F9" i="1"/>
  <c r="E9" i="1"/>
  <c r="D9" i="1"/>
  <c r="H8" i="1"/>
  <c r="F8" i="1"/>
  <c r="E8" i="1"/>
  <c r="D8" i="1"/>
  <c r="H7" i="1"/>
  <c r="F7" i="1"/>
  <c r="E7" i="1"/>
  <c r="D7" i="1"/>
  <c r="H6" i="1"/>
  <c r="F6" i="1"/>
  <c r="E6" i="1"/>
  <c r="D6" i="1"/>
  <c r="H5" i="1"/>
  <c r="F5" i="1"/>
  <c r="E5" i="1"/>
  <c r="D5" i="1"/>
  <c r="H4" i="1"/>
  <c r="G4" i="1"/>
  <c r="F4" i="1"/>
  <c r="E4" i="1"/>
  <c r="D4" i="1"/>
  <c r="D23" i="3"/>
  <c r="C23" i="3"/>
  <c r="C21" i="3"/>
  <c r="C14" i="3"/>
  <c r="D9" i="3"/>
  <c r="D4" i="3"/>
  <c r="D3" i="3"/>
  <c r="I1" i="3"/>
  <c r="D1" i="3"/>
  <c r="C27" i="7" l="1"/>
  <c r="C28" i="7" s="1"/>
  <c r="D23" i="7"/>
  <c r="D21" i="7"/>
  <c r="D14" i="7"/>
  <c r="D16" i="7" s="1"/>
  <c r="D27" i="7" s="1"/>
  <c r="D28" i="7" s="1"/>
  <c r="E9" i="7"/>
  <c r="E4" i="7"/>
  <c r="F4" i="7" s="1"/>
  <c r="G4" i="7" s="1"/>
  <c r="H4" i="7" s="1"/>
  <c r="I4" i="7" s="1"/>
  <c r="E3" i="7"/>
  <c r="F3" i="7" s="1"/>
  <c r="G3" i="7" s="1"/>
  <c r="H3" i="7" s="1"/>
  <c r="I3" i="7" s="1"/>
  <c r="D16" i="6"/>
  <c r="D27" i="6" s="1"/>
  <c r="D28" i="6" s="1"/>
  <c r="C16" i="6"/>
  <c r="C27" i="6" s="1"/>
  <c r="C28" i="6" s="1"/>
  <c r="D23" i="5"/>
  <c r="C16" i="5"/>
  <c r="C27" i="5" s="1"/>
  <c r="C28" i="5" s="1"/>
  <c r="D14" i="5"/>
  <c r="D16" i="5" s="1"/>
  <c r="E9" i="6"/>
  <c r="E4" i="6"/>
  <c r="F4" i="6" s="1"/>
  <c r="G4" i="6" s="1"/>
  <c r="H4" i="6" s="1"/>
  <c r="I4" i="6" s="1"/>
  <c r="E3" i="6"/>
  <c r="F3" i="6" s="1"/>
  <c r="G3" i="6" s="1"/>
  <c r="H3" i="6" s="1"/>
  <c r="I3" i="6" s="1"/>
  <c r="E3" i="5"/>
  <c r="F3" i="5" s="1"/>
  <c r="G3" i="5" s="1"/>
  <c r="H3" i="5" s="1"/>
  <c r="I3" i="5" s="1"/>
  <c r="C16" i="4"/>
  <c r="C27" i="4" s="1"/>
  <c r="C28" i="4" s="1"/>
  <c r="D14" i="4"/>
  <c r="D16" i="4" s="1"/>
  <c r="D27" i="4" s="1"/>
  <c r="E9" i="4"/>
  <c r="E4" i="4"/>
  <c r="F4" i="4" s="1"/>
  <c r="G4" i="4" s="1"/>
  <c r="H4" i="4" s="1"/>
  <c r="I4" i="4" s="1"/>
  <c r="E3" i="4"/>
  <c r="F3" i="4" s="1"/>
  <c r="G3" i="4" s="1"/>
  <c r="H3" i="4" s="1"/>
  <c r="I3" i="4" s="1"/>
  <c r="I16" i="2"/>
  <c r="I27" i="2" s="1"/>
  <c r="G16" i="2"/>
  <c r="G27" i="2" s="1"/>
  <c r="F16" i="2"/>
  <c r="F27" i="2" s="1"/>
  <c r="D16" i="2"/>
  <c r="D27" i="2" s="1"/>
  <c r="E4" i="2"/>
  <c r="F4" i="2" s="1"/>
  <c r="G4" i="2" s="1"/>
  <c r="H4" i="2" s="1"/>
  <c r="I4" i="2" s="1"/>
  <c r="D28" i="2"/>
  <c r="H16" i="2"/>
  <c r="H27" i="2" s="1"/>
  <c r="E16" i="2"/>
  <c r="E27" i="2" s="1"/>
  <c r="C16" i="2"/>
  <c r="C27" i="2" s="1"/>
  <c r="C28" i="2" s="1"/>
  <c r="E3" i="2"/>
  <c r="F3" i="2" s="1"/>
  <c r="G3" i="2" s="1"/>
  <c r="H3" i="2" s="1"/>
  <c r="I3" i="2" s="1"/>
  <c r="D21" i="5"/>
  <c r="E9" i="5"/>
  <c r="E4" i="5"/>
  <c r="F4" i="5" s="1"/>
  <c r="G4" i="5" s="1"/>
  <c r="H4" i="5" s="1"/>
  <c r="I4" i="5" s="1"/>
  <c r="D21" i="3"/>
  <c r="C16" i="3"/>
  <c r="C27" i="3" s="1"/>
  <c r="C28" i="3" s="1"/>
  <c r="D14" i="3"/>
  <c r="D16" i="3" s="1"/>
  <c r="D27" i="3" s="1"/>
  <c r="D28" i="3" s="1"/>
  <c r="E9" i="3"/>
  <c r="E4" i="3"/>
  <c r="F4" i="3" s="1"/>
  <c r="G4" i="3" s="1"/>
  <c r="H4" i="3" s="1"/>
  <c r="I4" i="3" s="1"/>
  <c r="E3" i="3"/>
  <c r="F3" i="3" s="1"/>
  <c r="G3" i="3" s="1"/>
  <c r="H3" i="3" s="1"/>
  <c r="I3" i="3" s="1"/>
  <c r="F9" i="7" l="1"/>
  <c r="E14" i="7"/>
  <c r="E16" i="7" s="1"/>
  <c r="E21" i="7"/>
  <c r="E23" i="7"/>
  <c r="F9" i="6"/>
  <c r="E14" i="6"/>
  <c r="E16" i="6" s="1"/>
  <c r="E27" i="6" s="1"/>
  <c r="E28" i="6" s="1"/>
  <c r="E21" i="6"/>
  <c r="E23" i="6"/>
  <c r="F9" i="4"/>
  <c r="E14" i="4"/>
  <c r="E16" i="4" s="1"/>
  <c r="E21" i="4"/>
  <c r="E23" i="4"/>
  <c r="E14" i="5"/>
  <c r="E16" i="5" s="1"/>
  <c r="E27" i="5" s="1"/>
  <c r="E28" i="5" s="1"/>
  <c r="E23" i="5"/>
  <c r="F9" i="5"/>
  <c r="E21" i="5"/>
  <c r="F9" i="3"/>
  <c r="E14" i="3"/>
  <c r="E16" i="3" s="1"/>
  <c r="E21" i="3"/>
  <c r="E23" i="3"/>
  <c r="C33" i="2"/>
  <c r="I28" i="2"/>
  <c r="G28" i="2"/>
  <c r="F28" i="2"/>
  <c r="D27" i="5"/>
  <c r="D28" i="5" s="1"/>
  <c r="H28" i="2"/>
  <c r="E28" i="2"/>
  <c r="D28" i="4"/>
  <c r="G9" i="7" l="1"/>
  <c r="F14" i="7"/>
  <c r="F16" i="7" s="1"/>
  <c r="F21" i="7"/>
  <c r="F23" i="7"/>
  <c r="G9" i="1"/>
  <c r="G8" i="1"/>
  <c r="G9" i="6"/>
  <c r="F14" i="6"/>
  <c r="F16" i="6" s="1"/>
  <c r="F27" i="6" s="1"/>
  <c r="F28" i="6" s="1"/>
  <c r="F21" i="6"/>
  <c r="F23" i="6"/>
  <c r="G9" i="4"/>
  <c r="F14" i="4"/>
  <c r="F16" i="4" s="1"/>
  <c r="F23" i="4"/>
  <c r="F21" i="4"/>
  <c r="G6" i="1"/>
  <c r="G9" i="5"/>
  <c r="F14" i="5"/>
  <c r="F16" i="5" s="1"/>
  <c r="F27" i="5" s="1"/>
  <c r="F28" i="5" s="1"/>
  <c r="G7" i="1"/>
  <c r="F21" i="5"/>
  <c r="F23" i="5"/>
  <c r="G9" i="3"/>
  <c r="F14" i="3"/>
  <c r="F16" i="3" s="1"/>
  <c r="F21" i="3"/>
  <c r="F23" i="3"/>
  <c r="G5" i="1"/>
  <c r="E27" i="7"/>
  <c r="E28" i="7" s="1"/>
  <c r="E27" i="4"/>
  <c r="E28" i="4" s="1"/>
  <c r="E27" i="3"/>
  <c r="E28" i="3" s="1"/>
  <c r="C35" i="2"/>
  <c r="C4" i="1" s="1"/>
  <c r="H9" i="7" l="1"/>
  <c r="G14" i="7"/>
  <c r="G16" i="7" s="1"/>
  <c r="G21" i="7"/>
  <c r="G23" i="7"/>
  <c r="H9" i="6"/>
  <c r="G14" i="6"/>
  <c r="G16" i="6" s="1"/>
  <c r="G21" i="6"/>
  <c r="G23" i="6"/>
  <c r="H9" i="4"/>
  <c r="G14" i="4"/>
  <c r="G16" i="4" s="1"/>
  <c r="G21" i="4"/>
  <c r="G23" i="4"/>
  <c r="G21" i="5"/>
  <c r="G23" i="5"/>
  <c r="H9" i="5"/>
  <c r="G14" i="5"/>
  <c r="G16" i="5" s="1"/>
  <c r="G27" i="5" s="1"/>
  <c r="G28" i="5" s="1"/>
  <c r="H9" i="3"/>
  <c r="G14" i="3"/>
  <c r="G16" i="3" s="1"/>
  <c r="G27" i="3" s="1"/>
  <c r="G28" i="3" s="1"/>
  <c r="G21" i="3"/>
  <c r="G23" i="3"/>
  <c r="J4" i="1"/>
  <c r="F27" i="4"/>
  <c r="F28" i="4" s="1"/>
  <c r="F27" i="3"/>
  <c r="F28" i="3" s="1"/>
  <c r="F27" i="7"/>
  <c r="F28" i="7" s="1"/>
  <c r="I9" i="7" l="1"/>
  <c r="H14" i="7"/>
  <c r="H16" i="7" s="1"/>
  <c r="H21" i="7"/>
  <c r="H23" i="7"/>
  <c r="I9" i="6"/>
  <c r="H14" i="6"/>
  <c r="H16" i="6" s="1"/>
  <c r="H21" i="6"/>
  <c r="H23" i="6"/>
  <c r="I9" i="4"/>
  <c r="H14" i="4"/>
  <c r="H16" i="4" s="1"/>
  <c r="H23" i="4"/>
  <c r="H21" i="4"/>
  <c r="H21" i="5"/>
  <c r="I9" i="5"/>
  <c r="H14" i="5"/>
  <c r="H16" i="5" s="1"/>
  <c r="H27" i="5" s="1"/>
  <c r="H28" i="5" s="1"/>
  <c r="H23" i="5"/>
  <c r="I9" i="3"/>
  <c r="H14" i="3"/>
  <c r="H16" i="3" s="1"/>
  <c r="H21" i="3"/>
  <c r="H23" i="3"/>
  <c r="G27" i="7"/>
  <c r="G28" i="7" s="1"/>
  <c r="G27" i="6"/>
  <c r="G28" i="6" s="1"/>
  <c r="G27" i="4"/>
  <c r="G28" i="4" s="1"/>
  <c r="I14" i="7" l="1"/>
  <c r="I21" i="7"/>
  <c r="I23" i="7"/>
  <c r="I14" i="6"/>
  <c r="I21" i="6"/>
  <c r="I23" i="6"/>
  <c r="I14" i="4"/>
  <c r="I21" i="4"/>
  <c r="I23" i="4"/>
  <c r="I21" i="5"/>
  <c r="I14" i="5"/>
  <c r="I23" i="5"/>
  <c r="I14" i="3"/>
  <c r="I21" i="3"/>
  <c r="I23" i="3"/>
  <c r="H27" i="3"/>
  <c r="H28" i="3" s="1"/>
  <c r="H27" i="7"/>
  <c r="H28" i="7" s="1"/>
  <c r="H27" i="6"/>
  <c r="H28" i="6" s="1"/>
  <c r="H27" i="4"/>
  <c r="H28" i="4" s="1"/>
  <c r="I16" i="7" l="1"/>
  <c r="I27" i="7" s="1"/>
  <c r="I28" i="7" s="1"/>
  <c r="C33" i="7"/>
  <c r="I16" i="6"/>
  <c r="I27" i="6" s="1"/>
  <c r="I28" i="6" s="1"/>
  <c r="C33" i="6"/>
  <c r="C35" i="6" s="1"/>
  <c r="C8" i="1" s="1"/>
  <c r="C33" i="4"/>
  <c r="I16" i="4"/>
  <c r="I27" i="4" s="1"/>
  <c r="I28" i="4" s="1"/>
  <c r="I16" i="5"/>
  <c r="I27" i="5" s="1"/>
  <c r="I28" i="5" s="1"/>
  <c r="C33" i="5"/>
  <c r="C35" i="5" s="1"/>
  <c r="C7" i="1" s="1"/>
  <c r="I16" i="3"/>
  <c r="I27" i="3" s="1"/>
  <c r="I28" i="3" s="1"/>
  <c r="C33" i="3"/>
  <c r="J8" i="1" l="1"/>
  <c r="J7" i="1"/>
  <c r="C35" i="7"/>
  <c r="C9" i="1" s="1"/>
  <c r="C35" i="4"/>
  <c r="C6" i="1" s="1"/>
  <c r="C35" i="3"/>
  <c r="C5" i="1" s="1"/>
  <c r="J9" i="1" l="1"/>
  <c r="J6" i="1"/>
  <c r="J5" i="1"/>
  <c r="C10" i="1"/>
  <c r="I6" i="1" l="1"/>
  <c r="I7" i="1"/>
  <c r="I8" i="1"/>
  <c r="I4" i="1"/>
  <c r="C14" i="1"/>
  <c r="C16" i="1" s="1"/>
  <c r="I9" i="1"/>
  <c r="I5" i="1"/>
  <c r="C21" i="1" l="1"/>
  <c r="E21" i="1" s="1"/>
  <c r="C22" i="1"/>
  <c r="E22" i="1" s="1"/>
  <c r="C23" i="1"/>
  <c r="E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5" authorId="0" shapeId="0" xr:uid="{00000000-0006-0000-0000-000001000000}">
      <text>
        <r>
          <rPr>
            <sz val="10"/>
            <rFont val="Arial"/>
            <family val="2"/>
          </rPr>
          <t>Source: QCOM balance sheet - net cash position ~$6B after $5.4B H1 FY26 buybacks, $20B new authorization. Negative = net cash added to EV.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100-000001000000}">
      <text>
        <r>
          <rPr>
            <sz val="10"/>
            <rFont val="Arial"/>
            <family val="2"/>
          </rPr>
          <t>Revenue is Qualcomm Investor Day guidance: $5B FY27, $15B FY29 (CFO Palkhiwala). 2028 interpolated. 2030-2032 user extrapolation beyond guided horizon.</t>
        </r>
      </text>
    </comment>
    <comment ref="B9" authorId="0" shapeId="0" xr:uid="{00000000-0006-0000-0100-000002000000}">
      <text>
        <r>
          <rPr>
            <sz val="10"/>
            <rFont val="Arial"/>
            <family val="2"/>
          </rPr>
          <t>User EBIT ramp to 35%. Supported by FY29 EPS &gt;$18 guidance and CPU + custom ASIC + IP mix. 35% terminal is the optimistic end, above QCT ~30%.</t>
        </r>
      </text>
    </comment>
    <comment ref="C9" authorId="0" shapeId="0" xr:uid="{00000000-0006-0000-0100-000007000000}">
      <text>
        <r>
          <rPr>
            <sz val="10"/>
            <rFont val="Arial"/>
            <family val="2"/>
          </rPr>
          <t>Source: QCOM Q2 FY26 call Apr 29 2026 - first hyperscaler shipments late CY26. Negligible.</t>
        </r>
      </text>
    </comment>
    <comment ref="D9" authorId="0" shapeId="0" xr:uid="{00000000-0006-0000-0100-00000A000000}">
      <text>
        <r>
          <rPr>
            <sz val="10"/>
            <rFont val="Arial"/>
            <family val="2"/>
          </rPr>
          <t>Source: Investor Day Jun 24 2026 - ~$5B FY27 DC target.</t>
        </r>
      </text>
    </comment>
    <comment ref="E9" authorId="0" shapeId="0" xr:uid="{00000000-0006-0000-0100-00000C000000}">
      <text>
        <r>
          <rPr>
            <sz val="10"/>
            <rFont val="Arial"/>
            <family val="2"/>
          </rPr>
          <t>Interpolated ramp toward $15B FY29 anchor.</t>
        </r>
      </text>
    </comment>
    <comment ref="F9" authorId="0" shapeId="0" xr:uid="{00000000-0006-0000-0100-00000E000000}">
      <text>
        <r>
          <rPr>
            <sz val="10"/>
            <rFont val="Arial"/>
            <family val="2"/>
          </rPr>
          <t>Source: Investor Day - &gt;$15B FY29 DC target (control total).</t>
        </r>
      </text>
    </comment>
    <comment ref="G9" authorId="0" shapeId="0" xr:uid="{00000000-0006-0000-0100-000011000000}">
      <text>
        <r>
          <rPr>
            <sz val="10"/>
            <rFont val="Arial"/>
            <family val="2"/>
          </rPr>
          <t>Post-target growth +30%.</t>
        </r>
      </text>
    </comment>
    <comment ref="H9" authorId="0" shapeId="0" xr:uid="{00000000-0006-0000-0100-000014000000}">
      <text>
        <r>
          <rPr>
            <sz val="10"/>
            <rFont val="Arial"/>
            <family val="2"/>
          </rPr>
          <t>+22%.</t>
        </r>
      </text>
    </comment>
    <comment ref="I9" authorId="0" shapeId="0" xr:uid="{00000000-0006-0000-0100-000016000000}">
      <text>
        <r>
          <rPr>
            <sz val="10"/>
            <rFont val="Arial"/>
            <family val="2"/>
          </rPr>
          <t>+15%.</t>
        </r>
      </text>
    </comment>
    <comment ref="D10" authorId="0" shapeId="0" xr:uid="{00000000-0006-0000-0100-00000B000000}">
      <text>
        <r>
          <rPr>
            <sz val="10"/>
            <rFont val="Arial"/>
            <family val="2"/>
          </rPr>
          <t>Source: QCOM Investor Day Jun 24 2026 - DC ~$5B FY27 target. 100*(1+49)=5000.</t>
        </r>
      </text>
    </comment>
    <comment ref="E10" authorId="0" shapeId="0" xr:uid="{00000000-0006-0000-0100-00000D000000}">
      <text>
        <r>
          <rPr>
            <sz val="10"/>
            <rFont val="Arial"/>
            <family val="2"/>
          </rPr>
          <t>Ramp to ~10000 FY28, midpoint toward $15B FY29 anchor</t>
        </r>
      </text>
    </comment>
    <comment ref="F10" authorId="0" shapeId="0" xr:uid="{00000000-0006-0000-0100-00000F000000}">
      <text>
        <r>
          <rPr>
            <sz val="10"/>
            <rFont val="Arial"/>
            <family val="2"/>
          </rPr>
          <t>Source: Investor Day - &gt;$15B FY29 DC target (control total). 10000*1.5=15000.</t>
        </r>
      </text>
    </comment>
    <comment ref="G10" authorId="0" shapeId="0" xr:uid="{00000000-0006-0000-0100-000012000000}">
      <text>
        <r>
          <rPr>
            <sz val="10"/>
            <rFont val="Arial"/>
            <family val="2"/>
          </rPr>
          <t>Post-target growth decel as share gains mature</t>
        </r>
      </text>
    </comment>
    <comment ref="H10" authorId="0" shapeId="0" xr:uid="{00000000-0006-0000-0100-000015000000}">
      <text>
        <r>
          <rPr>
            <sz val="10"/>
            <rFont val="Arial"/>
            <family val="2"/>
          </rPr>
          <t>Continued decel</t>
        </r>
      </text>
    </comment>
    <comment ref="I10" authorId="0" shapeId="0" xr:uid="{00000000-0006-0000-0100-000017000000}">
      <text>
        <r>
          <rPr>
            <sz val="10"/>
            <rFont val="Arial"/>
            <family val="2"/>
          </rPr>
          <t>Mature growth</t>
        </r>
      </text>
    </comment>
    <comment ref="C13" authorId="0" shapeId="0" xr:uid="{00000000-0006-0000-0100-000008000000}">
      <text>
        <r>
          <rPr>
            <sz val="10"/>
            <rFont val="Arial"/>
            <family val="2"/>
          </rPr>
          <t>Pre-revenue R&amp;D drag on negligible base</t>
        </r>
      </text>
    </comment>
    <comment ref="F13" authorId="0" shapeId="0" xr:uid="{00000000-0006-0000-0100-000010000000}">
      <text>
        <r>
          <rPr>
            <sz val="10"/>
            <rFont val="Arial"/>
            <family val="2"/>
          </rPr>
          <t>FY29 DC EBIT margin - new entrant vs entrenched (NVDA/AMD/custom ASIC). Below QCT corp avg.</t>
        </r>
      </text>
    </comment>
    <comment ref="G13" authorId="0" shapeId="0" xr:uid="{00000000-0006-0000-0100-000013000000}">
      <text>
        <r>
          <rPr>
            <sz val="10"/>
            <rFont val="Arial"/>
            <family val="2"/>
          </rPr>
          <t>Scale benefit</t>
        </r>
      </text>
    </comment>
    <comment ref="I13" authorId="0" shapeId="0" xr:uid="{00000000-0006-0000-0100-000018000000}">
      <text>
        <r>
          <rPr>
            <sz val="10"/>
            <rFont val="Arial"/>
            <family val="2"/>
          </rPr>
          <t>Terminal DC EBIT margin - capped; merchant DC silicon faces pricing pressure from custom ASIC</t>
        </r>
      </text>
    </comment>
    <comment ref="B16" authorId="0" shapeId="0" xr:uid="{00000000-0006-0000-0100-000003000000}">
      <text>
        <r>
          <rPr>
            <sz val="10"/>
            <rFont val="Arial"/>
            <family val="2"/>
          </rPr>
          <t>Fabless. D&amp;A scales toward ~4% of revenue.</t>
        </r>
      </text>
    </comment>
    <comment ref="B19" authorId="0" shapeId="0" xr:uid="{00000000-0006-0000-0100-000004000000}">
      <text>
        <r>
          <rPr>
            <sz val="10"/>
            <rFont val="Arial"/>
            <family val="2"/>
          </rPr>
          <t>Fabless. CapEx ~5% of revenue at scale (test, packaging tooling, foundry prepay).</t>
        </r>
      </text>
    </comment>
    <comment ref="B27" authorId="0" shapeId="0" xr:uid="{00000000-0006-0000-0100-000005000000}">
      <text>
        <r>
          <rPr>
            <sz val="10"/>
            <rFont val="Arial"/>
            <family val="2"/>
          </rPr>
          <t>11% WACC. ~200bps premium over Qualcomm consolidated rate for datacenter venture risk: new competitive entry, hyperscaler concentration, Nvidia incumbency, prior failed attempt (Centriq 2018). Anchor customers (Meta multi-gen, Microsoft, 2 hyperscalers) partly offset. No beta.</t>
        </r>
      </text>
    </comment>
    <comment ref="B28" authorId="0" shapeId="0" xr:uid="{00000000-0006-0000-0100-000006000000}">
      <text>
        <r>
          <rPr>
            <sz val="10"/>
            <rFont val="Arial"/>
            <family val="2"/>
          </rPr>
          <t>15x EBIT exit. Premium datacenter franchise multiple, below 18x given 10% terminal growth and competition.</t>
        </r>
      </text>
    </comment>
    <comment ref="C32" authorId="0" shapeId="0" xr:uid="{00000000-0006-0000-0100-000009000000}">
      <text>
        <r>
          <rPr>
            <sz val="10"/>
            <rFont val="Arial"/>
            <family val="2"/>
          </rPr>
          <t>Exit EBIT multiple - high-growth DC franchise but new entrant execution risk. 13x vs prior 15x.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200-000001000000}">
      <text>
        <r>
          <rPr>
            <sz val="10"/>
            <rFont val="Arial"/>
            <family val="2"/>
          </rPr>
          <t>Revenue is Qualcomm Investor Day guidance: $5B FY27, $15B FY29 (CFO Palkhiwala). 2028 interpolated. 2030-2032 user extrapolation beyond guided horizon.</t>
        </r>
      </text>
    </comment>
    <comment ref="B9" authorId="0" shapeId="0" xr:uid="{00000000-0006-0000-0200-000002000000}">
      <text>
        <r>
          <rPr>
            <sz val="10"/>
            <rFont val="Arial"/>
            <family val="2"/>
          </rPr>
          <t>User EBIT ramp to 35%. Supported by FY29 EPS &gt;$18 guidance and CPU + custom ASIC + IP mix. 35% terminal is the optimistic end, above QCT ~30%.</t>
        </r>
      </text>
    </comment>
    <comment ref="C9" authorId="0" shapeId="0" xr:uid="{00000000-0006-0000-0200-000007000000}">
      <text>
        <r>
          <rPr>
            <sz val="10"/>
            <rFont val="Arial"/>
            <family val="2"/>
          </rPr>
          <t>Source: QCOM 10-K FY25 - handset revenue $27,793mm actual. FY26 under-shipping (memory constraint), bottoms Q3 FY26 per Amon, roughly flat.</t>
        </r>
      </text>
    </comment>
    <comment ref="D10" authorId="0" shapeId="0" xr:uid="{00000000-0006-0000-0200-00000A000000}">
      <text>
        <r>
          <rPr>
            <sz val="10"/>
            <rFont val="Arial"/>
            <family val="2"/>
          </rPr>
          <t>Memory constraint + early Apple modem insourcing. Amon: bottoms fiscal Q3 FY26.</t>
        </r>
      </text>
    </comment>
    <comment ref="E10" authorId="0" shapeId="0" xr:uid="{00000000-0006-0000-0200-00000B000000}">
      <text>
        <r>
          <rPr>
            <sz val="10"/>
            <rFont val="Arial"/>
            <family val="2"/>
          </rPr>
          <t>Apple modem transition continues (iPhone 17/18 phased insourcing)</t>
        </r>
      </text>
    </comment>
    <comment ref="F10" authorId="0" shapeId="0" xr:uid="{00000000-0006-0000-0200-00000C000000}">
      <text>
        <r>
          <rPr>
            <sz val="10"/>
            <rFont val="Arial"/>
            <family val="2"/>
          </rPr>
          <t>Apple ramp + China handset maturity</t>
        </r>
      </text>
    </comment>
    <comment ref="G10" authorId="0" shapeId="0" xr:uid="{00000000-0006-0000-0200-00000E000000}">
      <text>
        <r>
          <rPr>
            <sz val="10"/>
            <rFont val="Arial"/>
            <family val="2"/>
          </rPr>
          <t>Stabilization; premium Android ASP offset</t>
        </r>
      </text>
    </comment>
    <comment ref="H10" authorId="0" shapeId="0" xr:uid="{00000000-0006-0000-0200-00000F000000}">
      <text>
        <r>
          <rPr>
            <sz val="10"/>
            <rFont val="Arial"/>
            <family val="2"/>
          </rPr>
          <t>Near-trough, premium mix holds</t>
        </r>
      </text>
    </comment>
    <comment ref="I10" authorId="0" shapeId="0" xr:uid="{00000000-0006-0000-0200-000010000000}">
      <text>
        <r>
          <rPr>
            <sz val="10"/>
            <rFont val="Arial"/>
            <family val="2"/>
          </rPr>
          <t>Mature low-single-digit decline</t>
        </r>
      </text>
    </comment>
    <comment ref="C13" authorId="0" shapeId="0" xr:uid="{00000000-0006-0000-0200-000008000000}">
      <text>
        <r>
          <rPr>
            <sz val="10"/>
            <rFont val="Arial"/>
            <family val="2"/>
          </rPr>
          <t>Source: QCOM FY25 QCT EBT margin 29-30%; handset-only slightly below corp avg on mix. 27%.</t>
        </r>
      </text>
    </comment>
    <comment ref="F13" authorId="0" shapeId="0" xr:uid="{00000000-0006-0000-0200-00000D000000}">
      <text>
        <r>
          <rPr>
            <sz val="10"/>
            <rFont val="Arial"/>
            <family val="2"/>
          </rPr>
          <t>Margin compression as Apple (high-margin) volume exits</t>
        </r>
      </text>
    </comment>
    <comment ref="I13" authorId="0" shapeId="0" xr:uid="{00000000-0006-0000-0200-000011000000}">
      <text>
        <r>
          <rPr>
            <sz val="10"/>
            <rFont val="Arial"/>
            <family val="2"/>
          </rPr>
          <t>Terminal handset EBIT margin post-Apple</t>
        </r>
      </text>
    </comment>
    <comment ref="B16" authorId="0" shapeId="0" xr:uid="{00000000-0006-0000-0200-000003000000}">
      <text>
        <r>
          <rPr>
            <sz val="10"/>
            <rFont val="Arial"/>
            <family val="2"/>
          </rPr>
          <t>Fabless. D&amp;A scales toward ~4% of revenue.</t>
        </r>
      </text>
    </comment>
    <comment ref="B19" authorId="0" shapeId="0" xr:uid="{00000000-0006-0000-0200-000004000000}">
      <text>
        <r>
          <rPr>
            <sz val="10"/>
            <rFont val="Arial"/>
            <family val="2"/>
          </rPr>
          <t>Fabless. CapEx ~5% of revenue at scale (test, packaging tooling, foundry prepay).</t>
        </r>
      </text>
    </comment>
    <comment ref="B27" authorId="0" shapeId="0" xr:uid="{00000000-0006-0000-0200-000005000000}">
      <text>
        <r>
          <rPr>
            <sz val="10"/>
            <rFont val="Arial"/>
            <family val="2"/>
          </rPr>
          <t>11% WACC. ~200bps premium over Qualcomm consolidated rate for datacenter venture risk: new competitive entry, hyperscaler concentration, Nvidia incumbency, prior failed attempt (Centriq 2018). Anchor customers (Meta multi-gen, Microsoft, 2 hyperscalers) partly offset. No beta.</t>
        </r>
      </text>
    </comment>
    <comment ref="B28" authorId="0" shapeId="0" xr:uid="{00000000-0006-0000-0200-000006000000}">
      <text>
        <r>
          <rPr>
            <sz val="10"/>
            <rFont val="Arial"/>
            <family val="2"/>
          </rPr>
          <t>15x EBIT exit. Premium datacenter franchise multiple, below 18x given 10% terminal growth and competition.</t>
        </r>
      </text>
    </comment>
    <comment ref="C32" authorId="0" shapeId="0" xr:uid="{00000000-0006-0000-0200-000009000000}">
      <text>
        <r>
          <rPr>
            <sz val="10"/>
            <rFont val="Arial"/>
            <family val="2"/>
          </rPr>
          <t>Exit EBIT multiple - declining premium-mobile cash franchise. 10x (was 12x) reflects secular maturity.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300-000001000000}">
      <text>
        <r>
          <rPr>
            <sz val="10"/>
            <rFont val="Arial"/>
            <family val="2"/>
          </rPr>
          <t>Revenue is Qualcomm Investor Day guidance: $5B FY27, $15B FY29 (CFO Palkhiwala). 2028 interpolated. 2030-2032 user extrapolation beyond guided horizon.</t>
        </r>
      </text>
    </comment>
    <comment ref="B9" authorId="0" shapeId="0" xr:uid="{00000000-0006-0000-0300-000002000000}">
      <text>
        <r>
          <rPr>
            <sz val="10"/>
            <rFont val="Arial"/>
            <family val="2"/>
          </rPr>
          <t>User EBIT ramp to 35%. Supported by FY29 EPS &gt;$18 guidance and CPU + custom ASIC + IP mix. 35% terminal is the optimistic end, above QCT ~30%.</t>
        </r>
      </text>
    </comment>
    <comment ref="C9" authorId="0" shapeId="0" xr:uid="{00000000-0006-0000-0300-000007000000}">
      <text>
        <r>
          <rPr>
            <sz val="10"/>
            <rFont val="Arial"/>
            <family val="2"/>
          </rPr>
          <t>Source: QCOM Q1 FY26 auto $1,101mm + Q2 record &gt;$1B. H1 ~$2.2B, annualized ~$4.5B. Model prior $2,500 understated full-year run-rate.</t>
        </r>
      </text>
    </comment>
    <comment ref="D10" authorId="0" shapeId="0" xr:uid="{00000000-0006-0000-0300-00000A000000}">
      <text>
        <r>
          <rPr>
            <sz val="10"/>
            <rFont val="Arial"/>
            <family val="2"/>
          </rPr>
          <t>Source: Investor Day - $10B auto FY29 target + $65B design-win pipeline. 4500-&gt;10000 = ~30.6% CAGR.</t>
        </r>
      </text>
    </comment>
    <comment ref="E10" authorId="0" shapeId="0" xr:uid="{00000000-0006-0000-0300-00000B000000}">
      <text>
        <r>
          <rPr>
            <sz val="10"/>
            <rFont val="Arial"/>
            <family val="2"/>
          </rPr>
          <t>Design-win backlog conversion</t>
        </r>
      </text>
    </comment>
    <comment ref="F10" authorId="0" shapeId="0" xr:uid="{00000000-0006-0000-0300-00000C000000}">
      <text>
        <r>
          <rPr>
            <sz val="10"/>
            <rFont val="Arial"/>
            <family val="2"/>
          </rPr>
          <t>Source: Investor Day $10B FY29 control total. Lands ~10000.</t>
        </r>
      </text>
    </comment>
    <comment ref="G10" authorId="0" shapeId="0" xr:uid="{00000000-0006-0000-0300-00000D000000}">
      <text>
        <r>
          <rPr>
            <sz val="10"/>
            <rFont val="Arial"/>
            <family val="2"/>
          </rPr>
          <t>Post-target growth on pipeline maturity</t>
        </r>
      </text>
    </comment>
    <comment ref="C13" authorId="0" shapeId="0" xr:uid="{00000000-0006-0000-0300-000008000000}">
      <text>
        <r>
          <rPr>
            <sz val="10"/>
            <rFont val="Arial"/>
            <family val="2"/>
          </rPr>
          <t>Auto EBIT margin scaling with volume; was 8% - too low vs current QCT auto profitability</t>
        </r>
      </text>
    </comment>
    <comment ref="I13" authorId="0" shapeId="0" xr:uid="{00000000-0006-0000-0300-00000E000000}">
      <text>
        <r>
          <rPr>
            <sz val="10"/>
            <rFont val="Arial"/>
            <family val="2"/>
          </rPr>
          <t>Terminal auto EBIT margin - below corp avg, automotive design-cycle cost intensity</t>
        </r>
      </text>
    </comment>
    <comment ref="B16" authorId="0" shapeId="0" xr:uid="{00000000-0006-0000-0300-000003000000}">
      <text>
        <r>
          <rPr>
            <sz val="10"/>
            <rFont val="Arial"/>
            <family val="2"/>
          </rPr>
          <t>Fabless. D&amp;A scales toward ~4% of revenue.</t>
        </r>
      </text>
    </comment>
    <comment ref="B19" authorId="0" shapeId="0" xr:uid="{00000000-0006-0000-0300-000004000000}">
      <text>
        <r>
          <rPr>
            <sz val="10"/>
            <rFont val="Arial"/>
            <family val="2"/>
          </rPr>
          <t>Fabless. CapEx ~5% of revenue at scale (test, packaging tooling, foundry prepay).</t>
        </r>
      </text>
    </comment>
    <comment ref="B27" authorId="0" shapeId="0" xr:uid="{00000000-0006-0000-0300-000005000000}">
      <text>
        <r>
          <rPr>
            <sz val="10"/>
            <rFont val="Arial"/>
            <family val="2"/>
          </rPr>
          <t>11% WACC. ~200bps premium over Qualcomm consolidated rate for datacenter venture risk: new competitive entry, hyperscaler concentration, Nvidia incumbency, prior failed attempt (Centriq 2018). Anchor customers (Meta multi-gen, Microsoft, 2 hyperscalers) partly offset. No beta.</t>
        </r>
      </text>
    </comment>
    <comment ref="B28" authorId="0" shapeId="0" xr:uid="{00000000-0006-0000-0300-000006000000}">
      <text>
        <r>
          <rPr>
            <sz val="10"/>
            <rFont val="Arial"/>
            <family val="2"/>
          </rPr>
          <t>15x EBIT exit. Premium datacenter franchise multiple, below 18x given 10% terminal growth and competition.</t>
        </r>
      </text>
    </comment>
    <comment ref="C32" authorId="0" shapeId="0" xr:uid="{00000000-0006-0000-0300-000009000000}">
      <text>
        <r>
          <rPr>
            <sz val="10"/>
            <rFont val="Arial"/>
            <family val="2"/>
          </rPr>
          <t>Exit EBIT multiple - high-growth auto franchise with $65B pipeline. 15x (was 16x).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400-000001000000}">
      <text>
        <r>
          <rPr>
            <sz val="10"/>
            <rFont val="Arial"/>
            <family val="2"/>
          </rPr>
          <t>Revenue is Qualcomm Investor Day guidance: $5B FY27, $15B FY29 (CFO Palkhiwala). 2028 interpolated. 2030-2032 user extrapolation beyond guided horizon.</t>
        </r>
      </text>
    </comment>
    <comment ref="B9" authorId="0" shapeId="0" xr:uid="{00000000-0006-0000-0400-000002000000}">
      <text>
        <r>
          <rPr>
            <sz val="10"/>
            <rFont val="Arial"/>
            <family val="2"/>
          </rPr>
          <t>User EBIT ramp to 35%. Supported by FY29 EPS &gt;$18 guidance and CPU + custom ASIC + IP mix. 35% terminal is the optimistic end, above QCT ~30%.</t>
        </r>
      </text>
    </comment>
    <comment ref="C9" authorId="0" shapeId="0" xr:uid="{00000000-0006-0000-0400-000007000000}">
      <text>
        <r>
          <rPr>
            <sz val="10"/>
            <rFont val="Arial"/>
            <family val="2"/>
          </rPr>
          <t>Source: QCOM IoT ~$1.7-1.8B/qtr (~$7B FY25 run-rate), split Industrial+Networking vs Personal/XR. Industrial ~$3.2B.</t>
        </r>
      </text>
    </comment>
    <comment ref="D10" authorId="0" shapeId="0" xr:uid="{00000000-0006-0000-0400-000008000000}">
      <text>
        <r>
          <rPr>
            <sz val="10"/>
            <rFont val="Arial"/>
            <family val="2"/>
          </rPr>
          <t>Robotics/Physical AI + Modular acquisition tailwind</t>
        </r>
      </text>
    </comment>
    <comment ref="E10" authorId="0" shapeId="0" xr:uid="{00000000-0006-0000-0400-000009000000}">
      <text>
        <r>
          <rPr>
            <sz val="10"/>
            <rFont val="Arial"/>
            <family val="2"/>
          </rPr>
          <t>Industrial AI ramp</t>
        </r>
      </text>
    </comment>
    <comment ref="F10" authorId="0" shapeId="0" xr:uid="{00000000-0006-0000-0400-00000A000000}">
      <text>
        <r>
          <rPr>
            <sz val="10"/>
            <rFont val="Arial"/>
            <family val="2"/>
          </rPr>
          <t>Source: ties to $15B combined IoT FY29 (Industrial 9000 of total). Anchor control total.</t>
        </r>
      </text>
    </comment>
    <comment ref="I13" authorId="0" shapeId="0" xr:uid="{00000000-0006-0000-0400-00000B000000}">
      <text>
        <r>
          <rPr>
            <sz val="10"/>
            <rFont val="Arial"/>
            <family val="2"/>
          </rPr>
          <t>Terminal industrial IoT EBIT margin</t>
        </r>
      </text>
    </comment>
    <comment ref="B16" authorId="0" shapeId="0" xr:uid="{00000000-0006-0000-0400-000003000000}">
      <text>
        <r>
          <rPr>
            <sz val="10"/>
            <rFont val="Arial"/>
            <family val="2"/>
          </rPr>
          <t>Fabless. D&amp;A scales toward ~4% of revenue.</t>
        </r>
      </text>
    </comment>
    <comment ref="B19" authorId="0" shapeId="0" xr:uid="{00000000-0006-0000-0400-000004000000}">
      <text>
        <r>
          <rPr>
            <sz val="10"/>
            <rFont val="Arial"/>
            <family val="2"/>
          </rPr>
          <t>Fabless. CapEx ~5% of revenue at scale (test, packaging tooling, foundry prepay).</t>
        </r>
      </text>
    </comment>
    <comment ref="B27" authorId="0" shapeId="0" xr:uid="{00000000-0006-0000-0400-000005000000}">
      <text>
        <r>
          <rPr>
            <sz val="10"/>
            <rFont val="Arial"/>
            <family val="2"/>
          </rPr>
          <t>11% WACC. ~200bps premium over Qualcomm consolidated rate for datacenter venture risk: new competitive entry, hyperscaler concentration, Nvidia incumbency, prior failed attempt (Centriq 2018). Anchor customers (Meta multi-gen, Microsoft, 2 hyperscalers) partly offset. No beta.</t>
        </r>
      </text>
    </comment>
    <comment ref="B28" authorId="0" shapeId="0" xr:uid="{00000000-0006-0000-0400-000006000000}">
      <text>
        <r>
          <rPr>
            <sz val="10"/>
            <rFont val="Arial"/>
            <family val="2"/>
          </rPr>
          <t>15x EBIT exit. Premium datacenter franchise multiple, below 18x given 10% terminal growth and competition.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500-000001000000}">
      <text>
        <r>
          <rPr>
            <sz val="10"/>
            <rFont val="Arial"/>
            <family val="2"/>
          </rPr>
          <t>Revenue is Qualcomm Investor Day guidance: $5B FY27, $15B FY29 (CFO Palkhiwala). 2028 interpolated. 2030-2032 user extrapolation beyond guided horizon.</t>
        </r>
      </text>
    </comment>
    <comment ref="B9" authorId="0" shapeId="0" xr:uid="{00000000-0006-0000-0500-000002000000}">
      <text>
        <r>
          <rPr>
            <sz val="10"/>
            <rFont val="Arial"/>
            <family val="2"/>
          </rPr>
          <t>User EBIT ramp to 35%. Supported by FY29 EPS &gt;$18 guidance and CPU + custom ASIC + IP mix. 35% terminal is the optimistic end, above QCT ~30%.</t>
        </r>
      </text>
    </comment>
    <comment ref="C9" authorId="0" shapeId="0" xr:uid="{00000000-0006-0000-0500-000007000000}">
      <text>
        <r>
          <rPr>
            <sz val="10"/>
            <rFont val="Arial"/>
            <family val="2"/>
          </rPr>
          <t>Source: QCOM IoT run-rate split - Personal AI/XR/PC portion ~$2.4B FY26. Snapdragon X2 PC + XR/smart glasses.</t>
        </r>
      </text>
    </comment>
    <comment ref="D10" authorId="0" shapeId="0" xr:uid="{00000000-0006-0000-0500-000008000000}">
      <text>
        <r>
          <rPr>
            <sz val="10"/>
            <rFont val="Arial"/>
            <family val="2"/>
          </rPr>
          <t>AI PC ramp (~150 designs through 2026) + XR/smart glasses</t>
        </r>
      </text>
    </comment>
    <comment ref="E10" authorId="0" shapeId="0" xr:uid="{00000000-0006-0000-0500-000009000000}">
      <text>
        <r>
          <rPr>
            <sz val="10"/>
            <rFont val="Arial"/>
            <family val="2"/>
          </rPr>
          <t>Snapdragon X2 Elite PC traction</t>
        </r>
      </text>
    </comment>
    <comment ref="F10" authorId="0" shapeId="0" xr:uid="{00000000-0006-0000-0500-00000A000000}">
      <text>
        <r>
          <rPr>
            <sz val="10"/>
            <rFont val="Arial"/>
            <family val="2"/>
          </rPr>
          <t>Source: ties to $15B combined IoT FY29 (PersonalAI 6000 of total).</t>
        </r>
      </text>
    </comment>
    <comment ref="I13" authorId="0" shapeId="0" xr:uid="{00000000-0006-0000-0500-00000B000000}">
      <text>
        <r>
          <rPr>
            <sz val="10"/>
            <rFont val="Arial"/>
            <family val="2"/>
          </rPr>
          <t>Terminal Personal AI/XR EBIT margin</t>
        </r>
      </text>
    </comment>
    <comment ref="B16" authorId="0" shapeId="0" xr:uid="{00000000-0006-0000-0500-000003000000}">
      <text>
        <r>
          <rPr>
            <sz val="10"/>
            <rFont val="Arial"/>
            <family val="2"/>
          </rPr>
          <t>Fabless. D&amp;A scales toward ~4% of revenue.</t>
        </r>
      </text>
    </comment>
    <comment ref="B19" authorId="0" shapeId="0" xr:uid="{00000000-0006-0000-0500-000004000000}">
      <text>
        <r>
          <rPr>
            <sz val="10"/>
            <rFont val="Arial"/>
            <family val="2"/>
          </rPr>
          <t>Fabless. CapEx ~5% of revenue at scale (test, packaging tooling, foundry prepay).</t>
        </r>
      </text>
    </comment>
    <comment ref="B27" authorId="0" shapeId="0" xr:uid="{00000000-0006-0000-0500-000005000000}">
      <text>
        <r>
          <rPr>
            <sz val="10"/>
            <rFont val="Arial"/>
            <family val="2"/>
          </rPr>
          <t>11% WACC. ~200bps premium over Qualcomm consolidated rate for datacenter venture risk: new competitive entry, hyperscaler concentration, Nvidia incumbency, prior failed attempt (Centriq 2018). Anchor customers (Meta multi-gen, Microsoft, 2 hyperscalers) partly offset. No beta.</t>
        </r>
      </text>
    </comment>
    <comment ref="B28" authorId="0" shapeId="0" xr:uid="{00000000-0006-0000-0500-000006000000}">
      <text>
        <r>
          <rPr>
            <sz val="10"/>
            <rFont val="Arial"/>
            <family val="2"/>
          </rPr>
          <t>15x EBIT exit. Premium datacenter franchise multiple, below 18x given 10% terminal growth and competition.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600-000001000000}">
      <text>
        <r>
          <rPr>
            <sz val="10"/>
            <rFont val="Arial"/>
            <family val="2"/>
          </rPr>
          <t>Revenue is Qualcomm Investor Day guidance: $5B FY27, $15B FY29 (CFO Palkhiwala). 2028 interpolated. 2030-2032 user extrapolation beyond guided horizon.</t>
        </r>
      </text>
    </comment>
    <comment ref="B9" authorId="0" shapeId="0" xr:uid="{00000000-0006-0000-0600-000002000000}">
      <text>
        <r>
          <rPr>
            <sz val="10"/>
            <rFont val="Arial"/>
            <family val="2"/>
          </rPr>
          <t>User EBIT ramp to 35%. Supported by FY29 EPS &gt;$18 guidance and CPU + custom ASIC + IP mix. 35% terminal is the optimistic end, above QCT ~30%.</t>
        </r>
      </text>
    </comment>
    <comment ref="C9" authorId="0" shapeId="0" xr:uid="{00000000-0006-0000-0600-000007000000}">
      <text>
        <r>
          <rPr>
            <sz val="10"/>
            <rFont val="Arial"/>
            <family val="2"/>
          </rPr>
          <t>Source: QCOM 10-K FY25 - QTL revenue $5,582mm actual. Huawei royalties already excluded since Q2 FY25. New China OEM + Transsion licenses signed.</t>
        </r>
      </text>
    </comment>
    <comment ref="D10" authorId="0" shapeId="0" xr:uid="{00000000-0006-0000-0600-000009000000}">
      <text>
        <r>
          <rPr>
            <sz val="10"/>
            <rFont val="Arial"/>
            <family val="2"/>
          </rPr>
          <t>Mature licensing; new China OEM licenses offset unit softness</t>
        </r>
      </text>
    </comment>
    <comment ref="C13" authorId="0" shapeId="0" xr:uid="{00000000-0006-0000-0600-000008000000}">
      <text>
        <r>
          <rPr>
            <sz val="10"/>
            <rFont val="Arial"/>
            <family val="2"/>
          </rPr>
          <t>Source: QCOM FY25 - QTL EBT 4,043 / rev 5,582 = 72.4% actual. Model prior 68% understated.</t>
        </r>
      </text>
    </comment>
    <comment ref="I13" authorId="0" shapeId="0" xr:uid="{00000000-0006-0000-0600-00000A000000}">
      <text>
        <r>
          <rPr>
            <sz val="10"/>
            <rFont val="Arial"/>
            <family val="2"/>
          </rPr>
          <t>Terminal QTL margin - slight erosion on mix/litigation cost</t>
        </r>
      </text>
    </comment>
    <comment ref="B16" authorId="0" shapeId="0" xr:uid="{00000000-0006-0000-0600-000003000000}">
      <text>
        <r>
          <rPr>
            <sz val="10"/>
            <rFont val="Arial"/>
            <family val="2"/>
          </rPr>
          <t>Fabless. D&amp;A scales toward ~4% of revenue.</t>
        </r>
      </text>
    </comment>
    <comment ref="B19" authorId="0" shapeId="0" xr:uid="{00000000-0006-0000-0600-000004000000}">
      <text>
        <r>
          <rPr>
            <sz val="10"/>
            <rFont val="Arial"/>
            <family val="2"/>
          </rPr>
          <t>Fabless. CapEx ~5% of revenue at scale (test, packaging tooling, foundry prepay).</t>
        </r>
      </text>
    </comment>
    <comment ref="B27" authorId="0" shapeId="0" xr:uid="{00000000-0006-0000-0600-000005000000}">
      <text>
        <r>
          <rPr>
            <sz val="10"/>
            <rFont val="Arial"/>
            <family val="2"/>
          </rPr>
          <t>11% WACC. ~200bps premium over Qualcomm consolidated rate for datacenter venture risk: new competitive entry, hyperscaler concentration, Nvidia incumbency, prior failed attempt (Centriq 2018). Anchor customers (Meta multi-gen, Microsoft, 2 hyperscalers) partly offset. No beta.</t>
        </r>
      </text>
    </comment>
    <comment ref="B28" authorId="0" shapeId="0" xr:uid="{00000000-0006-0000-0600-000006000000}">
      <text>
        <r>
          <rPr>
            <sz val="10"/>
            <rFont val="Arial"/>
            <family val="2"/>
          </rPr>
          <t>15x EBIT exit. Premium datacenter franchise multiple, below 18x given 10% terminal growth and competition.</t>
        </r>
      </text>
    </comment>
  </commentList>
</comments>
</file>

<file path=xl/sharedStrings.xml><?xml version="1.0" encoding="utf-8"?>
<sst xmlns="http://schemas.openxmlformats.org/spreadsheetml/2006/main" count="296" uniqueCount="86">
  <si>
    <t>QUALCOMM (QCOM)  |  Sum-of-the-Parts Valuation</t>
  </si>
  <si>
    <t>$ in millions, except per share</t>
  </si>
  <si>
    <t>Segment</t>
  </si>
  <si>
    <t>EV ($mm)</t>
  </si>
  <si>
    <t>WACC</t>
  </si>
  <si>
    <t>Exit</t>
  </si>
  <si>
    <t>FY26E Rev</t>
  </si>
  <si>
    <t>FY29E Rev</t>
  </si>
  <si>
    <t>FY29 EBIT %</t>
  </si>
  <si>
    <t>% of EV</t>
  </si>
  <si>
    <t>EV/FY29 Rev</t>
  </si>
  <si>
    <t xml:space="preserve">  AI Datacenter Chips</t>
  </si>
  <si>
    <t xml:space="preserve">  QCT Handsets</t>
  </si>
  <si>
    <t xml:space="preserve">  Automotive &amp; ADAS</t>
  </si>
  <si>
    <t xml:space="preserve">  Industrial &amp; Robotics</t>
  </si>
  <si>
    <t xml:space="preserve">  Personal AI &amp; XR</t>
  </si>
  <si>
    <t xml:space="preserve">  QTL Licensing</t>
  </si>
  <si>
    <t>Total Enterprise Value</t>
  </si>
  <si>
    <t>EQUITY BRIDGE</t>
  </si>
  <si>
    <t>Less: Net Debt / (Plus: Net Cash)</t>
  </si>
  <si>
    <t>Equity Value</t>
  </si>
  <si>
    <t>Diluted Shares (mm)</t>
  </si>
  <si>
    <t>PRICE TARGET</t>
  </si>
  <si>
    <t>Scenario</t>
  </si>
  <si>
    <t>Equity Value ($mm)</t>
  </si>
  <si>
    <t>Shares (mm)</t>
  </si>
  <si>
    <t>Value / Share</t>
  </si>
  <si>
    <t>Key Driver</t>
  </si>
  <si>
    <t>Bear</t>
  </si>
  <si>
    <t>DC ramp slips; Apple modem accelerates handset loss; QTL unit pressure</t>
  </si>
  <si>
    <t>Base</t>
  </si>
  <si>
    <t>Investor Day achieved: $40B non-handset FY29 ($15B DC, $10B Auto, $15B IoT)</t>
  </si>
  <si>
    <t>Bull</t>
  </si>
  <si>
    <t>DC &gt;$20B FY29; auto pipeline overconverts; margin upside</t>
  </si>
  <si>
    <t>Spot price $209 (Investor Day close, Jun 24 2026). Blue = input, green = segment link, black = calc.</t>
  </si>
  <si>
    <t xml:space="preserve">QCOM </t>
  </si>
  <si>
    <t>QUALCOMM (QCOM)  |  AI Datacenter Chips</t>
  </si>
  <si>
    <t>Sum-of-the-Parts DCF  |  $ in millions</t>
  </si>
  <si>
    <t>Discount Period (years)</t>
  </si>
  <si>
    <t>Year</t>
  </si>
  <si>
    <t>Fiscal Year (ending September)</t>
  </si>
  <si>
    <t>FY2026</t>
  </si>
  <si>
    <t>FY2027</t>
  </si>
  <si>
    <t>FY2028</t>
  </si>
  <si>
    <t>FY2029</t>
  </si>
  <si>
    <t>FY2030</t>
  </si>
  <si>
    <t>FY2031</t>
  </si>
  <si>
    <t>FY2032</t>
  </si>
  <si>
    <t>Status</t>
  </si>
  <si>
    <t>A/E</t>
  </si>
  <si>
    <t>E</t>
  </si>
  <si>
    <t>REVENUE</t>
  </si>
  <si>
    <t>Datacenter Revenue ($mm)</t>
  </si>
  <si>
    <t xml:space="preserve">  Growth (% YoY, calc)</t>
  </si>
  <si>
    <t>PROFITABILITY</t>
  </si>
  <si>
    <t xml:space="preserve">  EBIT Margin (%)</t>
  </si>
  <si>
    <t xml:space="preserve">  EBIT ($mm)</t>
  </si>
  <si>
    <t xml:space="preserve">  Effective Tax Rate (%)</t>
  </si>
  <si>
    <t xml:space="preserve">  NOPAT ($mm)</t>
  </si>
  <si>
    <t>REINVESTMENT</t>
  </si>
  <si>
    <t xml:space="preserve">  D&amp;A (% of revenue)</t>
  </si>
  <si>
    <t xml:space="preserve">  D&amp;A ($mm)</t>
  </si>
  <si>
    <t xml:space="preserve">  CapEx (% of revenue)</t>
  </si>
  <si>
    <t xml:space="preserve">  CapEx ($mm)</t>
  </si>
  <si>
    <t xml:space="preserve">  Change in NWC (% of revenue)</t>
  </si>
  <si>
    <t>FREE CASH FLOW</t>
  </si>
  <si>
    <t xml:space="preserve">  Unlevered FCF ($mm)</t>
  </si>
  <si>
    <t xml:space="preserve">  Discounted FCF ($mm)</t>
  </si>
  <si>
    <t>VALUATION</t>
  </si>
  <si>
    <t xml:space="preserve">  WACC (%)</t>
  </si>
  <si>
    <t xml:space="preserve">  Exit EBIT Multiple</t>
  </si>
  <si>
    <t xml:space="preserve">  PV of Terminal Value ($mm)</t>
  </si>
  <si>
    <t xml:space="preserve">  SEGMENT ENTERPRISE VALUE ($mm)</t>
  </si>
  <si>
    <t>QUALCOMM (QCOM)  |  QCT Mobile Handsets</t>
  </si>
  <si>
    <t>Handsets Revenue ($mm)</t>
  </si>
  <si>
    <t xml:space="preserve">  Growth (% YoY)</t>
  </si>
  <si>
    <t>QUALCOMM (QCOM)  |  Automotive &amp; ADAS</t>
  </si>
  <si>
    <t>Automotive Revenue ($mm)</t>
  </si>
  <si>
    <t>QUALCOMM (QCOM)  |  Industrial, Networking &amp; Robotics</t>
  </si>
  <si>
    <t>Industrial IoT Revenue ($mm)</t>
  </si>
  <si>
    <t>QUALCOMM (QCOM)  |  Personal AI &amp; XR Compute</t>
  </si>
  <si>
    <t>Personal AI / XR Revenue ($mm)</t>
  </si>
  <si>
    <t>QUALCOMM (QCOM)  |  Technology Licensing</t>
  </si>
  <si>
    <t>Licensing Revenue ($mm)</t>
  </si>
  <si>
    <t>Share Price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</si>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</sst>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mm\ dd&quot;, &quot;yyyy"/>
    <numFmt numFmtId="165" formatCode="#,##0;\(#,##0\);\-"/>
    <numFmt numFmtId="166" formatCode="0.0%;\(0.0%\);\-"/>
    <numFmt numFmtId="167" formatCode="0.0\x"/>
    <numFmt numFmtId="168" formatCode="\$#,##0"/>
    <numFmt numFmtId="169" formatCode="_(* #,##0_);_(* \(#,##0\);_(* \-??_);_(@_)"/>
    <numFmt numFmtId="170" formatCode="0.0%"/>
  </numFmts>
  <fonts count="28" x14ac:knownFonts="1">
    <font>
      <sz val="12"/>
      <color theme="1"/>
      <name val="Arial"/>
      <family val="2"/>
      <charset val="1"/>
    </font>
    <font>
      <sz val="10"/>
      <name val="Arial"/>
    </font>
    <font>
      <sz val="9"/>
      <color rgb="FF000000"/>
      <name val="Calibri"/>
      <charset val="1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i/>
      <sz val="8"/>
      <color rgb="FF888888"/>
      <name val="Calibri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sz val="9"/>
      <color rgb="FF404040"/>
      <name val="Arial"/>
      <charset val="1"/>
    </font>
    <font>
      <i/>
      <sz val="8"/>
      <color rgb="FF808080"/>
      <name val="Arial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i/>
      <sz val="9"/>
      <color rgb="FF808080"/>
      <name val="Arial"/>
      <charset val="1"/>
    </font>
    <font>
      <b/>
      <sz val="10"/>
      <color rgb="FF000000"/>
      <name val="Arial"/>
      <charset val="1"/>
    </font>
    <font>
      <i/>
      <sz val="10"/>
      <color rgb="FF808080"/>
      <name val="Arial"/>
      <charset val="1"/>
    </font>
    <font>
      <b/>
      <sz val="11"/>
      <color theme="1"/>
      <name val="Arial"/>
      <family val="2"/>
      <charset val="1"/>
    </font>
    <font>
      <i/>
      <sz val="11"/>
      <color theme="1"/>
      <name val="Arial"/>
      <family val="2"/>
      <charset val="1"/>
    </font>
    <font>
      <b/>
      <sz val="7"/>
      <color rgb="FF888888"/>
      <name val="Calibri"/>
      <charset val="1"/>
    </font>
    <font>
      <b/>
      <sz val="8"/>
      <color rgb="FF000000"/>
      <name val="Calibri"/>
      <charset val="1"/>
    </font>
    <font>
      <sz val="8"/>
      <color rgb="FF000000"/>
      <name val="Calibri"/>
      <charset val="1"/>
    </font>
    <font>
      <sz val="10"/>
      <color rgb="FF000000"/>
      <name val="Arial"/>
      <charset val="1"/>
    </font>
    <font>
      <sz val="8"/>
      <color rgb="FF0070C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CCCC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CCCCCC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73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2" fillId="2" borderId="1" xfId="0" applyFont="1" applyFill="1" applyBorder="1"/>
    <xf numFmtId="164" fontId="5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left" vertical="center"/>
    </xf>
    <xf numFmtId="165" fontId="8" fillId="0" borderId="3" xfId="0" applyNumberFormat="1" applyFont="1" applyBorder="1" applyAlignment="1">
      <alignment horizontal="right" vertical="center"/>
    </xf>
    <xf numFmtId="166" fontId="8" fillId="0" borderId="3" xfId="0" applyNumberFormat="1" applyFont="1" applyBorder="1" applyAlignment="1">
      <alignment horizontal="right" vertical="center"/>
    </xf>
    <xf numFmtId="167" fontId="8" fillId="0" borderId="3" xfId="0" applyNumberFormat="1" applyFont="1" applyBorder="1" applyAlignment="1">
      <alignment horizontal="right" vertical="center"/>
    </xf>
    <xf numFmtId="166" fontId="7" fillId="0" borderId="3" xfId="0" applyNumberFormat="1" applyFont="1" applyBorder="1" applyAlignment="1">
      <alignment horizontal="right" vertical="center"/>
    </xf>
    <xf numFmtId="167" fontId="7" fillId="0" borderId="3" xfId="0" applyNumberFormat="1" applyFont="1" applyBorder="1" applyAlignment="1">
      <alignment horizontal="right" vertical="center"/>
    </xf>
    <xf numFmtId="0" fontId="9" fillId="4" borderId="4" xfId="0" applyFont="1" applyFill="1" applyBorder="1" applyAlignment="1">
      <alignment horizontal="left" vertical="center"/>
    </xf>
    <xf numFmtId="165" fontId="9" fillId="4" borderId="4" xfId="0" applyNumberFormat="1" applyFont="1" applyFill="1" applyBorder="1" applyAlignment="1">
      <alignment horizontal="right" vertical="center"/>
    </xf>
    <xf numFmtId="0" fontId="2" fillId="0" borderId="5" xfId="0" applyFont="1" applyBorder="1"/>
    <xf numFmtId="0" fontId="10" fillId="5" borderId="6" xfId="0" applyFont="1" applyFill="1" applyBorder="1" applyAlignment="1">
      <alignment horizontal="left" vertical="center"/>
    </xf>
    <xf numFmtId="0" fontId="10" fillId="5" borderId="6" xfId="0" applyFont="1" applyFill="1" applyBorder="1"/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12" fillId="4" borderId="7" xfId="0" applyFont="1" applyFill="1" applyBorder="1" applyAlignment="1">
      <alignment horizontal="left" vertical="center"/>
    </xf>
    <xf numFmtId="165" fontId="9" fillId="4" borderId="7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0" fontId="6" fillId="3" borderId="8" xfId="0" applyFont="1" applyFill="1" applyBorder="1" applyAlignment="1">
      <alignment horizontal="left" wrapText="1"/>
    </xf>
    <xf numFmtId="0" fontId="13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14" fillId="0" borderId="0" xfId="0" applyFont="1" applyAlignment="1">
      <alignment wrapText="1"/>
    </xf>
    <xf numFmtId="0" fontId="13" fillId="4" borderId="0" xfId="0" applyFont="1" applyFill="1" applyAlignment="1">
      <alignment horizontal="left" vertical="center"/>
    </xf>
    <xf numFmtId="165" fontId="7" fillId="4" borderId="0" xfId="0" applyNumberFormat="1" applyFont="1" applyFill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168" fontId="9" fillId="4" borderId="0" xfId="0" applyNumberFormat="1" applyFont="1" applyFill="1" applyAlignment="1">
      <alignment horizontal="right" vertical="center"/>
    </xf>
    <xf numFmtId="0" fontId="15" fillId="0" borderId="0" xfId="0" applyFont="1"/>
    <xf numFmtId="0" fontId="17" fillId="0" borderId="0" xfId="0" applyFont="1"/>
    <xf numFmtId="14" fontId="4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/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2" fontId="18" fillId="0" borderId="0" xfId="0" applyNumberFormat="1" applyFont="1" applyAlignment="1">
      <alignment horizontal="right"/>
    </xf>
    <xf numFmtId="0" fontId="19" fillId="0" borderId="0" xfId="0" applyFont="1"/>
    <xf numFmtId="1" fontId="12" fillId="0" borderId="0" xfId="0" applyNumberFormat="1" applyFont="1" applyAlignment="1">
      <alignment horizontal="right"/>
    </xf>
    <xf numFmtId="0" fontId="19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right"/>
    </xf>
    <xf numFmtId="0" fontId="20" fillId="0" borderId="0" xfId="0" applyFont="1"/>
    <xf numFmtId="169" fontId="18" fillId="0" borderId="0" xfId="0" applyNumberFormat="1" applyFont="1" applyAlignment="1">
      <alignment horizontal="right"/>
    </xf>
    <xf numFmtId="0" fontId="21" fillId="0" borderId="0" xfId="0" applyFont="1"/>
    <xf numFmtId="170" fontId="10" fillId="5" borderId="6" xfId="0" applyNumberFormat="1" applyFont="1" applyFill="1" applyBorder="1"/>
    <xf numFmtId="9" fontId="10" fillId="5" borderId="6" xfId="0" applyNumberFormat="1" applyFont="1" applyFill="1" applyBorder="1"/>
    <xf numFmtId="0" fontId="22" fillId="0" borderId="0" xfId="0" applyFont="1"/>
    <xf numFmtId="0" fontId="23" fillId="0" borderId="9" xfId="0" applyFont="1" applyBorder="1" applyAlignment="1">
      <alignment horizontal="left" vertical="center"/>
    </xf>
    <xf numFmtId="165" fontId="2" fillId="0" borderId="9" xfId="0" applyNumberFormat="1" applyFont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/>
    </xf>
    <xf numFmtId="0" fontId="25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right"/>
    </xf>
    <xf numFmtId="166" fontId="26" fillId="0" borderId="0" xfId="0" applyNumberFormat="1" applyFont="1" applyAlignment="1">
      <alignment horizontal="right"/>
    </xf>
    <xf numFmtId="169" fontId="10" fillId="5" borderId="6" xfId="0" applyNumberFormat="1" applyFont="1" applyFill="1" applyBorder="1"/>
    <xf numFmtId="170" fontId="2" fillId="0" borderId="9" xfId="0" applyNumberFormat="1" applyFont="1" applyBorder="1" applyAlignment="1">
      <alignment horizontal="right" vertical="center"/>
    </xf>
    <xf numFmtId="165" fontId="26" fillId="0" borderId="0" xfId="0" applyNumberFormat="1" applyFont="1" applyAlignment="1">
      <alignment horizontal="right"/>
    </xf>
    <xf numFmtId="170" fontId="27" fillId="0" borderId="0" xfId="0" applyNumberFormat="1" applyFont="1" applyAlignment="1">
      <alignment horizontal="right" vertical="center"/>
    </xf>
    <xf numFmtId="9" fontId="2" fillId="0" borderId="9" xfId="0" applyNumberFormat="1" applyFont="1" applyBorder="1" applyAlignment="1">
      <alignment horizontal="right" vertical="center"/>
    </xf>
    <xf numFmtId="167" fontId="11" fillId="0" borderId="0" xfId="0" applyNumberFormat="1" applyFont="1" applyAlignment="1">
      <alignment horizontal="right"/>
    </xf>
    <xf numFmtId="167" fontId="2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0" xfId="0" applyFont="1" applyBorder="1"/>
    <xf numFmtId="43" fontId="1" fillId="0" borderId="0" xfId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70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88888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7" sqref="C17"/>
    </sheetView>
  </sheetViews>
  <sheetFormatPr defaultColWidth="8.5546875" defaultRowHeight="15" x14ac:dyDescent="0.2"/>
  <cols>
    <col min="1" max="1" width="2" customWidth="1"/>
    <col min="2" max="2" width="30" customWidth="1"/>
    <col min="3" max="9" width="13" customWidth="1"/>
    <col min="10" max="10" width="11" customWidth="1"/>
    <col min="11" max="11" width="1" customWidth="1"/>
  </cols>
  <sheetData>
    <row r="1" spans="1:10" ht="15.75" customHeight="1" x14ac:dyDescent="0.2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5"/>
    </row>
    <row r="2" spans="1:10" ht="6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27.75" customHeight="1" x14ac:dyDescent="0.2">
      <c r="A3" s="6"/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</row>
    <row r="4" spans="1:10" ht="13.5" customHeight="1" x14ac:dyDescent="0.2">
      <c r="A4" s="6"/>
      <c r="B4" s="9" t="s">
        <v>11</v>
      </c>
      <c r="C4" s="10">
        <f>DC!C35</f>
        <v>58153.595182567507</v>
      </c>
      <c r="D4" s="11">
        <f>DC!C31</f>
        <v>0.11</v>
      </c>
      <c r="E4" s="12">
        <f>DC!C32</f>
        <v>13</v>
      </c>
      <c r="F4" s="10">
        <f>DC!C9</f>
        <v>100</v>
      </c>
      <c r="G4" s="10">
        <f>DC!F9</f>
        <v>15000</v>
      </c>
      <c r="H4" s="11">
        <f>DC!F13</f>
        <v>0.25</v>
      </c>
      <c r="I4" s="13">
        <f>C4/C10</f>
        <v>0.253018053653363</v>
      </c>
      <c r="J4" s="14">
        <f t="shared" ref="J4:J9" si="0">IFERROR(C4/G4,"-")</f>
        <v>3.8769063455045005</v>
      </c>
    </row>
    <row r="5" spans="1:10" ht="13.5" customHeight="1" x14ac:dyDescent="0.2">
      <c r="A5" s="6"/>
      <c r="B5" s="9" t="s">
        <v>12</v>
      </c>
      <c r="C5" s="10">
        <f>Handsets!C35</f>
        <v>56721.523682796455</v>
      </c>
      <c r="D5" s="11">
        <f>Handsets!C31</f>
        <v>0.1</v>
      </c>
      <c r="E5" s="12">
        <f>Handsets!C32</f>
        <v>10</v>
      </c>
      <c r="F5" s="10">
        <f>Handsets!C9</f>
        <v>27500</v>
      </c>
      <c r="G5" s="10">
        <f>Handsets!F9</f>
        <v>24583.68</v>
      </c>
      <c r="H5" s="11">
        <f>Handsets!F13</f>
        <v>0.26</v>
      </c>
      <c r="I5" s="13">
        <f>C5/C10</f>
        <v>0.24678731344844543</v>
      </c>
      <c r="J5" s="14">
        <f t="shared" si="0"/>
        <v>2.3072836809947272</v>
      </c>
    </row>
    <row r="6" spans="1:10" ht="13.5" customHeight="1" x14ac:dyDescent="0.2">
      <c r="A6" s="6"/>
      <c r="B6" s="9" t="s">
        <v>13</v>
      </c>
      <c r="C6" s="10">
        <f>Auto!C35</f>
        <v>32577.765294627156</v>
      </c>
      <c r="D6" s="11">
        <f>Auto!C31</f>
        <v>0.11</v>
      </c>
      <c r="E6" s="12">
        <f>Auto!C32</f>
        <v>15</v>
      </c>
      <c r="F6" s="10">
        <f>Auto!C9</f>
        <v>4500</v>
      </c>
      <c r="G6" s="10">
        <f>Auto!F9</f>
        <v>9962.5500000000011</v>
      </c>
      <c r="H6" s="11">
        <f>Auto!F13</f>
        <v>0.2</v>
      </c>
      <c r="I6" s="13">
        <f>C6/C10</f>
        <v>0.1417412412997906</v>
      </c>
      <c r="J6" s="14">
        <f t="shared" si="0"/>
        <v>3.2700227647165789</v>
      </c>
    </row>
    <row r="7" spans="1:10" ht="13.5" customHeight="1" x14ac:dyDescent="0.2">
      <c r="A7" s="6"/>
      <c r="B7" s="9" t="s">
        <v>14</v>
      </c>
      <c r="C7" s="10">
        <f>IoT_Industrial!C35</f>
        <v>30427.350457288401</v>
      </c>
      <c r="D7" s="11">
        <f>IoT_Industrial!C31</f>
        <v>0.11</v>
      </c>
      <c r="E7" s="12">
        <f>IoT_Industrial!C32</f>
        <v>14</v>
      </c>
      <c r="F7" s="10">
        <f>IoT_Industrial!C9</f>
        <v>3200</v>
      </c>
      <c r="G7" s="10">
        <f>IoT_Industrial!F9</f>
        <v>8529.92</v>
      </c>
      <c r="H7" s="11">
        <f>IoT_Industrial!F13</f>
        <v>0.24</v>
      </c>
      <c r="I7" s="13">
        <f>C7/C10</f>
        <v>0.13238509100533957</v>
      </c>
      <c r="J7" s="14">
        <f t="shared" si="0"/>
        <v>3.5671319845072875</v>
      </c>
    </row>
    <row r="8" spans="1:10" ht="13.5" customHeight="1" x14ac:dyDescent="0.2">
      <c r="A8" s="6"/>
      <c r="B8" s="9" t="s">
        <v>15</v>
      </c>
      <c r="C8" s="10">
        <f>IoT_PersonalAI!C35</f>
        <v>16868.329245723264</v>
      </c>
      <c r="D8" s="11">
        <f>IoT_PersonalAI!C31</f>
        <v>0.13</v>
      </c>
      <c r="E8" s="12">
        <f>IoT_PersonalAI!C32</f>
        <v>14</v>
      </c>
      <c r="F8" s="10">
        <f>IoT_PersonalAI!C9</f>
        <v>2400</v>
      </c>
      <c r="G8" s="10">
        <f>IoT_PersonalAI!F9</f>
        <v>6333.6</v>
      </c>
      <c r="H8" s="11">
        <f>IoT_PersonalAI!F13</f>
        <v>0.18</v>
      </c>
      <c r="I8" s="13">
        <f>C8/C10</f>
        <v>7.3391710705727808E-2</v>
      </c>
      <c r="J8" s="14">
        <f t="shared" si="0"/>
        <v>2.6633082679239708</v>
      </c>
    </row>
    <row r="9" spans="1:10" ht="13.5" customHeight="1" x14ac:dyDescent="0.2">
      <c r="A9" s="6"/>
      <c r="B9" s="9" t="s">
        <v>16</v>
      </c>
      <c r="C9" s="10">
        <f>QTL!C35</f>
        <v>35091.142604103501</v>
      </c>
      <c r="D9" s="11">
        <f>QTL!C31</f>
        <v>0.09</v>
      </c>
      <c r="E9" s="12">
        <f>QTL!C32</f>
        <v>10</v>
      </c>
      <c r="F9" s="10">
        <f>QTL!C9</f>
        <v>5550</v>
      </c>
      <c r="G9" s="10">
        <f>QTL!F9</f>
        <v>5330.7638999999999</v>
      </c>
      <c r="H9" s="11">
        <f>QTL!F13</f>
        <v>0.71</v>
      </c>
      <c r="I9" s="13">
        <f>C9/C10</f>
        <v>0.15267658988733349</v>
      </c>
      <c r="J9" s="14">
        <f t="shared" si="0"/>
        <v>6.5827606066184066</v>
      </c>
    </row>
    <row r="10" spans="1:10" ht="15" customHeight="1" x14ac:dyDescent="0.2">
      <c r="A10" s="6"/>
      <c r="B10" s="15" t="s">
        <v>17</v>
      </c>
      <c r="C10" s="16">
        <f>SUM(C4:C9)</f>
        <v>229839.7064671063</v>
      </c>
      <c r="D10" s="17"/>
      <c r="E10" s="17"/>
      <c r="F10" s="17"/>
      <c r="G10" s="17"/>
      <c r="H10" s="17"/>
      <c r="I10" s="17"/>
      <c r="J10" s="17"/>
    </row>
    <row r="11" spans="1:10" ht="9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2.75" customHeight="1" x14ac:dyDescent="0.2">
      <c r="A12" s="6"/>
      <c r="B12" s="18" t="s">
        <v>18</v>
      </c>
      <c r="C12" s="19"/>
      <c r="D12" s="6"/>
      <c r="E12" s="6"/>
      <c r="F12" s="6"/>
      <c r="G12" s="6"/>
      <c r="H12" s="6"/>
      <c r="I12" s="6"/>
      <c r="J12" s="6"/>
    </row>
    <row r="13" spans="1:10" ht="12.75" customHeight="1" x14ac:dyDescent="0.2">
      <c r="A13" s="6"/>
      <c r="B13" s="20" t="s">
        <v>84</v>
      </c>
      <c r="C13" s="72">
        <v>188</v>
      </c>
      <c r="D13" s="6"/>
      <c r="E13" s="6"/>
      <c r="F13" s="6"/>
      <c r="G13" s="6"/>
      <c r="H13" s="6"/>
      <c r="I13" s="6"/>
      <c r="J13" s="6"/>
    </row>
    <row r="14" spans="1:10" ht="13.5" customHeight="1" x14ac:dyDescent="0.2">
      <c r="A14" s="6"/>
      <c r="B14" s="20" t="s">
        <v>17</v>
      </c>
      <c r="C14" s="21">
        <f>C10</f>
        <v>229839.7064671063</v>
      </c>
      <c r="D14" s="6"/>
      <c r="E14" s="6"/>
      <c r="F14" s="6"/>
      <c r="G14" s="6"/>
      <c r="H14" s="6"/>
      <c r="I14" s="6"/>
      <c r="J14" s="6"/>
    </row>
    <row r="15" spans="1:10" ht="13.5" customHeight="1" x14ac:dyDescent="0.2">
      <c r="A15" s="6"/>
      <c r="B15" s="20" t="s">
        <v>19</v>
      </c>
      <c r="C15" s="22">
        <v>-6000</v>
      </c>
      <c r="D15" s="6"/>
      <c r="E15" s="6"/>
      <c r="F15" s="6"/>
      <c r="G15" s="6"/>
      <c r="H15" s="6"/>
      <c r="I15" s="6"/>
      <c r="J15" s="6"/>
    </row>
    <row r="16" spans="1:10" ht="13.5" customHeight="1" x14ac:dyDescent="0.2">
      <c r="A16" s="6"/>
      <c r="B16" s="23" t="s">
        <v>20</v>
      </c>
      <c r="C16" s="24">
        <f>C14-C15</f>
        <v>235839.7064671063</v>
      </c>
      <c r="D16" s="6"/>
      <c r="E16" s="6"/>
      <c r="F16" s="6"/>
      <c r="G16" s="6"/>
      <c r="H16" s="6"/>
      <c r="I16" s="6"/>
      <c r="J16" s="6"/>
    </row>
    <row r="17" spans="1:10" ht="13.5" customHeight="1" x14ac:dyDescent="0.2">
      <c r="A17" s="6"/>
      <c r="B17" s="20" t="s">
        <v>21</v>
      </c>
      <c r="C17" s="25">
        <v>1340</v>
      </c>
      <c r="D17" s="6"/>
      <c r="E17" s="6"/>
      <c r="F17" s="6"/>
      <c r="G17" s="6"/>
      <c r="H17" s="6"/>
      <c r="I17" s="6"/>
      <c r="J17" s="6"/>
    </row>
    <row r="18" spans="1:10" ht="9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2.75" customHeight="1" x14ac:dyDescent="0.2">
      <c r="A19" s="6"/>
      <c r="B19" s="18" t="s">
        <v>22</v>
      </c>
      <c r="C19" s="19"/>
      <c r="D19" s="19"/>
      <c r="E19" s="19"/>
      <c r="F19" s="19"/>
      <c r="G19" s="19"/>
      <c r="H19" s="6"/>
      <c r="I19" s="6"/>
      <c r="J19" s="6"/>
    </row>
    <row r="20" spans="1:10" ht="24" customHeight="1" x14ac:dyDescent="0.2">
      <c r="A20" s="6"/>
      <c r="B20" s="26" t="s">
        <v>23</v>
      </c>
      <c r="C20" s="26" t="s">
        <v>24</v>
      </c>
      <c r="D20" s="26" t="s">
        <v>25</v>
      </c>
      <c r="E20" s="26" t="s">
        <v>26</v>
      </c>
      <c r="F20" s="26" t="s">
        <v>85</v>
      </c>
      <c r="G20" s="26" t="s">
        <v>27</v>
      </c>
      <c r="H20" s="6"/>
      <c r="I20" s="6"/>
      <c r="J20" s="6"/>
    </row>
    <row r="21" spans="1:10" ht="27.75" customHeight="1" x14ac:dyDescent="0.2">
      <c r="A21" s="6"/>
      <c r="B21" s="27" t="s">
        <v>28</v>
      </c>
      <c r="C21" s="21">
        <f>C16*0.7</f>
        <v>165087.79452697441</v>
      </c>
      <c r="D21" s="28">
        <f>C17</f>
        <v>1340</v>
      </c>
      <c r="E21" s="29">
        <f>C21/D21</f>
        <v>123.1998466619212</v>
      </c>
      <c r="F21" s="30">
        <f>E21/$C$13-1</f>
        <v>-0.34468166669190847</v>
      </c>
      <c r="G21" s="31" t="s">
        <v>29</v>
      </c>
      <c r="H21" s="6"/>
      <c r="I21" s="6"/>
      <c r="J21" s="6"/>
    </row>
    <row r="22" spans="1:10" ht="27.75" customHeight="1" x14ac:dyDescent="0.2">
      <c r="A22" s="6"/>
      <c r="B22" s="32" t="s">
        <v>30</v>
      </c>
      <c r="C22" s="33">
        <f>C16*1</f>
        <v>235839.7064671063</v>
      </c>
      <c r="D22" s="34">
        <f>C17</f>
        <v>1340</v>
      </c>
      <c r="E22" s="35">
        <f>C22/D22</f>
        <v>175.99978094560171</v>
      </c>
      <c r="F22" s="30">
        <f t="shared" ref="F22:F23" si="1">E22/$C$13-1</f>
        <v>-6.3830952417012199E-2</v>
      </c>
      <c r="G22" s="31" t="s">
        <v>31</v>
      </c>
      <c r="H22" s="6"/>
      <c r="I22" s="6"/>
      <c r="J22" s="6"/>
    </row>
    <row r="23" spans="1:10" ht="27.75" customHeight="1" x14ac:dyDescent="0.2">
      <c r="A23" s="6"/>
      <c r="B23" s="27" t="s">
        <v>32</v>
      </c>
      <c r="C23" s="21">
        <f>C16*1.25</f>
        <v>294799.63308388286</v>
      </c>
      <c r="D23" s="28">
        <f>C17</f>
        <v>1340</v>
      </c>
      <c r="E23" s="29">
        <f>C23/D23</f>
        <v>219.99972618200212</v>
      </c>
      <c r="F23" s="30">
        <f t="shared" si="1"/>
        <v>0.17021130947873475</v>
      </c>
      <c r="G23" s="31" t="s">
        <v>33</v>
      </c>
      <c r="H23" s="6"/>
      <c r="I23" s="6"/>
      <c r="J23" s="6"/>
    </row>
    <row r="24" spans="1:10" ht="12" customHeight="1" x14ac:dyDescent="0.2">
      <c r="A24" s="6"/>
      <c r="B24" s="36" t="s">
        <v>34</v>
      </c>
      <c r="C24" s="6"/>
      <c r="D24" s="6"/>
      <c r="E24" s="6"/>
      <c r="F24" s="6"/>
      <c r="G24" s="6"/>
      <c r="H24" s="6"/>
      <c r="I24" s="6"/>
      <c r="J24" s="6"/>
    </row>
    <row r="25" spans="1:10" ht="13.5" customHeight="1" x14ac:dyDescent="0.2"/>
    <row r="26" spans="1:10" ht="13.5" customHeight="1" x14ac:dyDescent="0.2"/>
    <row r="27" spans="1:10" ht="13.5" customHeight="1" x14ac:dyDescent="0.2"/>
    <row r="28" spans="1:10" ht="13.5" customHeight="1" x14ac:dyDescent="0.2"/>
    <row r="29" spans="1:10" ht="13.5" customHeight="1" x14ac:dyDescent="0.2"/>
    <row r="30" spans="1:10" ht="13.5" customHeight="1" x14ac:dyDescent="0.2"/>
    <row r="31" spans="1:10" ht="13.5" customHeight="1" x14ac:dyDescent="0.2"/>
    <row r="32" spans="1:10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2" defaultRowHeight="14.25" x14ac:dyDescent="0.2"/>
  <cols>
    <col min="1" max="1" width="2" style="37"/>
    <col min="2" max="2" width="30" style="37" customWidth="1"/>
    <col min="3" max="9" width="10" style="37" customWidth="1"/>
    <col min="10" max="16384" width="2" style="37"/>
  </cols>
  <sheetData>
    <row r="1" spans="1:10" ht="15.75" customHeight="1" x14ac:dyDescent="0.2">
      <c r="A1" s="1" t="s">
        <v>35</v>
      </c>
      <c r="B1" s="2" t="s">
        <v>36</v>
      </c>
      <c r="C1" s="38" t="s">
        <v>37</v>
      </c>
      <c r="D1" s="39">
        <f ca="1">TODAY()</f>
        <v>46200</v>
      </c>
      <c r="E1" s="4"/>
      <c r="F1" s="4"/>
      <c r="G1" s="4"/>
      <c r="H1" s="4"/>
      <c r="I1" s="5">
        <f ca="1">TODAY()</f>
        <v>46200</v>
      </c>
      <c r="J1" s="1"/>
    </row>
    <row r="2" spans="1:10" ht="6" customHeight="1" x14ac:dyDescent="0.2">
      <c r="A2" s="6"/>
      <c r="B2" s="40"/>
      <c r="C2" s="6"/>
      <c r="D2" s="6"/>
      <c r="E2" s="6"/>
      <c r="F2" s="6"/>
      <c r="G2" s="6"/>
      <c r="H2" s="6"/>
      <c r="I2" s="6"/>
      <c r="J2" s="6"/>
    </row>
    <row r="3" spans="1:10" ht="14.25" customHeight="1" x14ac:dyDescent="0.2">
      <c r="A3" s="6"/>
      <c r="B3" s="41" t="s">
        <v>38</v>
      </c>
      <c r="C3" s="42">
        <v>0.51329999999999998</v>
      </c>
      <c r="D3" s="42">
        <f t="shared" ref="D3:I4" si="0">C3+1</f>
        <v>1.5133000000000001</v>
      </c>
      <c r="E3" s="42">
        <f t="shared" si="0"/>
        <v>2.5133000000000001</v>
      </c>
      <c r="F3" s="42">
        <f t="shared" si="0"/>
        <v>3.5133000000000001</v>
      </c>
      <c r="G3" s="42">
        <f t="shared" si="0"/>
        <v>4.5133000000000001</v>
      </c>
      <c r="H3" s="42">
        <f t="shared" si="0"/>
        <v>5.5133000000000001</v>
      </c>
      <c r="I3" s="42">
        <f t="shared" si="0"/>
        <v>6.5133000000000001</v>
      </c>
      <c r="J3" s="6"/>
    </row>
    <row r="4" spans="1:10" ht="14.25" customHeight="1" x14ac:dyDescent="0.2">
      <c r="A4" s="6"/>
      <c r="B4" s="43" t="s">
        <v>39</v>
      </c>
      <c r="C4" s="44">
        <v>2026</v>
      </c>
      <c r="D4" s="44">
        <f t="shared" si="0"/>
        <v>2027</v>
      </c>
      <c r="E4" s="44">
        <f t="shared" si="0"/>
        <v>2028</v>
      </c>
      <c r="F4" s="44">
        <f t="shared" si="0"/>
        <v>2029</v>
      </c>
      <c r="G4" s="44">
        <f t="shared" si="0"/>
        <v>2030</v>
      </c>
      <c r="H4" s="44">
        <f t="shared" si="0"/>
        <v>2031</v>
      </c>
      <c r="I4" s="44">
        <f t="shared" si="0"/>
        <v>2032</v>
      </c>
      <c r="J4" s="6"/>
    </row>
    <row r="5" spans="1:10" ht="15" customHeight="1" x14ac:dyDescent="0.2">
      <c r="A5" s="6"/>
      <c r="B5" s="45" t="s">
        <v>40</v>
      </c>
      <c r="C5" s="46" t="s">
        <v>41</v>
      </c>
      <c r="D5" s="46" t="s">
        <v>42</v>
      </c>
      <c r="E5" s="46" t="s">
        <v>43</v>
      </c>
      <c r="F5" s="46" t="s">
        <v>44</v>
      </c>
      <c r="G5" s="46" t="s">
        <v>45</v>
      </c>
      <c r="H5" s="46" t="s">
        <v>46</v>
      </c>
      <c r="I5" s="46" t="s">
        <v>47</v>
      </c>
      <c r="J5" s="6"/>
    </row>
    <row r="6" spans="1:10" s="49" customFormat="1" ht="9.75" customHeight="1" x14ac:dyDescent="0.25">
      <c r="A6" s="6"/>
      <c r="B6" s="47" t="s">
        <v>48</v>
      </c>
      <c r="C6" s="48" t="s">
        <v>49</v>
      </c>
      <c r="D6" s="48" t="s">
        <v>50</v>
      </c>
      <c r="E6" s="48" t="s">
        <v>50</v>
      </c>
      <c r="F6" s="48" t="s">
        <v>50</v>
      </c>
      <c r="G6" s="48" t="s">
        <v>50</v>
      </c>
      <c r="H6" s="48" t="s">
        <v>50</v>
      </c>
      <c r="I6" s="48" t="s">
        <v>50</v>
      </c>
      <c r="J6" s="6"/>
    </row>
    <row r="7" spans="1:10" s="52" customFormat="1" ht="6" customHeight="1" x14ac:dyDescent="0.2">
      <c r="A7" s="6"/>
      <c r="B7" s="18" t="s">
        <v>51</v>
      </c>
      <c r="C7" s="19"/>
      <c r="D7" s="50"/>
      <c r="E7" s="51"/>
      <c r="F7" s="51"/>
      <c r="G7" s="51"/>
      <c r="H7" s="51"/>
      <c r="I7" s="51"/>
      <c r="J7" s="6"/>
    </row>
    <row r="8" spans="1:10" s="52" customFormat="1" ht="12.75" customHeight="1" x14ac:dyDescent="0.2">
      <c r="A8" s="6"/>
      <c r="B8" s="53"/>
      <c r="C8" s="54"/>
      <c r="D8" s="54"/>
      <c r="E8" s="54"/>
      <c r="F8" s="54"/>
      <c r="G8" s="54"/>
      <c r="H8" s="54"/>
      <c r="I8" s="54"/>
      <c r="J8" s="6"/>
    </row>
    <row r="9" spans="1:10" s="52" customFormat="1" ht="13.5" customHeight="1" x14ac:dyDescent="0.2">
      <c r="A9" s="6"/>
      <c r="B9" s="55" t="s">
        <v>52</v>
      </c>
      <c r="C9" s="56">
        <v>100</v>
      </c>
      <c r="D9" s="56">
        <v>5000</v>
      </c>
      <c r="E9" s="56">
        <v>10000</v>
      </c>
      <c r="F9" s="56">
        <v>15000</v>
      </c>
      <c r="G9" s="56">
        <v>19500</v>
      </c>
      <c r="H9" s="56">
        <v>23790</v>
      </c>
      <c r="I9" s="56">
        <v>27359</v>
      </c>
      <c r="J9" s="6"/>
    </row>
    <row r="10" spans="1:10" s="49" customFormat="1" ht="13.5" customHeight="1" x14ac:dyDescent="0.25">
      <c r="A10" s="6"/>
      <c r="B10" s="57" t="s">
        <v>53</v>
      </c>
      <c r="C10" s="58"/>
      <c r="D10" s="59">
        <f t="shared" ref="D10:I10" si="1">D9/C9-1</f>
        <v>49</v>
      </c>
      <c r="E10" s="59">
        <f t="shared" si="1"/>
        <v>1</v>
      </c>
      <c r="F10" s="59">
        <f t="shared" si="1"/>
        <v>0.5</v>
      </c>
      <c r="G10" s="59">
        <f t="shared" si="1"/>
        <v>0.30000000000000004</v>
      </c>
      <c r="H10" s="59">
        <f t="shared" si="1"/>
        <v>0.21999999999999997</v>
      </c>
      <c r="I10" s="59">
        <f t="shared" si="1"/>
        <v>0.15002101723413208</v>
      </c>
      <c r="J10" s="6"/>
    </row>
    <row r="11" spans="1:10" s="49" customFormat="1" ht="3.75" customHeight="1" x14ac:dyDescent="0.25">
      <c r="A11" s="6"/>
      <c r="B11" s="18" t="s">
        <v>54</v>
      </c>
      <c r="C11" s="60"/>
      <c r="D11" s="60"/>
      <c r="E11" s="60"/>
      <c r="F11" s="60"/>
      <c r="G11" s="60"/>
      <c r="H11" s="60"/>
      <c r="I11" s="60"/>
      <c r="J11" s="6"/>
    </row>
    <row r="12" spans="1:10" s="52" customFormat="1" ht="12.75" customHeight="1" x14ac:dyDescent="0.2">
      <c r="A12" s="6"/>
      <c r="B12" s="53"/>
      <c r="C12" s="61"/>
      <c r="D12" s="61"/>
      <c r="E12" s="61"/>
      <c r="F12" s="61"/>
      <c r="G12" s="61"/>
      <c r="H12" s="61"/>
      <c r="I12" s="61"/>
      <c r="J12" s="6"/>
    </row>
    <row r="13" spans="1:10" s="49" customFormat="1" ht="13.5" customHeight="1" x14ac:dyDescent="0.25">
      <c r="A13" s="6"/>
      <c r="B13" s="57" t="s">
        <v>55</v>
      </c>
      <c r="C13" s="58">
        <v>-1</v>
      </c>
      <c r="D13" s="58">
        <v>0.12</v>
      </c>
      <c r="E13" s="58">
        <v>0.22</v>
      </c>
      <c r="F13" s="58">
        <v>0.25</v>
      </c>
      <c r="G13" s="58">
        <v>0.27</v>
      </c>
      <c r="H13" s="58">
        <v>0.28000000000000003</v>
      </c>
      <c r="I13" s="58">
        <v>0.28000000000000003</v>
      </c>
      <c r="J13" s="6"/>
    </row>
    <row r="14" spans="1:10" ht="13.5" customHeight="1" x14ac:dyDescent="0.2">
      <c r="A14" s="6"/>
      <c r="B14" s="55" t="s">
        <v>56</v>
      </c>
      <c r="C14" s="62">
        <f t="shared" ref="C14:I14" si="2">C13*C9</f>
        <v>-100</v>
      </c>
      <c r="D14" s="62">
        <f t="shared" si="2"/>
        <v>600</v>
      </c>
      <c r="E14" s="62">
        <f t="shared" si="2"/>
        <v>2200</v>
      </c>
      <c r="F14" s="62">
        <f t="shared" si="2"/>
        <v>3750</v>
      </c>
      <c r="G14" s="62">
        <f t="shared" si="2"/>
        <v>5265</v>
      </c>
      <c r="H14" s="62">
        <f t="shared" si="2"/>
        <v>6661.2000000000007</v>
      </c>
      <c r="I14" s="62">
        <f t="shared" si="2"/>
        <v>7660.52</v>
      </c>
      <c r="J14" s="6"/>
    </row>
    <row r="15" spans="1:10" s="52" customFormat="1" ht="13.5" customHeight="1" x14ac:dyDescent="0.2">
      <c r="A15" s="6"/>
      <c r="B15" s="57" t="s">
        <v>57</v>
      </c>
      <c r="C15" s="58">
        <v>0.21</v>
      </c>
      <c r="D15" s="58">
        <v>0.21</v>
      </c>
      <c r="E15" s="58">
        <v>0.21</v>
      </c>
      <c r="F15" s="58">
        <v>0.21</v>
      </c>
      <c r="G15" s="58">
        <v>0.21</v>
      </c>
      <c r="H15" s="58">
        <v>0.21</v>
      </c>
      <c r="I15" s="58">
        <v>0.21</v>
      </c>
      <c r="J15" s="6"/>
    </row>
    <row r="16" spans="1:10" ht="13.5" customHeight="1" x14ac:dyDescent="0.2">
      <c r="A16" s="6"/>
      <c r="B16" s="55" t="s">
        <v>58</v>
      </c>
      <c r="C16" s="62">
        <f t="shared" ref="C16:I16" si="3">C14*(1-C15)</f>
        <v>-79</v>
      </c>
      <c r="D16" s="62">
        <f t="shared" si="3"/>
        <v>474</v>
      </c>
      <c r="E16" s="62">
        <f t="shared" si="3"/>
        <v>1738</v>
      </c>
      <c r="F16" s="62">
        <f t="shared" si="3"/>
        <v>2962.5</v>
      </c>
      <c r="G16" s="62">
        <f t="shared" si="3"/>
        <v>4159.3500000000004</v>
      </c>
      <c r="H16" s="62">
        <f t="shared" si="3"/>
        <v>5262.3480000000009</v>
      </c>
      <c r="I16" s="62">
        <f t="shared" si="3"/>
        <v>6051.8108000000002</v>
      </c>
      <c r="J16" s="6"/>
    </row>
    <row r="17" spans="1:10" ht="3.75" customHeight="1" x14ac:dyDescent="0.2">
      <c r="A17" s="6"/>
      <c r="B17" s="18" t="s">
        <v>59</v>
      </c>
      <c r="C17" s="19"/>
      <c r="D17" s="19"/>
      <c r="E17" s="19"/>
      <c r="F17" s="19"/>
      <c r="G17" s="19"/>
      <c r="H17" s="19"/>
      <c r="I17" s="19"/>
      <c r="J17" s="6"/>
    </row>
    <row r="18" spans="1:10" ht="12.75" customHeight="1" x14ac:dyDescent="0.2">
      <c r="A18" s="6"/>
      <c r="B18" s="53"/>
      <c r="C18" s="61"/>
      <c r="D18" s="61"/>
      <c r="E18" s="61"/>
      <c r="F18" s="61"/>
      <c r="G18" s="61"/>
      <c r="H18" s="61"/>
      <c r="I18" s="61"/>
      <c r="J18" s="6"/>
    </row>
    <row r="19" spans="1:10" ht="13.5" customHeight="1" x14ac:dyDescent="0.2">
      <c r="A19" s="6"/>
      <c r="B19" s="57"/>
      <c r="C19" s="63"/>
      <c r="D19" s="63"/>
      <c r="E19" s="63"/>
      <c r="F19" s="63"/>
      <c r="G19" s="63"/>
      <c r="H19" s="63"/>
      <c r="I19" s="63"/>
      <c r="J19" s="6"/>
    </row>
    <row r="20" spans="1:10" ht="13.5" customHeight="1" x14ac:dyDescent="0.2">
      <c r="A20" s="6"/>
      <c r="B20" s="57" t="s">
        <v>60</v>
      </c>
      <c r="C20" s="58">
        <v>0.26669999999999999</v>
      </c>
      <c r="D20" s="58">
        <v>3.5000000000000003E-2</v>
      </c>
      <c r="E20" s="58">
        <v>3.2500000000000001E-2</v>
      </c>
      <c r="F20" s="58">
        <v>3.5000000000000003E-2</v>
      </c>
      <c r="G20" s="58">
        <v>3.4599999999999999E-2</v>
      </c>
      <c r="H20" s="58">
        <v>3.4599999999999999E-2</v>
      </c>
      <c r="I20" s="58">
        <v>3.7699999999999997E-2</v>
      </c>
      <c r="J20" s="6"/>
    </row>
    <row r="21" spans="1:10" ht="13.5" customHeight="1" x14ac:dyDescent="0.2">
      <c r="A21" s="6"/>
      <c r="B21" s="57" t="s">
        <v>61</v>
      </c>
      <c r="C21" s="62">
        <f t="shared" ref="C21:I21" si="4">C20*C9</f>
        <v>26.669999999999998</v>
      </c>
      <c r="D21" s="62">
        <f t="shared" si="4"/>
        <v>175.00000000000003</v>
      </c>
      <c r="E21" s="62">
        <f t="shared" si="4"/>
        <v>325</v>
      </c>
      <c r="F21" s="62">
        <f t="shared" si="4"/>
        <v>525</v>
      </c>
      <c r="G21" s="62">
        <f t="shared" si="4"/>
        <v>674.69999999999993</v>
      </c>
      <c r="H21" s="62">
        <f t="shared" si="4"/>
        <v>823.13400000000001</v>
      </c>
      <c r="I21" s="62">
        <f t="shared" si="4"/>
        <v>1031.4342999999999</v>
      </c>
      <c r="J21" s="6"/>
    </row>
    <row r="22" spans="1:10" ht="13.5" customHeight="1" x14ac:dyDescent="0.2">
      <c r="A22" s="6"/>
      <c r="B22" s="57" t="s">
        <v>62</v>
      </c>
      <c r="C22" s="58">
        <v>0.83330000000000004</v>
      </c>
      <c r="D22" s="58">
        <v>0.1</v>
      </c>
      <c r="E22" s="58">
        <v>7.2499999999999995E-2</v>
      </c>
      <c r="F22" s="58">
        <v>6.3299999999999995E-2</v>
      </c>
      <c r="G22" s="58">
        <v>5.4300000000000001E-2</v>
      </c>
      <c r="H22" s="58">
        <v>4.9399999999999999E-2</v>
      </c>
      <c r="I22" s="58">
        <v>5.0299999999999997E-2</v>
      </c>
      <c r="J22" s="6"/>
    </row>
    <row r="23" spans="1:10" ht="13.5" customHeight="1" x14ac:dyDescent="0.2">
      <c r="A23" s="6"/>
      <c r="B23" s="57" t="s">
        <v>63</v>
      </c>
      <c r="C23" s="62">
        <f t="shared" ref="C23:I23" si="5">C22*C9</f>
        <v>83.33</v>
      </c>
      <c r="D23" s="62">
        <f t="shared" si="5"/>
        <v>500</v>
      </c>
      <c r="E23" s="62">
        <f t="shared" si="5"/>
        <v>725</v>
      </c>
      <c r="F23" s="62">
        <f t="shared" si="5"/>
        <v>949.49999999999989</v>
      </c>
      <c r="G23" s="62">
        <f t="shared" si="5"/>
        <v>1058.8499999999999</v>
      </c>
      <c r="H23" s="62">
        <f t="shared" si="5"/>
        <v>1175.2259999999999</v>
      </c>
      <c r="I23" s="62">
        <f t="shared" si="5"/>
        <v>1376.1577</v>
      </c>
      <c r="J23" s="6"/>
    </row>
    <row r="24" spans="1:10" s="49" customFormat="1" ht="13.5" customHeight="1" x14ac:dyDescent="0.25">
      <c r="A24" s="6"/>
      <c r="B24" s="57" t="s">
        <v>64</v>
      </c>
      <c r="C24" s="58">
        <v>0.5</v>
      </c>
      <c r="D24" s="58">
        <v>0.21</v>
      </c>
      <c r="E24" s="58">
        <v>7.8E-2</v>
      </c>
      <c r="F24" s="58">
        <v>6.8000000000000005E-2</v>
      </c>
      <c r="G24" s="58">
        <v>2.5399999999999999E-2</v>
      </c>
      <c r="H24" s="58">
        <v>2.01E-2</v>
      </c>
      <c r="I24" s="58">
        <v>2.0299999999999999E-2</v>
      </c>
      <c r="J24" s="6"/>
    </row>
    <row r="25" spans="1:10" ht="3.75" customHeight="1" x14ac:dyDescent="0.2">
      <c r="A25" s="6"/>
      <c r="B25" s="18" t="s">
        <v>65</v>
      </c>
      <c r="C25" s="60"/>
      <c r="D25" s="60"/>
      <c r="E25" s="60"/>
      <c r="F25" s="60"/>
      <c r="G25" s="60"/>
      <c r="H25" s="60"/>
      <c r="I25" s="60"/>
      <c r="J25" s="6"/>
    </row>
    <row r="26" spans="1:10" ht="12.75" customHeight="1" x14ac:dyDescent="0.2">
      <c r="A26" s="6"/>
      <c r="B26" s="53"/>
      <c r="C26" s="54"/>
      <c r="D26" s="54"/>
      <c r="E26" s="54"/>
      <c r="F26" s="54"/>
      <c r="G26" s="54"/>
      <c r="H26" s="54"/>
      <c r="I26" s="54"/>
      <c r="J26" s="6"/>
    </row>
    <row r="27" spans="1:10" ht="13.5" customHeight="1" x14ac:dyDescent="0.2">
      <c r="A27" s="6"/>
      <c r="B27" s="55" t="s">
        <v>66</v>
      </c>
      <c r="C27" s="62">
        <f t="shared" ref="C27:I27" si="6">C16+C21-C23-C24*C9</f>
        <v>-185.66</v>
      </c>
      <c r="D27" s="62">
        <f t="shared" si="6"/>
        <v>-901</v>
      </c>
      <c r="E27" s="62">
        <f t="shared" si="6"/>
        <v>558</v>
      </c>
      <c r="F27" s="62">
        <f t="shared" si="6"/>
        <v>1518</v>
      </c>
      <c r="G27" s="62">
        <f t="shared" si="6"/>
        <v>3279.9000000000005</v>
      </c>
      <c r="H27" s="62">
        <f t="shared" si="6"/>
        <v>4432.0770000000011</v>
      </c>
      <c r="I27" s="62">
        <f t="shared" si="6"/>
        <v>5151.6997000000001</v>
      </c>
      <c r="J27" s="6"/>
    </row>
    <row r="28" spans="1:10" ht="13.5" customHeight="1" x14ac:dyDescent="0.2">
      <c r="A28" s="6"/>
      <c r="B28" s="57" t="s">
        <v>67</v>
      </c>
      <c r="C28" s="62">
        <f t="shared" ref="C28:I28" si="7">C27/(1+$C$31)^C3</f>
        <v>-175.97625094238265</v>
      </c>
      <c r="D28" s="62">
        <f t="shared" si="7"/>
        <v>-769.37403788134827</v>
      </c>
      <c r="E28" s="62">
        <f t="shared" si="7"/>
        <v>429.26349415343537</v>
      </c>
      <c r="F28" s="62">
        <f t="shared" si="7"/>
        <v>1052.0552554569324</v>
      </c>
      <c r="G28" s="62">
        <f t="shared" si="7"/>
        <v>2047.8795192662187</v>
      </c>
      <c r="H28" s="62">
        <f t="shared" si="7"/>
        <v>2493.0335208832353</v>
      </c>
      <c r="I28" s="62">
        <f t="shared" si="7"/>
        <v>2610.6483781969009</v>
      </c>
      <c r="J28" s="6"/>
    </row>
    <row r="29" spans="1:10" ht="3.75" customHeight="1" x14ac:dyDescent="0.2">
      <c r="A29" s="6"/>
      <c r="B29" s="18" t="s">
        <v>68</v>
      </c>
      <c r="C29" s="60"/>
      <c r="D29" s="19"/>
      <c r="E29" s="19"/>
      <c r="F29" s="19"/>
      <c r="G29" s="19"/>
      <c r="H29" s="19"/>
      <c r="I29" s="19"/>
      <c r="J29" s="6"/>
    </row>
    <row r="30" spans="1:10" ht="12.75" customHeight="1" x14ac:dyDescent="0.2">
      <c r="A30" s="6"/>
      <c r="B30" s="53"/>
      <c r="C30" s="64"/>
      <c r="D30" s="64"/>
      <c r="E30" s="64"/>
      <c r="F30" s="64"/>
      <c r="G30" s="64"/>
      <c r="H30" s="64"/>
      <c r="I30" s="64"/>
      <c r="J30" s="6"/>
    </row>
    <row r="31" spans="1:10" ht="13.5" customHeight="1" x14ac:dyDescent="0.2">
      <c r="A31" s="6"/>
      <c r="B31" s="57" t="s">
        <v>69</v>
      </c>
      <c r="C31" s="58">
        <v>0.11</v>
      </c>
      <c r="D31" s="63"/>
      <c r="E31" s="63"/>
      <c r="F31" s="63"/>
      <c r="G31" s="63"/>
      <c r="H31" s="63"/>
      <c r="I31" s="63"/>
      <c r="J31" s="6"/>
    </row>
    <row r="32" spans="1:10" ht="13.5" customHeight="1" x14ac:dyDescent="0.2">
      <c r="A32" s="6"/>
      <c r="B32" s="57" t="s">
        <v>70</v>
      </c>
      <c r="C32" s="65">
        <v>13</v>
      </c>
      <c r="D32" s="66"/>
      <c r="E32" s="66"/>
      <c r="F32" s="66"/>
      <c r="G32" s="66"/>
      <c r="H32" s="66"/>
      <c r="I32" s="66"/>
      <c r="J32" s="6"/>
    </row>
    <row r="33" spans="1:10" ht="13.5" customHeight="1" x14ac:dyDescent="0.2">
      <c r="A33" s="6"/>
      <c r="B33" s="55" t="s">
        <v>71</v>
      </c>
      <c r="C33" s="67">
        <f>(C32*I14)/(1+C31)^I3</f>
        <v>50466.065303434516</v>
      </c>
      <c r="D33" s="68"/>
      <c r="E33" s="68"/>
      <c r="F33" s="68"/>
      <c r="G33" s="68"/>
      <c r="H33" s="68"/>
      <c r="I33" s="68"/>
      <c r="J33" s="6"/>
    </row>
    <row r="34" spans="1:10" ht="6" customHeight="1" x14ac:dyDescent="0.2">
      <c r="A34" s="6"/>
      <c r="B34" s="40"/>
      <c r="C34" s="69"/>
      <c r="D34" s="70"/>
      <c r="E34" s="70"/>
      <c r="F34" s="70"/>
      <c r="G34" s="70"/>
      <c r="H34" s="70"/>
      <c r="I34" s="70"/>
      <c r="J34" s="6"/>
    </row>
    <row r="35" spans="1:10" ht="15.75" customHeight="1" x14ac:dyDescent="0.2">
      <c r="A35" s="6"/>
      <c r="B35" s="15" t="s">
        <v>72</v>
      </c>
      <c r="C35" s="16">
        <f>C33+SUM(C28:I28)</f>
        <v>58153.595182567507</v>
      </c>
      <c r="D35" s="71"/>
      <c r="E35" s="71"/>
      <c r="F35" s="71"/>
      <c r="G35" s="71"/>
      <c r="H35" s="71"/>
      <c r="I35" s="71"/>
      <c r="J35" s="6"/>
    </row>
    <row r="36" spans="1:10" ht="13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/>
    <row r="42" spans="1:10" ht="15" customHeight="1" x14ac:dyDescent="0.2"/>
    <row r="43" spans="1:10" ht="15" customHeight="1" x14ac:dyDescent="0.2"/>
    <row r="44" spans="1:10" ht="15" customHeight="1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2" defaultRowHeight="14.25" x14ac:dyDescent="0.2"/>
  <cols>
    <col min="1" max="1" width="2" style="37"/>
    <col min="2" max="2" width="30" style="37" customWidth="1"/>
    <col min="3" max="9" width="10" style="37" customWidth="1"/>
    <col min="10" max="16384" width="2" style="37"/>
  </cols>
  <sheetData>
    <row r="1" spans="1:10" ht="15.75" customHeight="1" x14ac:dyDescent="0.2">
      <c r="A1" s="1" t="s">
        <v>35</v>
      </c>
      <c r="B1" s="2" t="s">
        <v>73</v>
      </c>
      <c r="C1" s="38" t="s">
        <v>37</v>
      </c>
      <c r="D1" s="39">
        <f ca="1">TODAY()</f>
        <v>46200</v>
      </c>
      <c r="E1" s="4"/>
      <c r="F1" s="4"/>
      <c r="G1" s="4"/>
      <c r="H1" s="4"/>
      <c r="I1" s="5">
        <f ca="1">TODAY()</f>
        <v>46200</v>
      </c>
      <c r="J1" s="1"/>
    </row>
    <row r="2" spans="1:10" ht="6" customHeight="1" x14ac:dyDescent="0.2">
      <c r="A2" s="6"/>
      <c r="B2" s="40"/>
      <c r="C2" s="6"/>
      <c r="D2" s="6"/>
      <c r="E2" s="6"/>
      <c r="F2" s="6"/>
      <c r="G2" s="6"/>
      <c r="H2" s="6"/>
      <c r="I2" s="6"/>
      <c r="J2" s="6"/>
    </row>
    <row r="3" spans="1:10" ht="14.25" customHeight="1" x14ac:dyDescent="0.2">
      <c r="A3" s="6"/>
      <c r="B3" s="41" t="s">
        <v>38</v>
      </c>
      <c r="C3" s="42">
        <v>0.51329999999999998</v>
      </c>
      <c r="D3" s="42">
        <f t="shared" ref="D3:I4" si="0">C3+1</f>
        <v>1.5133000000000001</v>
      </c>
      <c r="E3" s="42">
        <f t="shared" si="0"/>
        <v>2.5133000000000001</v>
      </c>
      <c r="F3" s="42">
        <f t="shared" si="0"/>
        <v>3.5133000000000001</v>
      </c>
      <c r="G3" s="42">
        <f t="shared" si="0"/>
        <v>4.5133000000000001</v>
      </c>
      <c r="H3" s="42">
        <f t="shared" si="0"/>
        <v>5.5133000000000001</v>
      </c>
      <c r="I3" s="42">
        <f t="shared" si="0"/>
        <v>6.5133000000000001</v>
      </c>
      <c r="J3" s="6"/>
    </row>
    <row r="4" spans="1:10" ht="14.25" customHeight="1" x14ac:dyDescent="0.2">
      <c r="A4" s="6"/>
      <c r="B4" s="43" t="s">
        <v>39</v>
      </c>
      <c r="C4" s="44">
        <v>2026</v>
      </c>
      <c r="D4" s="44">
        <f t="shared" si="0"/>
        <v>2027</v>
      </c>
      <c r="E4" s="44">
        <f t="shared" si="0"/>
        <v>2028</v>
      </c>
      <c r="F4" s="44">
        <f t="shared" si="0"/>
        <v>2029</v>
      </c>
      <c r="G4" s="44">
        <f t="shared" si="0"/>
        <v>2030</v>
      </c>
      <c r="H4" s="44">
        <f t="shared" si="0"/>
        <v>2031</v>
      </c>
      <c r="I4" s="44">
        <f t="shared" si="0"/>
        <v>2032</v>
      </c>
      <c r="J4" s="6"/>
    </row>
    <row r="5" spans="1:10" ht="15" customHeight="1" x14ac:dyDescent="0.2">
      <c r="A5" s="6"/>
      <c r="B5" s="45" t="s">
        <v>40</v>
      </c>
      <c r="C5" s="46" t="s">
        <v>41</v>
      </c>
      <c r="D5" s="46" t="s">
        <v>42</v>
      </c>
      <c r="E5" s="46" t="s">
        <v>43</v>
      </c>
      <c r="F5" s="46" t="s">
        <v>44</v>
      </c>
      <c r="G5" s="46" t="s">
        <v>45</v>
      </c>
      <c r="H5" s="46" t="s">
        <v>46</v>
      </c>
      <c r="I5" s="46" t="s">
        <v>47</v>
      </c>
      <c r="J5" s="6"/>
    </row>
    <row r="6" spans="1:10" s="49" customFormat="1" ht="9.75" customHeight="1" x14ac:dyDescent="0.25">
      <c r="A6" s="6"/>
      <c r="B6" s="47" t="s">
        <v>48</v>
      </c>
      <c r="C6" s="48" t="s">
        <v>49</v>
      </c>
      <c r="D6" s="48" t="s">
        <v>50</v>
      </c>
      <c r="E6" s="48" t="s">
        <v>50</v>
      </c>
      <c r="F6" s="48" t="s">
        <v>50</v>
      </c>
      <c r="G6" s="48" t="s">
        <v>50</v>
      </c>
      <c r="H6" s="48" t="s">
        <v>50</v>
      </c>
      <c r="I6" s="48" t="s">
        <v>50</v>
      </c>
      <c r="J6" s="6"/>
    </row>
    <row r="7" spans="1:10" s="52" customFormat="1" ht="6" customHeight="1" x14ac:dyDescent="0.2">
      <c r="A7" s="6"/>
      <c r="B7" s="18" t="s">
        <v>51</v>
      </c>
      <c r="C7" s="19"/>
      <c r="D7" s="50"/>
      <c r="E7" s="51"/>
      <c r="F7" s="51"/>
      <c r="G7" s="51"/>
      <c r="H7" s="51"/>
      <c r="I7" s="51"/>
      <c r="J7" s="6"/>
    </row>
    <row r="8" spans="1:10" s="52" customFormat="1" ht="12.75" customHeight="1" x14ac:dyDescent="0.2">
      <c r="A8" s="6"/>
      <c r="B8" s="53"/>
      <c r="C8" s="54"/>
      <c r="D8" s="54"/>
      <c r="E8" s="54"/>
      <c r="F8" s="54"/>
      <c r="G8" s="54"/>
      <c r="H8" s="54"/>
      <c r="I8" s="54"/>
      <c r="J8" s="6"/>
    </row>
    <row r="9" spans="1:10" s="52" customFormat="1" ht="13.5" customHeight="1" x14ac:dyDescent="0.2">
      <c r="A9" s="6"/>
      <c r="B9" s="55" t="s">
        <v>74</v>
      </c>
      <c r="C9" s="62">
        <v>27500</v>
      </c>
      <c r="D9" s="62">
        <f t="shared" ref="D9:I9" si="1">C9*(1+D10)</f>
        <v>26675</v>
      </c>
      <c r="E9" s="62">
        <f t="shared" si="1"/>
        <v>25608</v>
      </c>
      <c r="F9" s="62">
        <f t="shared" si="1"/>
        <v>24583.68</v>
      </c>
      <c r="G9" s="62">
        <f t="shared" si="1"/>
        <v>24092.006399999998</v>
      </c>
      <c r="H9" s="62">
        <f t="shared" si="1"/>
        <v>23851.086335999997</v>
      </c>
      <c r="I9" s="62">
        <f t="shared" si="1"/>
        <v>23612.575472639997</v>
      </c>
      <c r="J9" s="6"/>
    </row>
    <row r="10" spans="1:10" s="49" customFormat="1" ht="13.5" customHeight="1" x14ac:dyDescent="0.25">
      <c r="A10" s="6"/>
      <c r="B10" s="57" t="s">
        <v>75</v>
      </c>
      <c r="C10" s="58"/>
      <c r="D10" s="58">
        <v>-0.03</v>
      </c>
      <c r="E10" s="58">
        <v>-0.04</v>
      </c>
      <c r="F10" s="58">
        <v>-0.04</v>
      </c>
      <c r="G10" s="58">
        <v>-0.02</v>
      </c>
      <c r="H10" s="58">
        <v>-0.01</v>
      </c>
      <c r="I10" s="58">
        <v>-0.01</v>
      </c>
      <c r="J10" s="6"/>
    </row>
    <row r="11" spans="1:10" s="49" customFormat="1" ht="3.75" customHeight="1" x14ac:dyDescent="0.25">
      <c r="A11" s="6"/>
      <c r="B11" s="18" t="s">
        <v>54</v>
      </c>
      <c r="C11" s="60"/>
      <c r="D11" s="60"/>
      <c r="E11" s="60"/>
      <c r="F11" s="60"/>
      <c r="G11" s="60"/>
      <c r="H11" s="60"/>
      <c r="I11" s="60"/>
      <c r="J11" s="6"/>
    </row>
    <row r="12" spans="1:10" s="52" customFormat="1" ht="12.75" customHeight="1" x14ac:dyDescent="0.2">
      <c r="A12" s="6"/>
      <c r="B12" s="53"/>
      <c r="C12" s="61"/>
      <c r="D12" s="61"/>
      <c r="E12" s="61"/>
      <c r="F12" s="61"/>
      <c r="G12" s="61"/>
      <c r="H12" s="61"/>
      <c r="I12" s="61"/>
      <c r="J12" s="6"/>
    </row>
    <row r="13" spans="1:10" s="49" customFormat="1" ht="13.5" customHeight="1" x14ac:dyDescent="0.25">
      <c r="A13" s="6"/>
      <c r="B13" s="57" t="s">
        <v>55</v>
      </c>
      <c r="C13" s="58">
        <v>0.27</v>
      </c>
      <c r="D13" s="58">
        <v>0.27</v>
      </c>
      <c r="E13" s="58">
        <v>0.27</v>
      </c>
      <c r="F13" s="58">
        <v>0.26</v>
      </c>
      <c r="G13" s="58">
        <v>0.26</v>
      </c>
      <c r="H13" s="58">
        <v>0.25</v>
      </c>
      <c r="I13" s="58">
        <v>0.25</v>
      </c>
      <c r="J13" s="6"/>
    </row>
    <row r="14" spans="1:10" ht="13.5" customHeight="1" x14ac:dyDescent="0.2">
      <c r="A14" s="6"/>
      <c r="B14" s="55" t="s">
        <v>56</v>
      </c>
      <c r="C14" s="62">
        <f t="shared" ref="C14:I14" si="2">C13*C9</f>
        <v>7425.0000000000009</v>
      </c>
      <c r="D14" s="62">
        <f t="shared" si="2"/>
        <v>7202.2500000000009</v>
      </c>
      <c r="E14" s="62">
        <f t="shared" si="2"/>
        <v>6914.1600000000008</v>
      </c>
      <c r="F14" s="62">
        <f t="shared" si="2"/>
        <v>6391.7568000000001</v>
      </c>
      <c r="G14" s="62">
        <f t="shared" si="2"/>
        <v>6263.9216639999995</v>
      </c>
      <c r="H14" s="62">
        <f t="shared" si="2"/>
        <v>5962.7715839999992</v>
      </c>
      <c r="I14" s="62">
        <f t="shared" si="2"/>
        <v>5903.1438681599993</v>
      </c>
      <c r="J14" s="6"/>
    </row>
    <row r="15" spans="1:10" s="52" customFormat="1" ht="13.5" customHeight="1" x14ac:dyDescent="0.2">
      <c r="A15" s="6"/>
      <c r="B15" s="57" t="s">
        <v>57</v>
      </c>
      <c r="C15" s="58">
        <v>0.21</v>
      </c>
      <c r="D15" s="58">
        <v>0.21</v>
      </c>
      <c r="E15" s="58">
        <v>0.21</v>
      </c>
      <c r="F15" s="58">
        <v>0.21</v>
      </c>
      <c r="G15" s="58">
        <v>0.21</v>
      </c>
      <c r="H15" s="58">
        <v>0.21</v>
      </c>
      <c r="I15" s="58">
        <v>0.21</v>
      </c>
      <c r="J15" s="6"/>
    </row>
    <row r="16" spans="1:10" ht="13.5" customHeight="1" x14ac:dyDescent="0.2">
      <c r="A16" s="6"/>
      <c r="B16" s="55" t="s">
        <v>58</v>
      </c>
      <c r="C16" s="62">
        <f t="shared" ref="C16:I16" si="3">C14*(1-C15)</f>
        <v>5865.7500000000009</v>
      </c>
      <c r="D16" s="62">
        <f t="shared" si="3"/>
        <v>5689.7775000000011</v>
      </c>
      <c r="E16" s="62">
        <f t="shared" si="3"/>
        <v>5462.1864000000005</v>
      </c>
      <c r="F16" s="62">
        <f t="shared" si="3"/>
        <v>5049.4878720000006</v>
      </c>
      <c r="G16" s="62">
        <f t="shared" si="3"/>
        <v>4948.4981145599995</v>
      </c>
      <c r="H16" s="62">
        <f t="shared" si="3"/>
        <v>4710.5895513599999</v>
      </c>
      <c r="I16" s="62">
        <f t="shared" si="3"/>
        <v>4663.4836558463994</v>
      </c>
      <c r="J16" s="6"/>
    </row>
    <row r="17" spans="1:10" ht="3.75" customHeight="1" x14ac:dyDescent="0.2">
      <c r="A17" s="6"/>
      <c r="B17" s="18" t="s">
        <v>59</v>
      </c>
      <c r="C17" s="19"/>
      <c r="D17" s="19"/>
      <c r="E17" s="19"/>
      <c r="F17" s="19"/>
      <c r="G17" s="19"/>
      <c r="H17" s="19"/>
      <c r="I17" s="19"/>
      <c r="J17" s="6"/>
    </row>
    <row r="18" spans="1:10" ht="12.75" customHeight="1" x14ac:dyDescent="0.2">
      <c r="A18" s="6"/>
      <c r="B18" s="53"/>
      <c r="C18" s="61"/>
      <c r="D18" s="61"/>
      <c r="E18" s="61"/>
      <c r="F18" s="61"/>
      <c r="G18" s="61"/>
      <c r="H18" s="61"/>
      <c r="I18" s="61"/>
      <c r="J18" s="6"/>
    </row>
    <row r="19" spans="1:10" ht="13.5" customHeight="1" x14ac:dyDescent="0.2">
      <c r="A19" s="6"/>
      <c r="B19" s="57"/>
      <c r="C19" s="63"/>
      <c r="D19" s="63"/>
      <c r="E19" s="63"/>
      <c r="F19" s="63"/>
      <c r="G19" s="63"/>
      <c r="H19" s="63"/>
      <c r="I19" s="63"/>
      <c r="J19" s="6"/>
    </row>
    <row r="20" spans="1:10" ht="13.5" customHeight="1" x14ac:dyDescent="0.2">
      <c r="A20" s="6"/>
      <c r="B20" s="57" t="s">
        <v>60</v>
      </c>
      <c r="C20" s="58">
        <v>3.5000000000000003E-2</v>
      </c>
      <c r="D20" s="58">
        <v>3.5000000000000003E-2</v>
      </c>
      <c r="E20" s="58">
        <v>3.5000000000000003E-2</v>
      </c>
      <c r="F20" s="58">
        <v>3.5000000000000003E-2</v>
      </c>
      <c r="G20" s="58">
        <v>3.5000000000000003E-2</v>
      </c>
      <c r="H20" s="58">
        <v>3.5000000000000003E-2</v>
      </c>
      <c r="I20" s="58">
        <v>3.5000000000000003E-2</v>
      </c>
      <c r="J20" s="6"/>
    </row>
    <row r="21" spans="1:10" ht="13.5" customHeight="1" x14ac:dyDescent="0.2">
      <c r="A21" s="6"/>
      <c r="B21" s="57" t="s">
        <v>61</v>
      </c>
      <c r="C21" s="62">
        <f t="shared" ref="C21:I21" si="4">C20*C9</f>
        <v>962.50000000000011</v>
      </c>
      <c r="D21" s="62">
        <f t="shared" si="4"/>
        <v>933.62500000000011</v>
      </c>
      <c r="E21" s="62">
        <f t="shared" si="4"/>
        <v>896.28000000000009</v>
      </c>
      <c r="F21" s="62">
        <f t="shared" si="4"/>
        <v>860.42880000000014</v>
      </c>
      <c r="G21" s="62">
        <f t="shared" si="4"/>
        <v>843.22022400000003</v>
      </c>
      <c r="H21" s="62">
        <f t="shared" si="4"/>
        <v>834.78802175999999</v>
      </c>
      <c r="I21" s="62">
        <f t="shared" si="4"/>
        <v>826.44014154239994</v>
      </c>
      <c r="J21" s="6"/>
    </row>
    <row r="22" spans="1:10" ht="13.5" customHeight="1" x14ac:dyDescent="0.2">
      <c r="A22" s="6"/>
      <c r="B22" s="57" t="s">
        <v>62</v>
      </c>
      <c r="C22" s="58">
        <v>0.04</v>
      </c>
      <c r="D22" s="58">
        <v>0.04</v>
      </c>
      <c r="E22" s="58">
        <v>0.04</v>
      </c>
      <c r="F22" s="58">
        <v>0.04</v>
      </c>
      <c r="G22" s="58">
        <v>0.04</v>
      </c>
      <c r="H22" s="58">
        <v>0.04</v>
      </c>
      <c r="I22" s="58">
        <v>0.04</v>
      </c>
      <c r="J22" s="6"/>
    </row>
    <row r="23" spans="1:10" ht="13.5" customHeight="1" x14ac:dyDescent="0.2">
      <c r="A23" s="6"/>
      <c r="B23" s="57" t="s">
        <v>63</v>
      </c>
      <c r="C23" s="62">
        <f t="shared" ref="C23:I23" si="5">C22*C9</f>
        <v>1100</v>
      </c>
      <c r="D23" s="62">
        <f t="shared" si="5"/>
        <v>1067</v>
      </c>
      <c r="E23" s="62">
        <f t="shared" si="5"/>
        <v>1024.32</v>
      </c>
      <c r="F23" s="62">
        <f t="shared" si="5"/>
        <v>983.34720000000004</v>
      </c>
      <c r="G23" s="62">
        <f t="shared" si="5"/>
        <v>963.68025599999999</v>
      </c>
      <c r="H23" s="62">
        <f t="shared" si="5"/>
        <v>954.04345343999989</v>
      </c>
      <c r="I23" s="62">
        <f t="shared" si="5"/>
        <v>944.5030189055999</v>
      </c>
      <c r="J23" s="6"/>
    </row>
    <row r="24" spans="1:10" s="49" customFormat="1" ht="13.5" customHeight="1" x14ac:dyDescent="0.25">
      <c r="A24" s="6"/>
      <c r="B24" s="57" t="s">
        <v>64</v>
      </c>
      <c r="C24" s="58">
        <v>0.01</v>
      </c>
      <c r="D24" s="58">
        <v>0.01</v>
      </c>
      <c r="E24" s="58">
        <v>0.01</v>
      </c>
      <c r="F24" s="58">
        <v>0.01</v>
      </c>
      <c r="G24" s="58">
        <v>0.01</v>
      </c>
      <c r="H24" s="58">
        <v>0.01</v>
      </c>
      <c r="I24" s="58">
        <v>0.01</v>
      </c>
      <c r="J24" s="6"/>
    </row>
    <row r="25" spans="1:10" ht="3.75" customHeight="1" x14ac:dyDescent="0.2">
      <c r="A25" s="6"/>
      <c r="B25" s="18" t="s">
        <v>65</v>
      </c>
      <c r="C25" s="60"/>
      <c r="D25" s="60"/>
      <c r="E25" s="60"/>
      <c r="F25" s="60"/>
      <c r="G25" s="60"/>
      <c r="H25" s="60"/>
      <c r="I25" s="60"/>
      <c r="J25" s="6"/>
    </row>
    <row r="26" spans="1:10" ht="12.75" customHeight="1" x14ac:dyDescent="0.2">
      <c r="A26" s="6"/>
      <c r="B26" s="53"/>
      <c r="C26" s="54"/>
      <c r="D26" s="54"/>
      <c r="E26" s="54"/>
      <c r="F26" s="54"/>
      <c r="G26" s="54"/>
      <c r="H26" s="54"/>
      <c r="I26" s="54"/>
      <c r="J26" s="6"/>
    </row>
    <row r="27" spans="1:10" ht="13.5" customHeight="1" x14ac:dyDescent="0.2">
      <c r="A27" s="6"/>
      <c r="B27" s="55" t="s">
        <v>66</v>
      </c>
      <c r="C27" s="62">
        <f t="shared" ref="C27:I27" si="6">C16+C21-C23-C24*C9</f>
        <v>5453.2500000000009</v>
      </c>
      <c r="D27" s="62">
        <f t="shared" si="6"/>
        <v>5289.6525000000011</v>
      </c>
      <c r="E27" s="62">
        <f t="shared" si="6"/>
        <v>5078.0664000000006</v>
      </c>
      <c r="F27" s="62">
        <f t="shared" si="6"/>
        <v>4680.732672000001</v>
      </c>
      <c r="G27" s="62">
        <f t="shared" si="6"/>
        <v>4587.1180185599997</v>
      </c>
      <c r="H27" s="62">
        <f t="shared" si="6"/>
        <v>4352.8232563199999</v>
      </c>
      <c r="I27" s="62">
        <f t="shared" si="6"/>
        <v>4309.2950237567993</v>
      </c>
      <c r="J27" s="6"/>
    </row>
    <row r="28" spans="1:10" ht="13.5" customHeight="1" x14ac:dyDescent="0.2">
      <c r="A28" s="6"/>
      <c r="B28" s="57" t="s">
        <v>67</v>
      </c>
      <c r="C28" s="62">
        <f t="shared" ref="C28:I28" si="7">C27/(1+$C$31)^C3</f>
        <v>5192.8830604633249</v>
      </c>
      <c r="D28" s="62">
        <f t="shared" si="7"/>
        <v>4579.1786987722044</v>
      </c>
      <c r="E28" s="62">
        <f t="shared" si="7"/>
        <v>3996.3741371102869</v>
      </c>
      <c r="F28" s="62">
        <f t="shared" si="7"/>
        <v>3348.797736567949</v>
      </c>
      <c r="G28" s="62">
        <f t="shared" si="7"/>
        <v>2983.4743471241713</v>
      </c>
      <c r="H28" s="62">
        <f t="shared" si="7"/>
        <v>2573.7167096383673</v>
      </c>
      <c r="I28" s="62">
        <f t="shared" si="7"/>
        <v>2316.3450386745303</v>
      </c>
      <c r="J28" s="6"/>
    </row>
    <row r="29" spans="1:10" ht="3.75" customHeight="1" x14ac:dyDescent="0.2">
      <c r="A29" s="6"/>
      <c r="B29" s="18" t="s">
        <v>68</v>
      </c>
      <c r="C29" s="60"/>
      <c r="D29" s="19"/>
      <c r="E29" s="19"/>
      <c r="F29" s="19"/>
      <c r="G29" s="19"/>
      <c r="H29" s="19"/>
      <c r="I29" s="19"/>
      <c r="J29" s="6"/>
    </row>
    <row r="30" spans="1:10" ht="12.75" customHeight="1" x14ac:dyDescent="0.2">
      <c r="A30" s="6"/>
      <c r="B30" s="53"/>
      <c r="C30" s="64"/>
      <c r="D30" s="64"/>
      <c r="E30" s="64"/>
      <c r="F30" s="64"/>
      <c r="G30" s="64"/>
      <c r="H30" s="64"/>
      <c r="I30" s="64"/>
      <c r="J30" s="6"/>
    </row>
    <row r="31" spans="1:10" ht="13.5" customHeight="1" x14ac:dyDescent="0.2">
      <c r="A31" s="6"/>
      <c r="B31" s="57" t="s">
        <v>69</v>
      </c>
      <c r="C31" s="58">
        <v>0.1</v>
      </c>
      <c r="D31" s="63"/>
      <c r="E31" s="63"/>
      <c r="F31" s="63"/>
      <c r="G31" s="63"/>
      <c r="H31" s="63"/>
      <c r="I31" s="63"/>
      <c r="J31" s="6"/>
    </row>
    <row r="32" spans="1:10" ht="13.5" customHeight="1" x14ac:dyDescent="0.2">
      <c r="A32" s="6"/>
      <c r="B32" s="57" t="s">
        <v>70</v>
      </c>
      <c r="C32" s="65">
        <v>10</v>
      </c>
      <c r="D32" s="66"/>
      <c r="E32" s="66"/>
      <c r="F32" s="66"/>
      <c r="G32" s="66"/>
      <c r="H32" s="66"/>
      <c r="I32" s="66"/>
      <c r="J32" s="6"/>
    </row>
    <row r="33" spans="1:10" ht="13.5" customHeight="1" x14ac:dyDescent="0.2">
      <c r="A33" s="6"/>
      <c r="B33" s="55" t="s">
        <v>71</v>
      </c>
      <c r="C33" s="67">
        <f>(C32*I14)/(1+C31)^I3</f>
        <v>31730.753954445616</v>
      </c>
      <c r="D33" s="68"/>
      <c r="E33" s="68"/>
      <c r="F33" s="68"/>
      <c r="G33" s="68"/>
      <c r="H33" s="68"/>
      <c r="I33" s="68"/>
      <c r="J33" s="6"/>
    </row>
    <row r="34" spans="1:10" ht="6" customHeight="1" x14ac:dyDescent="0.2">
      <c r="A34" s="6"/>
      <c r="B34" s="40"/>
      <c r="C34" s="69"/>
      <c r="D34" s="70"/>
      <c r="E34" s="70"/>
      <c r="F34" s="70"/>
      <c r="G34" s="70"/>
      <c r="H34" s="70"/>
      <c r="I34" s="70"/>
      <c r="J34" s="6"/>
    </row>
    <row r="35" spans="1:10" ht="15.75" customHeight="1" x14ac:dyDescent="0.2">
      <c r="A35" s="6"/>
      <c r="B35" s="15" t="s">
        <v>72</v>
      </c>
      <c r="C35" s="16">
        <f>C33+SUM(C28:I28)</f>
        <v>56721.523682796455</v>
      </c>
      <c r="D35" s="71"/>
      <c r="E35" s="71"/>
      <c r="F35" s="71"/>
      <c r="G35" s="71"/>
      <c r="H35" s="71"/>
      <c r="I35" s="71"/>
      <c r="J35" s="6"/>
    </row>
    <row r="36" spans="1:10" ht="13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/>
    <row r="42" spans="1:10" ht="15" customHeight="1" x14ac:dyDescent="0.2"/>
    <row r="43" spans="1:10" ht="15" customHeight="1" x14ac:dyDescent="0.2"/>
    <row r="44" spans="1:10" ht="15" customHeight="1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2" defaultRowHeight="14.25" x14ac:dyDescent="0.2"/>
  <cols>
    <col min="1" max="1" width="2" style="37"/>
    <col min="2" max="2" width="30" style="37" customWidth="1"/>
    <col min="3" max="9" width="10" style="37" customWidth="1"/>
    <col min="10" max="16384" width="2" style="37"/>
  </cols>
  <sheetData>
    <row r="1" spans="1:10" ht="15.75" customHeight="1" x14ac:dyDescent="0.2">
      <c r="A1" s="1" t="s">
        <v>35</v>
      </c>
      <c r="B1" s="2" t="s">
        <v>76</v>
      </c>
      <c r="C1" s="38" t="s">
        <v>37</v>
      </c>
      <c r="D1" s="39">
        <f ca="1">TODAY()</f>
        <v>46200</v>
      </c>
      <c r="E1" s="4"/>
      <c r="F1" s="4"/>
      <c r="G1" s="4"/>
      <c r="H1" s="4"/>
      <c r="I1" s="5">
        <f ca="1">TODAY()</f>
        <v>46200</v>
      </c>
      <c r="J1" s="1"/>
    </row>
    <row r="2" spans="1:10" ht="6" customHeight="1" x14ac:dyDescent="0.2">
      <c r="A2" s="6"/>
      <c r="B2" s="40"/>
      <c r="C2" s="6"/>
      <c r="D2" s="6"/>
      <c r="E2" s="6"/>
      <c r="F2" s="6"/>
      <c r="G2" s="6"/>
      <c r="H2" s="6"/>
      <c r="I2" s="6"/>
      <c r="J2" s="6"/>
    </row>
    <row r="3" spans="1:10" ht="14.25" customHeight="1" x14ac:dyDescent="0.2">
      <c r="A3" s="6"/>
      <c r="B3" s="41" t="s">
        <v>38</v>
      </c>
      <c r="C3" s="42">
        <v>0.51329999999999998</v>
      </c>
      <c r="D3" s="42">
        <f t="shared" ref="D3:I4" si="0">C3+1</f>
        <v>1.5133000000000001</v>
      </c>
      <c r="E3" s="42">
        <f t="shared" si="0"/>
        <v>2.5133000000000001</v>
      </c>
      <c r="F3" s="42">
        <f t="shared" si="0"/>
        <v>3.5133000000000001</v>
      </c>
      <c r="G3" s="42">
        <f t="shared" si="0"/>
        <v>4.5133000000000001</v>
      </c>
      <c r="H3" s="42">
        <f t="shared" si="0"/>
        <v>5.5133000000000001</v>
      </c>
      <c r="I3" s="42">
        <f t="shared" si="0"/>
        <v>6.5133000000000001</v>
      </c>
      <c r="J3" s="6"/>
    </row>
    <row r="4" spans="1:10" ht="14.25" customHeight="1" x14ac:dyDescent="0.2">
      <c r="A4" s="6"/>
      <c r="B4" s="43" t="s">
        <v>39</v>
      </c>
      <c r="C4" s="44">
        <v>2026</v>
      </c>
      <c r="D4" s="44">
        <f t="shared" si="0"/>
        <v>2027</v>
      </c>
      <c r="E4" s="44">
        <f t="shared" si="0"/>
        <v>2028</v>
      </c>
      <c r="F4" s="44">
        <f t="shared" si="0"/>
        <v>2029</v>
      </c>
      <c r="G4" s="44">
        <f t="shared" si="0"/>
        <v>2030</v>
      </c>
      <c r="H4" s="44">
        <f t="shared" si="0"/>
        <v>2031</v>
      </c>
      <c r="I4" s="44">
        <f t="shared" si="0"/>
        <v>2032</v>
      </c>
      <c r="J4" s="6"/>
    </row>
    <row r="5" spans="1:10" ht="15" customHeight="1" x14ac:dyDescent="0.2">
      <c r="A5" s="6"/>
      <c r="B5" s="45" t="s">
        <v>40</v>
      </c>
      <c r="C5" s="46" t="s">
        <v>41</v>
      </c>
      <c r="D5" s="46" t="s">
        <v>42</v>
      </c>
      <c r="E5" s="46" t="s">
        <v>43</v>
      </c>
      <c r="F5" s="46" t="s">
        <v>44</v>
      </c>
      <c r="G5" s="46" t="s">
        <v>45</v>
      </c>
      <c r="H5" s="46" t="s">
        <v>46</v>
      </c>
      <c r="I5" s="46" t="s">
        <v>47</v>
      </c>
      <c r="J5" s="6"/>
    </row>
    <row r="6" spans="1:10" s="49" customFormat="1" ht="9.75" customHeight="1" x14ac:dyDescent="0.25">
      <c r="A6" s="6"/>
      <c r="B6" s="47" t="s">
        <v>48</v>
      </c>
      <c r="C6" s="48" t="s">
        <v>49</v>
      </c>
      <c r="D6" s="48" t="s">
        <v>50</v>
      </c>
      <c r="E6" s="48" t="s">
        <v>50</v>
      </c>
      <c r="F6" s="48" t="s">
        <v>50</v>
      </c>
      <c r="G6" s="48" t="s">
        <v>50</v>
      </c>
      <c r="H6" s="48" t="s">
        <v>50</v>
      </c>
      <c r="I6" s="48" t="s">
        <v>50</v>
      </c>
      <c r="J6" s="6"/>
    </row>
    <row r="7" spans="1:10" s="52" customFormat="1" ht="6" customHeight="1" x14ac:dyDescent="0.2">
      <c r="A7" s="6"/>
      <c r="B7" s="18" t="s">
        <v>51</v>
      </c>
      <c r="C7" s="19"/>
      <c r="D7" s="50"/>
      <c r="E7" s="51"/>
      <c r="F7" s="51"/>
      <c r="G7" s="51"/>
      <c r="H7" s="51"/>
      <c r="I7" s="51"/>
      <c r="J7" s="6"/>
    </row>
    <row r="8" spans="1:10" s="52" customFormat="1" ht="12.75" customHeight="1" x14ac:dyDescent="0.2">
      <c r="A8" s="6"/>
      <c r="B8" s="53"/>
      <c r="C8" s="54"/>
      <c r="D8" s="54"/>
      <c r="E8" s="54"/>
      <c r="F8" s="54"/>
      <c r="G8" s="54"/>
      <c r="H8" s="54"/>
      <c r="I8" s="54"/>
      <c r="J8" s="6"/>
    </row>
    <row r="9" spans="1:10" s="52" customFormat="1" ht="13.5" customHeight="1" x14ac:dyDescent="0.2">
      <c r="A9" s="6"/>
      <c r="B9" s="55" t="s">
        <v>77</v>
      </c>
      <c r="C9" s="62">
        <v>4500</v>
      </c>
      <c r="D9" s="62">
        <f t="shared" ref="D9:I9" si="1">C9*(1+D10)</f>
        <v>5850</v>
      </c>
      <c r="E9" s="62">
        <f t="shared" si="1"/>
        <v>7605</v>
      </c>
      <c r="F9" s="62">
        <f t="shared" si="1"/>
        <v>9962.5500000000011</v>
      </c>
      <c r="G9" s="62">
        <f t="shared" si="1"/>
        <v>11755.809000000001</v>
      </c>
      <c r="H9" s="62">
        <f t="shared" si="1"/>
        <v>13519.180350000001</v>
      </c>
      <c r="I9" s="62">
        <f t="shared" si="1"/>
        <v>15141.481992000003</v>
      </c>
      <c r="J9" s="6"/>
    </row>
    <row r="10" spans="1:10" s="49" customFormat="1" ht="13.5" customHeight="1" x14ac:dyDescent="0.25">
      <c r="A10" s="6"/>
      <c r="B10" s="57" t="s">
        <v>75</v>
      </c>
      <c r="C10" s="58"/>
      <c r="D10" s="58">
        <v>0.3</v>
      </c>
      <c r="E10" s="58">
        <v>0.3</v>
      </c>
      <c r="F10" s="58">
        <v>0.31</v>
      </c>
      <c r="G10" s="58">
        <v>0.18</v>
      </c>
      <c r="H10" s="58">
        <v>0.15</v>
      </c>
      <c r="I10" s="58">
        <v>0.12</v>
      </c>
      <c r="J10" s="6"/>
    </row>
    <row r="11" spans="1:10" s="49" customFormat="1" ht="3.75" customHeight="1" x14ac:dyDescent="0.25">
      <c r="A11" s="6"/>
      <c r="B11" s="18" t="s">
        <v>54</v>
      </c>
      <c r="C11" s="60"/>
      <c r="D11" s="60"/>
      <c r="E11" s="60"/>
      <c r="F11" s="60"/>
      <c r="G11" s="60"/>
      <c r="H11" s="60"/>
      <c r="I11" s="60"/>
      <c r="J11" s="6"/>
    </row>
    <row r="12" spans="1:10" s="52" customFormat="1" ht="12.75" customHeight="1" x14ac:dyDescent="0.2">
      <c r="A12" s="6"/>
      <c r="B12" s="53"/>
      <c r="C12" s="61"/>
      <c r="D12" s="61"/>
      <c r="E12" s="61"/>
      <c r="F12" s="61"/>
      <c r="G12" s="61"/>
      <c r="H12" s="61"/>
      <c r="I12" s="61"/>
      <c r="J12" s="6"/>
    </row>
    <row r="13" spans="1:10" s="49" customFormat="1" ht="13.5" customHeight="1" x14ac:dyDescent="0.25">
      <c r="A13" s="6"/>
      <c r="B13" s="57" t="s">
        <v>55</v>
      </c>
      <c r="C13" s="58">
        <v>0.14000000000000001</v>
      </c>
      <c r="D13" s="58">
        <v>0.12</v>
      </c>
      <c r="E13" s="58">
        <v>0.16</v>
      </c>
      <c r="F13" s="58">
        <v>0.2</v>
      </c>
      <c r="G13" s="58">
        <v>0.22</v>
      </c>
      <c r="H13" s="58">
        <v>0.24</v>
      </c>
      <c r="I13" s="58">
        <v>0.24</v>
      </c>
      <c r="J13" s="6"/>
    </row>
    <row r="14" spans="1:10" ht="13.5" customHeight="1" x14ac:dyDescent="0.2">
      <c r="A14" s="6"/>
      <c r="B14" s="55" t="s">
        <v>56</v>
      </c>
      <c r="C14" s="62">
        <f t="shared" ref="C14:I14" si="2">C13*C9</f>
        <v>630.00000000000011</v>
      </c>
      <c r="D14" s="62">
        <f t="shared" si="2"/>
        <v>702</v>
      </c>
      <c r="E14" s="62">
        <f t="shared" si="2"/>
        <v>1216.8</v>
      </c>
      <c r="F14" s="62">
        <f t="shared" si="2"/>
        <v>1992.5100000000002</v>
      </c>
      <c r="G14" s="62">
        <f t="shared" si="2"/>
        <v>2586.2779800000003</v>
      </c>
      <c r="H14" s="62">
        <f t="shared" si="2"/>
        <v>3244.6032839999998</v>
      </c>
      <c r="I14" s="62">
        <f t="shared" si="2"/>
        <v>3633.9556780800003</v>
      </c>
      <c r="J14" s="6"/>
    </row>
    <row r="15" spans="1:10" s="52" customFormat="1" ht="13.5" customHeight="1" x14ac:dyDescent="0.2">
      <c r="A15" s="6"/>
      <c r="B15" s="57" t="s">
        <v>57</v>
      </c>
      <c r="C15" s="58">
        <v>0.21</v>
      </c>
      <c r="D15" s="58">
        <v>0.21</v>
      </c>
      <c r="E15" s="58">
        <v>0.21</v>
      </c>
      <c r="F15" s="58">
        <v>0.21</v>
      </c>
      <c r="G15" s="58">
        <v>0.21</v>
      </c>
      <c r="H15" s="58">
        <v>0.21</v>
      </c>
      <c r="I15" s="58">
        <v>0.21</v>
      </c>
      <c r="J15" s="6"/>
    </row>
    <row r="16" spans="1:10" ht="13.5" customHeight="1" x14ac:dyDescent="0.2">
      <c r="A16" s="6"/>
      <c r="B16" s="55" t="s">
        <v>58</v>
      </c>
      <c r="C16" s="62">
        <f t="shared" ref="C16:I16" si="3">C14*(1-C15)</f>
        <v>497.7000000000001</v>
      </c>
      <c r="D16" s="62">
        <f t="shared" si="3"/>
        <v>554.58000000000004</v>
      </c>
      <c r="E16" s="62">
        <f t="shared" si="3"/>
        <v>961.27200000000005</v>
      </c>
      <c r="F16" s="62">
        <f t="shared" si="3"/>
        <v>1574.0829000000003</v>
      </c>
      <c r="G16" s="62">
        <f t="shared" si="3"/>
        <v>2043.1596042000003</v>
      </c>
      <c r="H16" s="62">
        <f t="shared" si="3"/>
        <v>2563.2365943599998</v>
      </c>
      <c r="I16" s="62">
        <f t="shared" si="3"/>
        <v>2870.8249856832003</v>
      </c>
      <c r="J16" s="6"/>
    </row>
    <row r="17" spans="1:10" ht="3.75" customHeight="1" x14ac:dyDescent="0.2">
      <c r="A17" s="6"/>
      <c r="B17" s="18" t="s">
        <v>59</v>
      </c>
      <c r="C17" s="19"/>
      <c r="D17" s="19"/>
      <c r="E17" s="19"/>
      <c r="F17" s="19"/>
      <c r="G17" s="19"/>
      <c r="H17" s="19"/>
      <c r="I17" s="19"/>
      <c r="J17" s="6"/>
    </row>
    <row r="18" spans="1:10" ht="12.75" customHeight="1" x14ac:dyDescent="0.2">
      <c r="A18" s="6"/>
      <c r="B18" s="53"/>
      <c r="C18" s="61"/>
      <c r="D18" s="61"/>
      <c r="E18" s="61"/>
      <c r="F18" s="61"/>
      <c r="G18" s="61"/>
      <c r="H18" s="61"/>
      <c r="I18" s="61"/>
      <c r="J18" s="6"/>
    </row>
    <row r="19" spans="1:10" ht="13.5" customHeight="1" x14ac:dyDescent="0.2">
      <c r="A19" s="6"/>
      <c r="B19" s="57"/>
      <c r="C19" s="63"/>
      <c r="D19" s="63"/>
      <c r="E19" s="63"/>
      <c r="F19" s="63"/>
      <c r="G19" s="63"/>
      <c r="H19" s="63"/>
      <c r="I19" s="63"/>
      <c r="J19" s="6"/>
    </row>
    <row r="20" spans="1:10" ht="13.5" customHeight="1" x14ac:dyDescent="0.2">
      <c r="A20" s="6"/>
      <c r="B20" s="57" t="s">
        <v>60</v>
      </c>
      <c r="C20" s="58">
        <v>0.04</v>
      </c>
      <c r="D20" s="58">
        <v>0.04</v>
      </c>
      <c r="E20" s="58">
        <v>0.04</v>
      </c>
      <c r="F20" s="58">
        <v>3.5000000000000003E-2</v>
      </c>
      <c r="G20" s="58">
        <v>3.5000000000000003E-2</v>
      </c>
      <c r="H20" s="58">
        <v>3.5000000000000003E-2</v>
      </c>
      <c r="I20" s="58">
        <v>3.5000000000000003E-2</v>
      </c>
      <c r="J20" s="6"/>
    </row>
    <row r="21" spans="1:10" ht="13.5" customHeight="1" x14ac:dyDescent="0.2">
      <c r="A21" s="6"/>
      <c r="B21" s="57" t="s">
        <v>61</v>
      </c>
      <c r="C21" s="62">
        <f t="shared" ref="C21:I21" si="4">C20*C9</f>
        <v>180</v>
      </c>
      <c r="D21" s="62">
        <f t="shared" si="4"/>
        <v>234</v>
      </c>
      <c r="E21" s="62">
        <f t="shared" si="4"/>
        <v>304.2</v>
      </c>
      <c r="F21" s="62">
        <f t="shared" si="4"/>
        <v>348.68925000000007</v>
      </c>
      <c r="G21" s="62">
        <f t="shared" si="4"/>
        <v>411.45331500000009</v>
      </c>
      <c r="H21" s="62">
        <f t="shared" si="4"/>
        <v>473.17131225000008</v>
      </c>
      <c r="I21" s="62">
        <f t="shared" si="4"/>
        <v>529.9518697200001</v>
      </c>
      <c r="J21" s="6"/>
    </row>
    <row r="22" spans="1:10" ht="13.5" customHeight="1" x14ac:dyDescent="0.2">
      <c r="A22" s="6"/>
      <c r="B22" s="57" t="s">
        <v>62</v>
      </c>
      <c r="C22" s="58">
        <v>0.05</v>
      </c>
      <c r="D22" s="58">
        <v>0.05</v>
      </c>
      <c r="E22" s="58">
        <v>0.05</v>
      </c>
      <c r="F22" s="58">
        <v>4.4999999999999998E-2</v>
      </c>
      <c r="G22" s="58">
        <v>0.04</v>
      </c>
      <c r="H22" s="58">
        <v>0.04</v>
      </c>
      <c r="I22" s="58">
        <v>0.04</v>
      </c>
      <c r="J22" s="6"/>
    </row>
    <row r="23" spans="1:10" ht="13.5" customHeight="1" x14ac:dyDescent="0.2">
      <c r="A23" s="6"/>
      <c r="B23" s="57" t="s">
        <v>63</v>
      </c>
      <c r="C23" s="62">
        <f t="shared" ref="C23:I23" si="5">C22*C9</f>
        <v>225</v>
      </c>
      <c r="D23" s="62">
        <f t="shared" si="5"/>
        <v>292.5</v>
      </c>
      <c r="E23" s="62">
        <f t="shared" si="5"/>
        <v>380.25</v>
      </c>
      <c r="F23" s="62">
        <f t="shared" si="5"/>
        <v>448.31475000000006</v>
      </c>
      <c r="G23" s="62">
        <f t="shared" si="5"/>
        <v>470.23236000000003</v>
      </c>
      <c r="H23" s="62">
        <f t="shared" si="5"/>
        <v>540.76721400000008</v>
      </c>
      <c r="I23" s="62">
        <f t="shared" si="5"/>
        <v>605.65927968000017</v>
      </c>
      <c r="J23" s="6"/>
    </row>
    <row r="24" spans="1:10" s="49" customFormat="1" ht="13.5" customHeight="1" x14ac:dyDescent="0.25">
      <c r="A24" s="6"/>
      <c r="B24" s="57" t="s">
        <v>64</v>
      </c>
      <c r="C24" s="58">
        <v>0.06</v>
      </c>
      <c r="D24" s="58">
        <v>0.05</v>
      </c>
      <c r="E24" s="58">
        <v>0.04</v>
      </c>
      <c r="F24" s="58">
        <v>3.5000000000000003E-2</v>
      </c>
      <c r="G24" s="58">
        <v>0.03</v>
      </c>
      <c r="H24" s="58">
        <v>0.03</v>
      </c>
      <c r="I24" s="58">
        <v>0.03</v>
      </c>
      <c r="J24" s="6"/>
    </row>
    <row r="25" spans="1:10" ht="3.75" customHeight="1" x14ac:dyDescent="0.2">
      <c r="A25" s="6"/>
      <c r="B25" s="18" t="s">
        <v>65</v>
      </c>
      <c r="C25" s="60"/>
      <c r="D25" s="60"/>
      <c r="E25" s="60"/>
      <c r="F25" s="60"/>
      <c r="G25" s="60"/>
      <c r="H25" s="60"/>
      <c r="I25" s="60"/>
      <c r="J25" s="6"/>
    </row>
    <row r="26" spans="1:10" ht="12.75" customHeight="1" x14ac:dyDescent="0.2">
      <c r="A26" s="6"/>
      <c r="B26" s="53"/>
      <c r="C26" s="54"/>
      <c r="D26" s="54"/>
      <c r="E26" s="54"/>
      <c r="F26" s="54"/>
      <c r="G26" s="54"/>
      <c r="H26" s="54"/>
      <c r="I26" s="54"/>
      <c r="J26" s="6"/>
    </row>
    <row r="27" spans="1:10" ht="13.5" customHeight="1" x14ac:dyDescent="0.2">
      <c r="A27" s="6"/>
      <c r="B27" s="55" t="s">
        <v>66</v>
      </c>
      <c r="C27" s="62">
        <f t="shared" ref="C27:I27" si="6">C16+C21-C23-C24*C9</f>
        <v>182.70000000000005</v>
      </c>
      <c r="D27" s="62">
        <f t="shared" si="6"/>
        <v>203.58000000000004</v>
      </c>
      <c r="E27" s="62">
        <f t="shared" si="6"/>
        <v>581.02199999999993</v>
      </c>
      <c r="F27" s="62">
        <f t="shared" si="6"/>
        <v>1125.7681500000003</v>
      </c>
      <c r="G27" s="62">
        <f t="shared" si="6"/>
        <v>1631.7062892000004</v>
      </c>
      <c r="H27" s="62">
        <f t="shared" si="6"/>
        <v>2090.0652821099998</v>
      </c>
      <c r="I27" s="62">
        <f t="shared" si="6"/>
        <v>2340.8731159632002</v>
      </c>
      <c r="J27" s="6"/>
    </row>
    <row r="28" spans="1:10" ht="13.5" customHeight="1" x14ac:dyDescent="0.2">
      <c r="A28" s="6"/>
      <c r="B28" s="57" t="s">
        <v>67</v>
      </c>
      <c r="C28" s="62">
        <f t="shared" ref="C28:I28" si="7">C27/(1+$C$31)^C3</f>
        <v>173.17064013343378</v>
      </c>
      <c r="D28" s="62">
        <f t="shared" si="7"/>
        <v>173.83925264360147</v>
      </c>
      <c r="E28" s="62">
        <f t="shared" si="7"/>
        <v>446.97407508963676</v>
      </c>
      <c r="F28" s="62">
        <f t="shared" si="7"/>
        <v>780.21758803262753</v>
      </c>
      <c r="G28" s="62">
        <f t="shared" si="7"/>
        <v>1018.7926129182481</v>
      </c>
      <c r="H28" s="62">
        <f t="shared" si="7"/>
        <v>1175.6571036862636</v>
      </c>
      <c r="I28" s="62">
        <f t="shared" si="7"/>
        <v>1186.2486091248786</v>
      </c>
      <c r="J28" s="6"/>
    </row>
    <row r="29" spans="1:10" ht="3.75" customHeight="1" x14ac:dyDescent="0.2">
      <c r="A29" s="6"/>
      <c r="B29" s="18" t="s">
        <v>68</v>
      </c>
      <c r="C29" s="60"/>
      <c r="D29" s="19"/>
      <c r="E29" s="19"/>
      <c r="F29" s="19"/>
      <c r="G29" s="19"/>
      <c r="H29" s="19"/>
      <c r="I29" s="19"/>
      <c r="J29" s="6"/>
    </row>
    <row r="30" spans="1:10" ht="12.75" customHeight="1" x14ac:dyDescent="0.2">
      <c r="A30" s="6"/>
      <c r="B30" s="53"/>
      <c r="C30" s="64"/>
      <c r="D30" s="64"/>
      <c r="E30" s="64"/>
      <c r="F30" s="64"/>
      <c r="G30" s="64"/>
      <c r="H30" s="64"/>
      <c r="I30" s="64"/>
      <c r="J30" s="6"/>
    </row>
    <row r="31" spans="1:10" ht="13.5" customHeight="1" x14ac:dyDescent="0.2">
      <c r="A31" s="6"/>
      <c r="B31" s="57" t="s">
        <v>69</v>
      </c>
      <c r="C31" s="58">
        <v>0.11</v>
      </c>
      <c r="D31" s="63"/>
      <c r="E31" s="63"/>
      <c r="F31" s="63"/>
      <c r="G31" s="63"/>
      <c r="H31" s="63"/>
      <c r="I31" s="63"/>
      <c r="J31" s="6"/>
    </row>
    <row r="32" spans="1:10" ht="13.5" customHeight="1" x14ac:dyDescent="0.2">
      <c r="A32" s="6"/>
      <c r="B32" s="57" t="s">
        <v>70</v>
      </c>
      <c r="C32" s="65">
        <v>15</v>
      </c>
      <c r="D32" s="66"/>
      <c r="E32" s="66"/>
      <c r="F32" s="66"/>
      <c r="G32" s="66"/>
      <c r="H32" s="66"/>
      <c r="I32" s="66"/>
      <c r="J32" s="6"/>
    </row>
    <row r="33" spans="1:10" ht="13.5" customHeight="1" x14ac:dyDescent="0.2">
      <c r="A33" s="6"/>
      <c r="B33" s="55" t="s">
        <v>71</v>
      </c>
      <c r="C33" s="67">
        <f>(C32*I14)/(1+C31)^I3</f>
        <v>27622.865412998468</v>
      </c>
      <c r="D33" s="68"/>
      <c r="E33" s="68"/>
      <c r="F33" s="68"/>
      <c r="G33" s="68"/>
      <c r="H33" s="68"/>
      <c r="I33" s="68"/>
      <c r="J33" s="6"/>
    </row>
    <row r="34" spans="1:10" ht="6" customHeight="1" x14ac:dyDescent="0.2">
      <c r="A34" s="6"/>
      <c r="B34" s="40"/>
      <c r="C34" s="69"/>
      <c r="D34" s="70"/>
      <c r="E34" s="70"/>
      <c r="F34" s="70"/>
      <c r="G34" s="70"/>
      <c r="H34" s="70"/>
      <c r="I34" s="70"/>
      <c r="J34" s="6"/>
    </row>
    <row r="35" spans="1:10" ht="15.75" customHeight="1" x14ac:dyDescent="0.2">
      <c r="A35" s="6"/>
      <c r="B35" s="15" t="s">
        <v>72</v>
      </c>
      <c r="C35" s="16">
        <f>C33+SUM(C28:I28)</f>
        <v>32577.765294627156</v>
      </c>
      <c r="D35" s="71"/>
      <c r="E35" s="71"/>
      <c r="F35" s="71"/>
      <c r="G35" s="71"/>
      <c r="H35" s="71"/>
      <c r="I35" s="71"/>
      <c r="J35" s="6"/>
    </row>
    <row r="36" spans="1:10" ht="13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/>
    <row r="42" spans="1:10" ht="15" customHeight="1" x14ac:dyDescent="0.2"/>
    <row r="43" spans="1:10" ht="15" customHeight="1" x14ac:dyDescent="0.2"/>
    <row r="44" spans="1:10" ht="15" customHeight="1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2" defaultRowHeight="14.25" x14ac:dyDescent="0.2"/>
  <cols>
    <col min="1" max="1" width="2" style="37"/>
    <col min="2" max="2" width="30" style="37" customWidth="1"/>
    <col min="3" max="9" width="10" style="37" customWidth="1"/>
    <col min="10" max="16384" width="2" style="37"/>
  </cols>
  <sheetData>
    <row r="1" spans="1:10" ht="15.75" customHeight="1" x14ac:dyDescent="0.2">
      <c r="A1" s="1" t="s">
        <v>35</v>
      </c>
      <c r="B1" s="2" t="s">
        <v>78</v>
      </c>
      <c r="C1" s="38" t="s">
        <v>37</v>
      </c>
      <c r="D1" s="39">
        <f ca="1">TODAY()</f>
        <v>46200</v>
      </c>
      <c r="E1" s="4"/>
      <c r="F1" s="4"/>
      <c r="G1" s="4"/>
      <c r="H1" s="4"/>
      <c r="I1" s="5">
        <f ca="1">TODAY()</f>
        <v>46200</v>
      </c>
      <c r="J1" s="1"/>
    </row>
    <row r="2" spans="1:10" ht="6" customHeight="1" x14ac:dyDescent="0.2">
      <c r="A2" s="6"/>
      <c r="B2" s="40"/>
      <c r="C2" s="6"/>
      <c r="D2" s="6"/>
      <c r="E2" s="6"/>
      <c r="F2" s="6"/>
      <c r="G2" s="6"/>
      <c r="H2" s="6"/>
      <c r="I2" s="6"/>
      <c r="J2" s="6"/>
    </row>
    <row r="3" spans="1:10" ht="14.25" customHeight="1" x14ac:dyDescent="0.2">
      <c r="A3" s="6"/>
      <c r="B3" s="41" t="s">
        <v>38</v>
      </c>
      <c r="C3" s="42">
        <v>0.51329999999999998</v>
      </c>
      <c r="D3" s="42">
        <f t="shared" ref="D3:I4" si="0">C3+1</f>
        <v>1.5133000000000001</v>
      </c>
      <c r="E3" s="42">
        <f t="shared" si="0"/>
        <v>2.5133000000000001</v>
      </c>
      <c r="F3" s="42">
        <f t="shared" si="0"/>
        <v>3.5133000000000001</v>
      </c>
      <c r="G3" s="42">
        <f t="shared" si="0"/>
        <v>4.5133000000000001</v>
      </c>
      <c r="H3" s="42">
        <f t="shared" si="0"/>
        <v>5.5133000000000001</v>
      </c>
      <c r="I3" s="42">
        <f t="shared" si="0"/>
        <v>6.5133000000000001</v>
      </c>
      <c r="J3" s="6"/>
    </row>
    <row r="4" spans="1:10" ht="14.25" customHeight="1" x14ac:dyDescent="0.2">
      <c r="A4" s="6"/>
      <c r="B4" s="43" t="s">
        <v>39</v>
      </c>
      <c r="C4" s="44">
        <v>2026</v>
      </c>
      <c r="D4" s="44">
        <f t="shared" si="0"/>
        <v>2027</v>
      </c>
      <c r="E4" s="44">
        <f t="shared" si="0"/>
        <v>2028</v>
      </c>
      <c r="F4" s="44">
        <f t="shared" si="0"/>
        <v>2029</v>
      </c>
      <c r="G4" s="44">
        <f t="shared" si="0"/>
        <v>2030</v>
      </c>
      <c r="H4" s="44">
        <f t="shared" si="0"/>
        <v>2031</v>
      </c>
      <c r="I4" s="44">
        <f t="shared" si="0"/>
        <v>2032</v>
      </c>
      <c r="J4" s="6"/>
    </row>
    <row r="5" spans="1:10" ht="15" customHeight="1" x14ac:dyDescent="0.2">
      <c r="A5" s="6"/>
      <c r="B5" s="45" t="s">
        <v>40</v>
      </c>
      <c r="C5" s="46" t="s">
        <v>41</v>
      </c>
      <c r="D5" s="46" t="s">
        <v>42</v>
      </c>
      <c r="E5" s="46" t="s">
        <v>43</v>
      </c>
      <c r="F5" s="46" t="s">
        <v>44</v>
      </c>
      <c r="G5" s="46" t="s">
        <v>45</v>
      </c>
      <c r="H5" s="46" t="s">
        <v>46</v>
      </c>
      <c r="I5" s="46" t="s">
        <v>47</v>
      </c>
      <c r="J5" s="6"/>
    </row>
    <row r="6" spans="1:10" s="49" customFormat="1" ht="9.75" customHeight="1" x14ac:dyDescent="0.25">
      <c r="A6" s="6"/>
      <c r="B6" s="47" t="s">
        <v>48</v>
      </c>
      <c r="C6" s="48" t="s">
        <v>49</v>
      </c>
      <c r="D6" s="48" t="s">
        <v>50</v>
      </c>
      <c r="E6" s="48" t="s">
        <v>50</v>
      </c>
      <c r="F6" s="48" t="s">
        <v>50</v>
      </c>
      <c r="G6" s="48" t="s">
        <v>50</v>
      </c>
      <c r="H6" s="48" t="s">
        <v>50</v>
      </c>
      <c r="I6" s="48" t="s">
        <v>50</v>
      </c>
      <c r="J6" s="6"/>
    </row>
    <row r="7" spans="1:10" s="52" customFormat="1" ht="6" customHeight="1" x14ac:dyDescent="0.2">
      <c r="A7" s="6"/>
      <c r="B7" s="18" t="s">
        <v>51</v>
      </c>
      <c r="C7" s="19"/>
      <c r="D7" s="50"/>
      <c r="E7" s="51"/>
      <c r="F7" s="51"/>
      <c r="G7" s="51"/>
      <c r="H7" s="51"/>
      <c r="I7" s="51"/>
      <c r="J7" s="6"/>
    </row>
    <row r="8" spans="1:10" s="52" customFormat="1" ht="12.75" customHeight="1" x14ac:dyDescent="0.2">
      <c r="A8" s="6"/>
      <c r="B8" s="53"/>
      <c r="C8" s="54"/>
      <c r="D8" s="54"/>
      <c r="E8" s="54"/>
      <c r="F8" s="54"/>
      <c r="G8" s="54"/>
      <c r="H8" s="54"/>
      <c r="I8" s="54"/>
      <c r="J8" s="6"/>
    </row>
    <row r="9" spans="1:10" s="52" customFormat="1" ht="13.5" customHeight="1" x14ac:dyDescent="0.2">
      <c r="A9" s="6"/>
      <c r="B9" s="55" t="s">
        <v>79</v>
      </c>
      <c r="C9" s="62">
        <v>3200</v>
      </c>
      <c r="D9" s="62">
        <f t="shared" ref="D9:I9" si="1">C9*(1+D10)</f>
        <v>4480</v>
      </c>
      <c r="E9" s="62">
        <f t="shared" si="1"/>
        <v>6272</v>
      </c>
      <c r="F9" s="62">
        <f t="shared" si="1"/>
        <v>8529.92</v>
      </c>
      <c r="G9" s="62">
        <f t="shared" si="1"/>
        <v>10235.904</v>
      </c>
      <c r="H9" s="62">
        <f t="shared" si="1"/>
        <v>11771.2896</v>
      </c>
      <c r="I9" s="62">
        <f t="shared" si="1"/>
        <v>12948.418560000002</v>
      </c>
      <c r="J9" s="6"/>
    </row>
    <row r="10" spans="1:10" s="49" customFormat="1" ht="13.5" customHeight="1" x14ac:dyDescent="0.25">
      <c r="A10" s="6"/>
      <c r="B10" s="57" t="s">
        <v>75</v>
      </c>
      <c r="C10" s="58"/>
      <c r="D10" s="58">
        <v>0.4</v>
      </c>
      <c r="E10" s="58">
        <v>0.4</v>
      </c>
      <c r="F10" s="58">
        <v>0.36</v>
      </c>
      <c r="G10" s="58">
        <v>0.2</v>
      </c>
      <c r="H10" s="58">
        <v>0.15</v>
      </c>
      <c r="I10" s="58">
        <v>0.1</v>
      </c>
      <c r="J10" s="6"/>
    </row>
    <row r="11" spans="1:10" s="49" customFormat="1" ht="3.75" customHeight="1" x14ac:dyDescent="0.25">
      <c r="A11" s="6"/>
      <c r="B11" s="18" t="s">
        <v>54</v>
      </c>
      <c r="C11" s="60"/>
      <c r="D11" s="60"/>
      <c r="E11" s="60"/>
      <c r="F11" s="60"/>
      <c r="G11" s="60"/>
      <c r="H11" s="60"/>
      <c r="I11" s="60"/>
      <c r="J11" s="6"/>
    </row>
    <row r="12" spans="1:10" s="52" customFormat="1" ht="12.75" customHeight="1" x14ac:dyDescent="0.2">
      <c r="A12" s="6"/>
      <c r="B12" s="53"/>
      <c r="C12" s="61"/>
      <c r="D12" s="61"/>
      <c r="E12" s="61"/>
      <c r="F12" s="61"/>
      <c r="G12" s="61"/>
      <c r="H12" s="61"/>
      <c r="I12" s="61"/>
      <c r="J12" s="6"/>
    </row>
    <row r="13" spans="1:10" s="49" customFormat="1" ht="13.5" customHeight="1" x14ac:dyDescent="0.25">
      <c r="A13" s="6"/>
      <c r="B13" s="57" t="s">
        <v>55</v>
      </c>
      <c r="C13" s="58">
        <v>0.14000000000000001</v>
      </c>
      <c r="D13" s="58">
        <v>0.16</v>
      </c>
      <c r="E13" s="58">
        <v>0.2</v>
      </c>
      <c r="F13" s="58">
        <v>0.24</v>
      </c>
      <c r="G13" s="58">
        <v>0.26</v>
      </c>
      <c r="H13" s="58">
        <v>0.27</v>
      </c>
      <c r="I13" s="58">
        <v>0.27</v>
      </c>
      <c r="J13" s="6"/>
    </row>
    <row r="14" spans="1:10" ht="13.5" customHeight="1" x14ac:dyDescent="0.2">
      <c r="A14" s="6"/>
      <c r="B14" s="55" t="s">
        <v>56</v>
      </c>
      <c r="C14" s="62">
        <f t="shared" ref="C14:I14" si="2">C13*C9</f>
        <v>448.00000000000006</v>
      </c>
      <c r="D14" s="62">
        <f t="shared" si="2"/>
        <v>716.80000000000007</v>
      </c>
      <c r="E14" s="62">
        <f t="shared" si="2"/>
        <v>1254.4000000000001</v>
      </c>
      <c r="F14" s="62">
        <f t="shared" si="2"/>
        <v>2047.1807999999999</v>
      </c>
      <c r="G14" s="62">
        <f t="shared" si="2"/>
        <v>2661.3350400000004</v>
      </c>
      <c r="H14" s="62">
        <f t="shared" si="2"/>
        <v>3178.248192</v>
      </c>
      <c r="I14" s="62">
        <f t="shared" si="2"/>
        <v>3496.0730112000006</v>
      </c>
      <c r="J14" s="6"/>
    </row>
    <row r="15" spans="1:10" s="52" customFormat="1" ht="13.5" customHeight="1" x14ac:dyDescent="0.2">
      <c r="A15" s="6"/>
      <c r="B15" s="57" t="s">
        <v>57</v>
      </c>
      <c r="C15" s="58">
        <v>0.21</v>
      </c>
      <c r="D15" s="58">
        <v>0.21</v>
      </c>
      <c r="E15" s="58">
        <v>0.21</v>
      </c>
      <c r="F15" s="58">
        <v>0.21</v>
      </c>
      <c r="G15" s="58">
        <v>0.21</v>
      </c>
      <c r="H15" s="58">
        <v>0.21</v>
      </c>
      <c r="I15" s="58">
        <v>0.21</v>
      </c>
      <c r="J15" s="6"/>
    </row>
    <row r="16" spans="1:10" ht="13.5" customHeight="1" x14ac:dyDescent="0.2">
      <c r="A16" s="6"/>
      <c r="B16" s="55" t="s">
        <v>58</v>
      </c>
      <c r="C16" s="62">
        <f t="shared" ref="C16:I16" si="3">C14*(1-C15)</f>
        <v>353.92000000000007</v>
      </c>
      <c r="D16" s="62">
        <f t="shared" si="3"/>
        <v>566.27200000000005</v>
      </c>
      <c r="E16" s="62">
        <f t="shared" si="3"/>
        <v>990.97600000000011</v>
      </c>
      <c r="F16" s="62">
        <f t="shared" si="3"/>
        <v>1617.2728319999999</v>
      </c>
      <c r="G16" s="62">
        <f t="shared" si="3"/>
        <v>2102.4546816000002</v>
      </c>
      <c r="H16" s="62">
        <f t="shared" si="3"/>
        <v>2510.8160716800003</v>
      </c>
      <c r="I16" s="62">
        <f t="shared" si="3"/>
        <v>2761.8976788480004</v>
      </c>
      <c r="J16" s="6"/>
    </row>
    <row r="17" spans="1:10" ht="3.75" customHeight="1" x14ac:dyDescent="0.2">
      <c r="A17" s="6"/>
      <c r="B17" s="18" t="s">
        <v>59</v>
      </c>
      <c r="C17" s="19"/>
      <c r="D17" s="19"/>
      <c r="E17" s="19"/>
      <c r="F17" s="19"/>
      <c r="G17" s="19"/>
      <c r="H17" s="19"/>
      <c r="I17" s="19"/>
      <c r="J17" s="6"/>
    </row>
    <row r="18" spans="1:10" ht="12.75" customHeight="1" x14ac:dyDescent="0.2">
      <c r="A18" s="6"/>
      <c r="B18" s="53"/>
      <c r="C18" s="61"/>
      <c r="D18" s="61"/>
      <c r="E18" s="61"/>
      <c r="F18" s="61"/>
      <c r="G18" s="61"/>
      <c r="H18" s="61"/>
      <c r="I18" s="61"/>
      <c r="J18" s="6"/>
    </row>
    <row r="19" spans="1:10" ht="13.5" customHeight="1" x14ac:dyDescent="0.2">
      <c r="A19" s="6"/>
      <c r="B19" s="57"/>
      <c r="C19" s="63"/>
      <c r="D19" s="63"/>
      <c r="E19" s="63"/>
      <c r="F19" s="63"/>
      <c r="G19" s="63"/>
      <c r="H19" s="63"/>
      <c r="I19" s="63"/>
      <c r="J19" s="6"/>
    </row>
    <row r="20" spans="1:10" ht="13.5" customHeight="1" x14ac:dyDescent="0.2">
      <c r="A20" s="6"/>
      <c r="B20" s="57" t="s">
        <v>60</v>
      </c>
      <c r="C20" s="58">
        <v>0.04</v>
      </c>
      <c r="D20" s="58">
        <v>3.5000000000000003E-2</v>
      </c>
      <c r="E20" s="58">
        <v>3.5000000000000003E-2</v>
      </c>
      <c r="F20" s="58">
        <v>3.5000000000000003E-2</v>
      </c>
      <c r="G20" s="58">
        <v>3.5000000000000003E-2</v>
      </c>
      <c r="H20" s="58">
        <v>3.5000000000000003E-2</v>
      </c>
      <c r="I20" s="58">
        <v>3.5000000000000003E-2</v>
      </c>
      <c r="J20" s="6"/>
    </row>
    <row r="21" spans="1:10" ht="13.5" customHeight="1" x14ac:dyDescent="0.2">
      <c r="A21" s="6"/>
      <c r="B21" s="57" t="s">
        <v>61</v>
      </c>
      <c r="C21" s="62">
        <f t="shared" ref="C21:I21" si="4">C20*C9</f>
        <v>128</v>
      </c>
      <c r="D21" s="62">
        <f t="shared" si="4"/>
        <v>156.80000000000001</v>
      </c>
      <c r="E21" s="62">
        <f t="shared" si="4"/>
        <v>219.52</v>
      </c>
      <c r="F21" s="62">
        <f t="shared" si="4"/>
        <v>298.54720000000003</v>
      </c>
      <c r="G21" s="62">
        <f t="shared" si="4"/>
        <v>358.25664000000006</v>
      </c>
      <c r="H21" s="62">
        <f t="shared" si="4"/>
        <v>411.99513600000006</v>
      </c>
      <c r="I21" s="62">
        <f t="shared" si="4"/>
        <v>453.1946496000001</v>
      </c>
      <c r="J21" s="6"/>
    </row>
    <row r="22" spans="1:10" ht="13.5" customHeight="1" x14ac:dyDescent="0.2">
      <c r="A22" s="6"/>
      <c r="B22" s="57" t="s">
        <v>62</v>
      </c>
      <c r="C22" s="58">
        <v>0.05</v>
      </c>
      <c r="D22" s="58">
        <v>0.05</v>
      </c>
      <c r="E22" s="58">
        <v>4.4999999999999998E-2</v>
      </c>
      <c r="F22" s="58">
        <v>0.04</v>
      </c>
      <c r="G22" s="58">
        <v>0.04</v>
      </c>
      <c r="H22" s="58">
        <v>0.04</v>
      </c>
      <c r="I22" s="58">
        <v>0.04</v>
      </c>
      <c r="J22" s="6"/>
    </row>
    <row r="23" spans="1:10" ht="13.5" customHeight="1" x14ac:dyDescent="0.2">
      <c r="A23" s="6"/>
      <c r="B23" s="57" t="s">
        <v>63</v>
      </c>
      <c r="C23" s="62">
        <f t="shared" ref="C23:I23" si="5">C22*C9</f>
        <v>160</v>
      </c>
      <c r="D23" s="62">
        <f t="shared" si="5"/>
        <v>224</v>
      </c>
      <c r="E23" s="62">
        <f t="shared" si="5"/>
        <v>282.24</v>
      </c>
      <c r="F23" s="62">
        <f t="shared" si="5"/>
        <v>341.1968</v>
      </c>
      <c r="G23" s="62">
        <f t="shared" si="5"/>
        <v>409.43616000000003</v>
      </c>
      <c r="H23" s="62">
        <f t="shared" si="5"/>
        <v>470.851584</v>
      </c>
      <c r="I23" s="62">
        <f t="shared" si="5"/>
        <v>517.93674240000007</v>
      </c>
      <c r="J23" s="6"/>
    </row>
    <row r="24" spans="1:10" s="49" customFormat="1" ht="13.5" customHeight="1" x14ac:dyDescent="0.25">
      <c r="A24" s="6"/>
      <c r="B24" s="57" t="s">
        <v>64</v>
      </c>
      <c r="C24" s="58">
        <v>0.04</v>
      </c>
      <c r="D24" s="58">
        <v>3.5000000000000003E-2</v>
      </c>
      <c r="E24" s="58">
        <v>0.03</v>
      </c>
      <c r="F24" s="58">
        <v>2.5000000000000001E-2</v>
      </c>
      <c r="G24" s="58">
        <v>0.02</v>
      </c>
      <c r="H24" s="58">
        <v>0.02</v>
      </c>
      <c r="I24" s="58">
        <v>0.02</v>
      </c>
      <c r="J24" s="6"/>
    </row>
    <row r="25" spans="1:10" ht="3.75" customHeight="1" x14ac:dyDescent="0.2">
      <c r="A25" s="6"/>
      <c r="B25" s="18" t="s">
        <v>65</v>
      </c>
      <c r="C25" s="60"/>
      <c r="D25" s="60"/>
      <c r="E25" s="60"/>
      <c r="F25" s="60"/>
      <c r="G25" s="60"/>
      <c r="H25" s="60"/>
      <c r="I25" s="60"/>
      <c r="J25" s="6"/>
    </row>
    <row r="26" spans="1:10" ht="12.75" customHeight="1" x14ac:dyDescent="0.2">
      <c r="A26" s="6"/>
      <c r="B26" s="53"/>
      <c r="C26" s="54"/>
      <c r="D26" s="54"/>
      <c r="E26" s="54"/>
      <c r="F26" s="54"/>
      <c r="G26" s="54"/>
      <c r="H26" s="54"/>
      <c r="I26" s="54"/>
      <c r="J26" s="6"/>
    </row>
    <row r="27" spans="1:10" ht="13.5" customHeight="1" x14ac:dyDescent="0.2">
      <c r="A27" s="6"/>
      <c r="B27" s="55" t="s">
        <v>66</v>
      </c>
      <c r="C27" s="62">
        <f t="shared" ref="C27:I27" si="6">C16+C21-C23-C24*C9</f>
        <v>193.92000000000007</v>
      </c>
      <c r="D27" s="62">
        <f t="shared" si="6"/>
        <v>342.27200000000011</v>
      </c>
      <c r="E27" s="62">
        <f t="shared" si="6"/>
        <v>740.09600000000012</v>
      </c>
      <c r="F27" s="62">
        <f t="shared" si="6"/>
        <v>1361.3752319999999</v>
      </c>
      <c r="G27" s="62">
        <f t="shared" si="6"/>
        <v>1846.5570815999999</v>
      </c>
      <c r="H27" s="62">
        <f t="shared" si="6"/>
        <v>2216.5338316800003</v>
      </c>
      <c r="I27" s="62">
        <f t="shared" si="6"/>
        <v>2438.1872148480002</v>
      </c>
      <c r="J27" s="6"/>
    </row>
    <row r="28" spans="1:10" ht="13.5" customHeight="1" x14ac:dyDescent="0.2">
      <c r="A28" s="6"/>
      <c r="B28" s="57" t="s">
        <v>67</v>
      </c>
      <c r="C28" s="62">
        <f t="shared" ref="C28:I28" si="7">C27/(1+$C$31)^C3</f>
        <v>183.80542164573336</v>
      </c>
      <c r="D28" s="62">
        <f t="shared" si="7"/>
        <v>292.26991197971688</v>
      </c>
      <c r="E28" s="62">
        <f t="shared" si="7"/>
        <v>569.34801965767201</v>
      </c>
      <c r="F28" s="62">
        <f t="shared" si="7"/>
        <v>943.50590742720726</v>
      </c>
      <c r="G28" s="62">
        <f t="shared" si="7"/>
        <v>1152.9395495486567</v>
      </c>
      <c r="H28" s="62">
        <f t="shared" si="7"/>
        <v>1246.7953834173004</v>
      </c>
      <c r="I28" s="62">
        <f t="shared" si="7"/>
        <v>1235.5629925757028</v>
      </c>
      <c r="J28" s="6"/>
    </row>
    <row r="29" spans="1:10" ht="3.75" customHeight="1" x14ac:dyDescent="0.2">
      <c r="A29" s="6"/>
      <c r="B29" s="18" t="s">
        <v>68</v>
      </c>
      <c r="C29" s="60"/>
      <c r="D29" s="19"/>
      <c r="E29" s="19"/>
      <c r="F29" s="19"/>
      <c r="G29" s="19"/>
      <c r="H29" s="19"/>
      <c r="I29" s="19"/>
      <c r="J29" s="6"/>
    </row>
    <row r="30" spans="1:10" ht="12.75" customHeight="1" x14ac:dyDescent="0.2">
      <c r="A30" s="6"/>
      <c r="B30" s="53"/>
      <c r="C30" s="64"/>
      <c r="D30" s="64"/>
      <c r="E30" s="64"/>
      <c r="F30" s="64"/>
      <c r="G30" s="64"/>
      <c r="H30" s="64"/>
      <c r="I30" s="64"/>
      <c r="J30" s="6"/>
    </row>
    <row r="31" spans="1:10" ht="13.5" customHeight="1" x14ac:dyDescent="0.2">
      <c r="A31" s="6"/>
      <c r="B31" s="57" t="s">
        <v>69</v>
      </c>
      <c r="C31" s="58">
        <v>0.11</v>
      </c>
      <c r="D31" s="63"/>
      <c r="E31" s="63"/>
      <c r="F31" s="63"/>
      <c r="G31" s="63"/>
      <c r="H31" s="63"/>
      <c r="I31" s="63"/>
      <c r="J31" s="6"/>
    </row>
    <row r="32" spans="1:10" ht="13.5" customHeight="1" x14ac:dyDescent="0.2">
      <c r="A32" s="6"/>
      <c r="B32" s="57" t="s">
        <v>70</v>
      </c>
      <c r="C32" s="65">
        <v>14</v>
      </c>
      <c r="D32" s="66"/>
      <c r="E32" s="66"/>
      <c r="F32" s="66"/>
      <c r="G32" s="66"/>
      <c r="H32" s="66"/>
      <c r="I32" s="66"/>
      <c r="J32" s="6"/>
    </row>
    <row r="33" spans="1:10" ht="13.5" customHeight="1" x14ac:dyDescent="0.2">
      <c r="A33" s="6"/>
      <c r="B33" s="55" t="s">
        <v>71</v>
      </c>
      <c r="C33" s="67">
        <f>(C32*I14)/(1+C31)^I3</f>
        <v>24803.123271036413</v>
      </c>
      <c r="D33" s="68"/>
      <c r="E33" s="68"/>
      <c r="F33" s="68"/>
      <c r="G33" s="68"/>
      <c r="H33" s="68"/>
      <c r="I33" s="68"/>
      <c r="J33" s="6"/>
    </row>
    <row r="34" spans="1:10" ht="6" customHeight="1" x14ac:dyDescent="0.2">
      <c r="A34" s="6"/>
      <c r="B34" s="40"/>
      <c r="C34" s="69"/>
      <c r="D34" s="70"/>
      <c r="E34" s="70"/>
      <c r="F34" s="70"/>
      <c r="G34" s="70"/>
      <c r="H34" s="70"/>
      <c r="I34" s="70"/>
      <c r="J34" s="6"/>
    </row>
    <row r="35" spans="1:10" ht="15.75" customHeight="1" x14ac:dyDescent="0.2">
      <c r="A35" s="6"/>
      <c r="B35" s="15" t="s">
        <v>72</v>
      </c>
      <c r="C35" s="16">
        <f>C33+SUM(C28:I28)</f>
        <v>30427.350457288401</v>
      </c>
      <c r="D35" s="71"/>
      <c r="E35" s="71"/>
      <c r="F35" s="71"/>
      <c r="G35" s="71"/>
      <c r="H35" s="71"/>
      <c r="I35" s="71"/>
      <c r="J35" s="6"/>
    </row>
    <row r="36" spans="1:10" ht="13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/>
    <row r="42" spans="1:10" ht="15" customHeight="1" x14ac:dyDescent="0.2"/>
    <row r="43" spans="1:10" ht="15" customHeight="1" x14ac:dyDescent="0.2"/>
    <row r="44" spans="1:10" ht="15" customHeight="1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2" defaultRowHeight="14.25" x14ac:dyDescent="0.2"/>
  <cols>
    <col min="1" max="1" width="2" style="37"/>
    <col min="2" max="2" width="30" style="37" customWidth="1"/>
    <col min="3" max="9" width="10" style="37" customWidth="1"/>
    <col min="10" max="16384" width="2" style="37"/>
  </cols>
  <sheetData>
    <row r="1" spans="1:10" ht="15.75" customHeight="1" x14ac:dyDescent="0.2">
      <c r="A1" s="1" t="s">
        <v>35</v>
      </c>
      <c r="B1" s="2" t="s">
        <v>80</v>
      </c>
      <c r="C1" s="38" t="s">
        <v>37</v>
      </c>
      <c r="D1" s="39">
        <f ca="1">TODAY()</f>
        <v>46200</v>
      </c>
      <c r="E1" s="4"/>
      <c r="F1" s="4"/>
      <c r="G1" s="4"/>
      <c r="H1" s="4"/>
      <c r="I1" s="5">
        <f ca="1">TODAY()</f>
        <v>46200</v>
      </c>
      <c r="J1" s="1"/>
    </row>
    <row r="2" spans="1:10" ht="6" customHeight="1" x14ac:dyDescent="0.2">
      <c r="A2" s="6"/>
      <c r="B2" s="40"/>
      <c r="C2" s="6"/>
      <c r="D2" s="6"/>
      <c r="E2" s="6"/>
      <c r="F2" s="6"/>
      <c r="G2" s="6"/>
      <c r="H2" s="6"/>
      <c r="I2" s="6"/>
      <c r="J2" s="6"/>
    </row>
    <row r="3" spans="1:10" ht="14.25" customHeight="1" x14ac:dyDescent="0.2">
      <c r="A3" s="6"/>
      <c r="B3" s="41" t="s">
        <v>38</v>
      </c>
      <c r="C3" s="42">
        <v>0.51329999999999998</v>
      </c>
      <c r="D3" s="42">
        <f t="shared" ref="D3:I4" si="0">C3+1</f>
        <v>1.5133000000000001</v>
      </c>
      <c r="E3" s="42">
        <f t="shared" si="0"/>
        <v>2.5133000000000001</v>
      </c>
      <c r="F3" s="42">
        <f t="shared" si="0"/>
        <v>3.5133000000000001</v>
      </c>
      <c r="G3" s="42">
        <f t="shared" si="0"/>
        <v>4.5133000000000001</v>
      </c>
      <c r="H3" s="42">
        <f t="shared" si="0"/>
        <v>5.5133000000000001</v>
      </c>
      <c r="I3" s="42">
        <f t="shared" si="0"/>
        <v>6.5133000000000001</v>
      </c>
      <c r="J3" s="6"/>
    </row>
    <row r="4" spans="1:10" ht="14.25" customHeight="1" x14ac:dyDescent="0.2">
      <c r="A4" s="6"/>
      <c r="B4" s="43" t="s">
        <v>39</v>
      </c>
      <c r="C4" s="44">
        <v>2026</v>
      </c>
      <c r="D4" s="44">
        <f t="shared" si="0"/>
        <v>2027</v>
      </c>
      <c r="E4" s="44">
        <f t="shared" si="0"/>
        <v>2028</v>
      </c>
      <c r="F4" s="44">
        <f t="shared" si="0"/>
        <v>2029</v>
      </c>
      <c r="G4" s="44">
        <f t="shared" si="0"/>
        <v>2030</v>
      </c>
      <c r="H4" s="44">
        <f t="shared" si="0"/>
        <v>2031</v>
      </c>
      <c r="I4" s="44">
        <f t="shared" si="0"/>
        <v>2032</v>
      </c>
      <c r="J4" s="6"/>
    </row>
    <row r="5" spans="1:10" ht="15" customHeight="1" x14ac:dyDescent="0.2">
      <c r="A5" s="6"/>
      <c r="B5" s="45" t="s">
        <v>40</v>
      </c>
      <c r="C5" s="46" t="s">
        <v>41</v>
      </c>
      <c r="D5" s="46" t="s">
        <v>42</v>
      </c>
      <c r="E5" s="46" t="s">
        <v>43</v>
      </c>
      <c r="F5" s="46" t="s">
        <v>44</v>
      </c>
      <c r="G5" s="46" t="s">
        <v>45</v>
      </c>
      <c r="H5" s="46" t="s">
        <v>46</v>
      </c>
      <c r="I5" s="46" t="s">
        <v>47</v>
      </c>
      <c r="J5" s="6"/>
    </row>
    <row r="6" spans="1:10" s="49" customFormat="1" ht="9.75" customHeight="1" x14ac:dyDescent="0.25">
      <c r="A6" s="6"/>
      <c r="B6" s="47" t="s">
        <v>48</v>
      </c>
      <c r="C6" s="48" t="s">
        <v>49</v>
      </c>
      <c r="D6" s="48" t="s">
        <v>50</v>
      </c>
      <c r="E6" s="48" t="s">
        <v>50</v>
      </c>
      <c r="F6" s="48" t="s">
        <v>50</v>
      </c>
      <c r="G6" s="48" t="s">
        <v>50</v>
      </c>
      <c r="H6" s="48" t="s">
        <v>50</v>
      </c>
      <c r="I6" s="48" t="s">
        <v>50</v>
      </c>
      <c r="J6" s="6"/>
    </row>
    <row r="7" spans="1:10" s="52" customFormat="1" ht="6" customHeight="1" x14ac:dyDescent="0.2">
      <c r="A7" s="6"/>
      <c r="B7" s="18" t="s">
        <v>51</v>
      </c>
      <c r="C7" s="19"/>
      <c r="D7" s="50"/>
      <c r="E7" s="51"/>
      <c r="F7" s="51"/>
      <c r="G7" s="51"/>
      <c r="H7" s="51"/>
      <c r="I7" s="51"/>
      <c r="J7" s="6"/>
    </row>
    <row r="8" spans="1:10" s="52" customFormat="1" ht="12.75" customHeight="1" x14ac:dyDescent="0.2">
      <c r="A8" s="6"/>
      <c r="B8" s="53"/>
      <c r="C8" s="54"/>
      <c r="D8" s="54"/>
      <c r="E8" s="54"/>
      <c r="F8" s="54"/>
      <c r="G8" s="54"/>
      <c r="H8" s="54"/>
      <c r="I8" s="54"/>
      <c r="J8" s="6"/>
    </row>
    <row r="9" spans="1:10" s="52" customFormat="1" ht="13.5" customHeight="1" x14ac:dyDescent="0.2">
      <c r="A9" s="6"/>
      <c r="B9" s="55" t="s">
        <v>81</v>
      </c>
      <c r="C9" s="62">
        <v>2400</v>
      </c>
      <c r="D9" s="62">
        <f t="shared" ref="D9:I9" si="1">C9*(1+D10)</f>
        <v>3480</v>
      </c>
      <c r="E9" s="62">
        <f t="shared" si="1"/>
        <v>4872</v>
      </c>
      <c r="F9" s="62">
        <f t="shared" si="1"/>
        <v>6333.6</v>
      </c>
      <c r="G9" s="62">
        <f t="shared" si="1"/>
        <v>7600.32</v>
      </c>
      <c r="H9" s="62">
        <f t="shared" si="1"/>
        <v>8740.3679999999986</v>
      </c>
      <c r="I9" s="62">
        <f t="shared" si="1"/>
        <v>9789.2121599999991</v>
      </c>
      <c r="J9" s="6"/>
    </row>
    <row r="10" spans="1:10" s="49" customFormat="1" ht="13.5" customHeight="1" x14ac:dyDescent="0.25">
      <c r="A10" s="6"/>
      <c r="B10" s="57" t="s">
        <v>75</v>
      </c>
      <c r="C10" s="58"/>
      <c r="D10" s="58">
        <v>0.45</v>
      </c>
      <c r="E10" s="58">
        <v>0.4</v>
      </c>
      <c r="F10" s="58">
        <v>0.3</v>
      </c>
      <c r="G10" s="58">
        <v>0.2</v>
      </c>
      <c r="H10" s="58">
        <v>0.15</v>
      </c>
      <c r="I10" s="58">
        <v>0.12</v>
      </c>
      <c r="J10" s="6"/>
    </row>
    <row r="11" spans="1:10" s="49" customFormat="1" ht="3.75" customHeight="1" x14ac:dyDescent="0.25">
      <c r="A11" s="6"/>
      <c r="B11" s="18" t="s">
        <v>54</v>
      </c>
      <c r="C11" s="60"/>
      <c r="D11" s="60"/>
      <c r="E11" s="60"/>
      <c r="F11" s="60"/>
      <c r="G11" s="60"/>
      <c r="H11" s="60"/>
      <c r="I11" s="60"/>
      <c r="J11" s="6"/>
    </row>
    <row r="12" spans="1:10" s="52" customFormat="1" ht="12.75" customHeight="1" x14ac:dyDescent="0.2">
      <c r="A12" s="6"/>
      <c r="B12" s="53"/>
      <c r="C12" s="61"/>
      <c r="D12" s="61"/>
      <c r="E12" s="61"/>
      <c r="F12" s="61"/>
      <c r="G12" s="61"/>
      <c r="H12" s="61"/>
      <c r="I12" s="61"/>
      <c r="J12" s="6"/>
    </row>
    <row r="13" spans="1:10" s="49" customFormat="1" ht="13.5" customHeight="1" x14ac:dyDescent="0.25">
      <c r="A13" s="6"/>
      <c r="B13" s="57" t="s">
        <v>55</v>
      </c>
      <c r="C13" s="58">
        <v>-0.1</v>
      </c>
      <c r="D13" s="58">
        <v>0.05</v>
      </c>
      <c r="E13" s="58">
        <v>0.12</v>
      </c>
      <c r="F13" s="58">
        <v>0.18</v>
      </c>
      <c r="G13" s="58">
        <v>0.22</v>
      </c>
      <c r="H13" s="58">
        <v>0.24</v>
      </c>
      <c r="I13" s="58">
        <v>0.24</v>
      </c>
      <c r="J13" s="6"/>
    </row>
    <row r="14" spans="1:10" ht="13.5" customHeight="1" x14ac:dyDescent="0.2">
      <c r="A14" s="6"/>
      <c r="B14" s="55" t="s">
        <v>56</v>
      </c>
      <c r="C14" s="62">
        <f t="shared" ref="C14:I14" si="2">C13*C9</f>
        <v>-240</v>
      </c>
      <c r="D14" s="62">
        <f t="shared" si="2"/>
        <v>174</v>
      </c>
      <c r="E14" s="62">
        <f t="shared" si="2"/>
        <v>584.64</v>
      </c>
      <c r="F14" s="62">
        <f t="shared" si="2"/>
        <v>1140.048</v>
      </c>
      <c r="G14" s="62">
        <f t="shared" si="2"/>
        <v>1672.0703999999998</v>
      </c>
      <c r="H14" s="62">
        <f t="shared" si="2"/>
        <v>2097.6883199999997</v>
      </c>
      <c r="I14" s="62">
        <f t="shared" si="2"/>
        <v>2349.4109183999999</v>
      </c>
      <c r="J14" s="6"/>
    </row>
    <row r="15" spans="1:10" s="52" customFormat="1" ht="13.5" customHeight="1" x14ac:dyDescent="0.2">
      <c r="A15" s="6"/>
      <c r="B15" s="57" t="s">
        <v>57</v>
      </c>
      <c r="C15" s="58">
        <v>0.21</v>
      </c>
      <c r="D15" s="58">
        <v>0.21</v>
      </c>
      <c r="E15" s="58">
        <v>0.21</v>
      </c>
      <c r="F15" s="58">
        <v>0.21</v>
      </c>
      <c r="G15" s="58">
        <v>0.21</v>
      </c>
      <c r="H15" s="58">
        <v>0.21</v>
      </c>
      <c r="I15" s="58">
        <v>0.21</v>
      </c>
      <c r="J15" s="6"/>
    </row>
    <row r="16" spans="1:10" ht="13.5" customHeight="1" x14ac:dyDescent="0.2">
      <c r="A16" s="6"/>
      <c r="B16" s="55" t="s">
        <v>58</v>
      </c>
      <c r="C16" s="62">
        <f t="shared" ref="C16:I16" si="3">C14*(1-C15)</f>
        <v>-189.60000000000002</v>
      </c>
      <c r="D16" s="62">
        <f t="shared" si="3"/>
        <v>137.46</v>
      </c>
      <c r="E16" s="62">
        <f t="shared" si="3"/>
        <v>461.86560000000003</v>
      </c>
      <c r="F16" s="62">
        <f t="shared" si="3"/>
        <v>900.63792000000001</v>
      </c>
      <c r="G16" s="62">
        <f t="shared" si="3"/>
        <v>1320.935616</v>
      </c>
      <c r="H16" s="62">
        <f t="shared" si="3"/>
        <v>1657.1737727999998</v>
      </c>
      <c r="I16" s="62">
        <f t="shared" si="3"/>
        <v>1856.034625536</v>
      </c>
      <c r="J16" s="6"/>
    </row>
    <row r="17" spans="1:10" ht="3.75" customHeight="1" x14ac:dyDescent="0.2">
      <c r="A17" s="6"/>
      <c r="B17" s="18" t="s">
        <v>59</v>
      </c>
      <c r="C17" s="19"/>
      <c r="D17" s="19"/>
      <c r="E17" s="19"/>
      <c r="F17" s="19"/>
      <c r="G17" s="19"/>
      <c r="H17" s="19"/>
      <c r="I17" s="19"/>
      <c r="J17" s="6"/>
    </row>
    <row r="18" spans="1:10" ht="12.75" customHeight="1" x14ac:dyDescent="0.2">
      <c r="A18" s="6"/>
      <c r="B18" s="53"/>
      <c r="C18" s="61"/>
      <c r="D18" s="61"/>
      <c r="E18" s="61"/>
      <c r="F18" s="61"/>
      <c r="G18" s="61"/>
      <c r="H18" s="61"/>
      <c r="I18" s="61"/>
      <c r="J18" s="6"/>
    </row>
    <row r="19" spans="1:10" ht="13.5" customHeight="1" x14ac:dyDescent="0.2">
      <c r="A19" s="6"/>
      <c r="B19" s="57"/>
      <c r="C19" s="63"/>
      <c r="D19" s="63"/>
      <c r="E19" s="63"/>
      <c r="F19" s="63"/>
      <c r="G19" s="63"/>
      <c r="H19" s="63"/>
      <c r="I19" s="63"/>
      <c r="J19" s="6"/>
    </row>
    <row r="20" spans="1:10" ht="13.5" customHeight="1" x14ac:dyDescent="0.2">
      <c r="A20" s="6"/>
      <c r="B20" s="57" t="s">
        <v>60</v>
      </c>
      <c r="C20" s="58">
        <v>0.05</v>
      </c>
      <c r="D20" s="58">
        <v>0.04</v>
      </c>
      <c r="E20" s="58">
        <v>0.04</v>
      </c>
      <c r="F20" s="58">
        <v>3.5000000000000003E-2</v>
      </c>
      <c r="G20" s="58">
        <v>3.5000000000000003E-2</v>
      </c>
      <c r="H20" s="58">
        <v>3.5000000000000003E-2</v>
      </c>
      <c r="I20" s="58">
        <v>3.5000000000000003E-2</v>
      </c>
      <c r="J20" s="6"/>
    </row>
    <row r="21" spans="1:10" ht="13.5" customHeight="1" x14ac:dyDescent="0.2">
      <c r="A21" s="6"/>
      <c r="B21" s="57" t="s">
        <v>61</v>
      </c>
      <c r="C21" s="62">
        <f t="shared" ref="C21:I21" si="4">C20*C9</f>
        <v>120</v>
      </c>
      <c r="D21" s="62">
        <f t="shared" si="4"/>
        <v>139.20000000000002</v>
      </c>
      <c r="E21" s="62">
        <f t="shared" si="4"/>
        <v>194.88</v>
      </c>
      <c r="F21" s="62">
        <f t="shared" si="4"/>
        <v>221.67600000000004</v>
      </c>
      <c r="G21" s="62">
        <f t="shared" si="4"/>
        <v>266.01120000000003</v>
      </c>
      <c r="H21" s="62">
        <f t="shared" si="4"/>
        <v>305.91287999999997</v>
      </c>
      <c r="I21" s="62">
        <f t="shared" si="4"/>
        <v>342.62242559999999</v>
      </c>
      <c r="J21" s="6"/>
    </row>
    <row r="22" spans="1:10" ht="13.5" customHeight="1" x14ac:dyDescent="0.2">
      <c r="A22" s="6"/>
      <c r="B22" s="57" t="s">
        <v>62</v>
      </c>
      <c r="C22" s="58">
        <v>0.08</v>
      </c>
      <c r="D22" s="58">
        <v>7.0000000000000007E-2</v>
      </c>
      <c r="E22" s="58">
        <v>0.06</v>
      </c>
      <c r="F22" s="58">
        <v>5.5E-2</v>
      </c>
      <c r="G22" s="58">
        <v>0.05</v>
      </c>
      <c r="H22" s="58">
        <v>4.4999999999999998E-2</v>
      </c>
      <c r="I22" s="58">
        <v>0.04</v>
      </c>
      <c r="J22" s="6"/>
    </row>
    <row r="23" spans="1:10" ht="13.5" customHeight="1" x14ac:dyDescent="0.2">
      <c r="A23" s="6"/>
      <c r="B23" s="57" t="s">
        <v>63</v>
      </c>
      <c r="C23" s="62">
        <f t="shared" ref="C23:I23" si="5">C22*C9</f>
        <v>192</v>
      </c>
      <c r="D23" s="62">
        <f t="shared" si="5"/>
        <v>243.60000000000002</v>
      </c>
      <c r="E23" s="62">
        <f t="shared" si="5"/>
        <v>292.32</v>
      </c>
      <c r="F23" s="62">
        <f t="shared" si="5"/>
        <v>348.34800000000001</v>
      </c>
      <c r="G23" s="62">
        <f t="shared" si="5"/>
        <v>380.01600000000002</v>
      </c>
      <c r="H23" s="62">
        <f t="shared" si="5"/>
        <v>393.31655999999992</v>
      </c>
      <c r="I23" s="62">
        <f t="shared" si="5"/>
        <v>391.56848639999998</v>
      </c>
      <c r="J23" s="6"/>
    </row>
    <row r="24" spans="1:10" s="49" customFormat="1" ht="13.5" customHeight="1" x14ac:dyDescent="0.25">
      <c r="A24" s="6"/>
      <c r="B24" s="57" t="s">
        <v>64</v>
      </c>
      <c r="C24" s="58">
        <v>0.06</v>
      </c>
      <c r="D24" s="58">
        <v>0.05</v>
      </c>
      <c r="E24" s="58">
        <v>0.04</v>
      </c>
      <c r="F24" s="58">
        <v>0.03</v>
      </c>
      <c r="G24" s="58">
        <v>2.5000000000000001E-2</v>
      </c>
      <c r="H24" s="58">
        <v>0.02</v>
      </c>
      <c r="I24" s="58">
        <v>0.02</v>
      </c>
      <c r="J24" s="6"/>
    </row>
    <row r="25" spans="1:10" ht="3.75" customHeight="1" x14ac:dyDescent="0.2">
      <c r="A25" s="6"/>
      <c r="B25" s="18" t="s">
        <v>65</v>
      </c>
      <c r="C25" s="60"/>
      <c r="D25" s="60"/>
      <c r="E25" s="60"/>
      <c r="F25" s="60"/>
      <c r="G25" s="60"/>
      <c r="H25" s="60"/>
      <c r="I25" s="60"/>
      <c r="J25" s="6"/>
    </row>
    <row r="26" spans="1:10" ht="12.75" customHeight="1" x14ac:dyDescent="0.2">
      <c r="A26" s="6"/>
      <c r="B26" s="53"/>
      <c r="C26" s="54"/>
      <c r="D26" s="54"/>
      <c r="E26" s="54"/>
      <c r="F26" s="54"/>
      <c r="G26" s="54"/>
      <c r="H26" s="54"/>
      <c r="I26" s="54"/>
      <c r="J26" s="6"/>
    </row>
    <row r="27" spans="1:10" ht="13.5" customHeight="1" x14ac:dyDescent="0.2">
      <c r="A27" s="6"/>
      <c r="B27" s="55" t="s">
        <v>66</v>
      </c>
      <c r="C27" s="62">
        <f t="shared" ref="C27:I27" si="6">C16+C21-C23-C24*C9</f>
        <v>-405.6</v>
      </c>
      <c r="D27" s="62">
        <f t="shared" si="6"/>
        <v>-140.94</v>
      </c>
      <c r="E27" s="62">
        <f t="shared" si="6"/>
        <v>169.54559999999998</v>
      </c>
      <c r="F27" s="62">
        <f t="shared" si="6"/>
        <v>583.95792000000006</v>
      </c>
      <c r="G27" s="62">
        <f t="shared" si="6"/>
        <v>1016.922816</v>
      </c>
      <c r="H27" s="62">
        <f t="shared" si="6"/>
        <v>1394.9627327999997</v>
      </c>
      <c r="I27" s="62">
        <f t="shared" si="6"/>
        <v>1611.3043215360001</v>
      </c>
      <c r="J27" s="6"/>
    </row>
    <row r="28" spans="1:10" ht="13.5" customHeight="1" x14ac:dyDescent="0.2">
      <c r="A28" s="6"/>
      <c r="B28" s="57" t="s">
        <v>67</v>
      </c>
      <c r="C28" s="62">
        <f t="shared" ref="C28:I28" si="7">C27/(1+$C$31)^C3</f>
        <v>-380.93667021389984</v>
      </c>
      <c r="D28" s="62">
        <f t="shared" si="7"/>
        <v>-117.14146702786442</v>
      </c>
      <c r="E28" s="62">
        <f t="shared" si="7"/>
        <v>124.70517368289204</v>
      </c>
      <c r="F28" s="62">
        <f t="shared" si="7"/>
        <v>380.10279009336398</v>
      </c>
      <c r="G28" s="62">
        <f t="shared" si="7"/>
        <v>585.77259878861378</v>
      </c>
      <c r="H28" s="62">
        <f t="shared" si="7"/>
        <v>711.09106698455071</v>
      </c>
      <c r="I28" s="62">
        <f t="shared" si="7"/>
        <v>726.87837059870878</v>
      </c>
      <c r="J28" s="6"/>
    </row>
    <row r="29" spans="1:10" ht="3.75" customHeight="1" x14ac:dyDescent="0.2">
      <c r="A29" s="6"/>
      <c r="B29" s="18" t="s">
        <v>68</v>
      </c>
      <c r="C29" s="60"/>
      <c r="D29" s="19"/>
      <c r="E29" s="19"/>
      <c r="F29" s="19"/>
      <c r="G29" s="19"/>
      <c r="H29" s="19"/>
      <c r="I29" s="19"/>
      <c r="J29" s="6"/>
    </row>
    <row r="30" spans="1:10" ht="12.75" customHeight="1" x14ac:dyDescent="0.2">
      <c r="A30" s="6"/>
      <c r="B30" s="53"/>
      <c r="C30" s="64"/>
      <c r="D30" s="64"/>
      <c r="E30" s="64"/>
      <c r="F30" s="64"/>
      <c r="G30" s="64"/>
      <c r="H30" s="64"/>
      <c r="I30" s="64"/>
      <c r="J30" s="6"/>
    </row>
    <row r="31" spans="1:10" ht="13.5" customHeight="1" x14ac:dyDescent="0.2">
      <c r="A31" s="6"/>
      <c r="B31" s="57" t="s">
        <v>69</v>
      </c>
      <c r="C31" s="58">
        <v>0.13</v>
      </c>
      <c r="D31" s="63"/>
      <c r="E31" s="63"/>
      <c r="F31" s="63"/>
      <c r="G31" s="63"/>
      <c r="H31" s="63"/>
      <c r="I31" s="63"/>
      <c r="J31" s="6"/>
    </row>
    <row r="32" spans="1:10" ht="13.5" customHeight="1" x14ac:dyDescent="0.2">
      <c r="A32" s="6"/>
      <c r="B32" s="57" t="s">
        <v>70</v>
      </c>
      <c r="C32" s="65">
        <v>14</v>
      </c>
      <c r="D32" s="66"/>
      <c r="E32" s="66"/>
      <c r="F32" s="66"/>
      <c r="G32" s="66"/>
      <c r="H32" s="66"/>
      <c r="I32" s="66"/>
      <c r="J32" s="6"/>
    </row>
    <row r="33" spans="1:10" ht="13.5" customHeight="1" x14ac:dyDescent="0.2">
      <c r="A33" s="6"/>
      <c r="B33" s="55" t="s">
        <v>71</v>
      </c>
      <c r="C33" s="67">
        <f>(C32*I14)/(1+C31)^I3</f>
        <v>14837.857382816897</v>
      </c>
      <c r="D33" s="68"/>
      <c r="E33" s="68"/>
      <c r="F33" s="68"/>
      <c r="G33" s="68"/>
      <c r="H33" s="68"/>
      <c r="I33" s="68"/>
      <c r="J33" s="6"/>
    </row>
    <row r="34" spans="1:10" ht="6" customHeight="1" x14ac:dyDescent="0.2">
      <c r="A34" s="6"/>
      <c r="B34" s="40"/>
      <c r="C34" s="69"/>
      <c r="D34" s="70"/>
      <c r="E34" s="70"/>
      <c r="F34" s="70"/>
      <c r="G34" s="70"/>
      <c r="H34" s="70"/>
      <c r="I34" s="70"/>
      <c r="J34" s="6"/>
    </row>
    <row r="35" spans="1:10" ht="15.75" customHeight="1" x14ac:dyDescent="0.2">
      <c r="A35" s="6"/>
      <c r="B35" s="15" t="s">
        <v>72</v>
      </c>
      <c r="C35" s="16">
        <f>C33+SUM(C28:I28)</f>
        <v>16868.329245723264</v>
      </c>
      <c r="D35" s="71"/>
      <c r="E35" s="71"/>
      <c r="F35" s="71"/>
      <c r="G35" s="71"/>
      <c r="H35" s="71"/>
      <c r="I35" s="71"/>
      <c r="J35" s="6"/>
    </row>
    <row r="36" spans="1:10" ht="13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/>
    <row r="42" spans="1:10" ht="15" customHeight="1" x14ac:dyDescent="0.2"/>
    <row r="43" spans="1:10" ht="15" customHeight="1" x14ac:dyDescent="0.2"/>
    <row r="44" spans="1:10" ht="15" customHeight="1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2" defaultRowHeight="14.25" x14ac:dyDescent="0.2"/>
  <cols>
    <col min="1" max="1" width="2" style="37"/>
    <col min="2" max="2" width="30" style="37" customWidth="1"/>
    <col min="3" max="9" width="10" style="37" customWidth="1"/>
    <col min="10" max="16384" width="2" style="37"/>
  </cols>
  <sheetData>
    <row r="1" spans="1:10" ht="15.75" customHeight="1" x14ac:dyDescent="0.2">
      <c r="A1" s="1" t="s">
        <v>35</v>
      </c>
      <c r="B1" s="2" t="s">
        <v>82</v>
      </c>
      <c r="C1" s="38" t="s">
        <v>37</v>
      </c>
      <c r="D1" s="39">
        <f ca="1">TODAY()</f>
        <v>46200</v>
      </c>
      <c r="E1" s="4"/>
      <c r="F1" s="4"/>
      <c r="G1" s="4"/>
      <c r="H1" s="4"/>
      <c r="I1" s="5">
        <f ca="1">TODAY()</f>
        <v>46200</v>
      </c>
      <c r="J1" s="1"/>
    </row>
    <row r="2" spans="1:10" ht="6" customHeight="1" x14ac:dyDescent="0.2">
      <c r="A2" s="6"/>
      <c r="B2" s="40"/>
      <c r="C2" s="6"/>
      <c r="D2" s="6"/>
      <c r="E2" s="6"/>
      <c r="F2" s="6"/>
      <c r="G2" s="6"/>
      <c r="H2" s="6"/>
      <c r="I2" s="6"/>
      <c r="J2" s="6"/>
    </row>
    <row r="3" spans="1:10" ht="14.25" customHeight="1" x14ac:dyDescent="0.2">
      <c r="A3" s="6"/>
      <c r="B3" s="41" t="s">
        <v>38</v>
      </c>
      <c r="C3" s="42">
        <v>0.51329999999999998</v>
      </c>
      <c r="D3" s="42">
        <f t="shared" ref="D3:I4" si="0">C3+1</f>
        <v>1.5133000000000001</v>
      </c>
      <c r="E3" s="42">
        <f t="shared" si="0"/>
        <v>2.5133000000000001</v>
      </c>
      <c r="F3" s="42">
        <f t="shared" si="0"/>
        <v>3.5133000000000001</v>
      </c>
      <c r="G3" s="42">
        <f t="shared" si="0"/>
        <v>4.5133000000000001</v>
      </c>
      <c r="H3" s="42">
        <f t="shared" si="0"/>
        <v>5.5133000000000001</v>
      </c>
      <c r="I3" s="42">
        <f t="shared" si="0"/>
        <v>6.5133000000000001</v>
      </c>
      <c r="J3" s="6"/>
    </row>
    <row r="4" spans="1:10" ht="14.25" customHeight="1" x14ac:dyDescent="0.2">
      <c r="A4" s="6"/>
      <c r="B4" s="43" t="s">
        <v>39</v>
      </c>
      <c r="C4" s="44">
        <v>2026</v>
      </c>
      <c r="D4" s="44">
        <f t="shared" si="0"/>
        <v>2027</v>
      </c>
      <c r="E4" s="44">
        <f t="shared" si="0"/>
        <v>2028</v>
      </c>
      <c r="F4" s="44">
        <f t="shared" si="0"/>
        <v>2029</v>
      </c>
      <c r="G4" s="44">
        <f t="shared" si="0"/>
        <v>2030</v>
      </c>
      <c r="H4" s="44">
        <f t="shared" si="0"/>
        <v>2031</v>
      </c>
      <c r="I4" s="44">
        <f t="shared" si="0"/>
        <v>2032</v>
      </c>
      <c r="J4" s="6"/>
    </row>
    <row r="5" spans="1:10" ht="15" customHeight="1" x14ac:dyDescent="0.2">
      <c r="A5" s="6"/>
      <c r="B5" s="45" t="s">
        <v>40</v>
      </c>
      <c r="C5" s="46" t="s">
        <v>41</v>
      </c>
      <c r="D5" s="46" t="s">
        <v>42</v>
      </c>
      <c r="E5" s="46" t="s">
        <v>43</v>
      </c>
      <c r="F5" s="46" t="s">
        <v>44</v>
      </c>
      <c r="G5" s="46" t="s">
        <v>45</v>
      </c>
      <c r="H5" s="46" t="s">
        <v>46</v>
      </c>
      <c r="I5" s="46" t="s">
        <v>47</v>
      </c>
      <c r="J5" s="6"/>
    </row>
    <row r="6" spans="1:10" s="49" customFormat="1" ht="9.75" customHeight="1" x14ac:dyDescent="0.25">
      <c r="A6" s="6"/>
      <c r="B6" s="47" t="s">
        <v>48</v>
      </c>
      <c r="C6" s="48" t="s">
        <v>49</v>
      </c>
      <c r="D6" s="48" t="s">
        <v>50</v>
      </c>
      <c r="E6" s="48" t="s">
        <v>50</v>
      </c>
      <c r="F6" s="48" t="s">
        <v>50</v>
      </c>
      <c r="G6" s="48" t="s">
        <v>50</v>
      </c>
      <c r="H6" s="48" t="s">
        <v>50</v>
      </c>
      <c r="I6" s="48" t="s">
        <v>50</v>
      </c>
      <c r="J6" s="6"/>
    </row>
    <row r="7" spans="1:10" s="52" customFormat="1" ht="6" customHeight="1" x14ac:dyDescent="0.2">
      <c r="A7" s="6"/>
      <c r="B7" s="18" t="s">
        <v>51</v>
      </c>
      <c r="C7" s="19"/>
      <c r="D7" s="50"/>
      <c r="E7" s="51"/>
      <c r="F7" s="51"/>
      <c r="G7" s="51"/>
      <c r="H7" s="51"/>
      <c r="I7" s="51"/>
      <c r="J7" s="6"/>
    </row>
    <row r="8" spans="1:10" s="52" customFormat="1" ht="12.75" customHeight="1" x14ac:dyDescent="0.2">
      <c r="A8" s="6"/>
      <c r="B8" s="53"/>
      <c r="C8" s="54"/>
      <c r="D8" s="54"/>
      <c r="E8" s="54"/>
      <c r="F8" s="54"/>
      <c r="G8" s="54"/>
      <c r="H8" s="54"/>
      <c r="I8" s="54"/>
      <c r="J8" s="6"/>
    </row>
    <row r="9" spans="1:10" s="52" customFormat="1" ht="13.5" customHeight="1" x14ac:dyDescent="0.2">
      <c r="A9" s="6"/>
      <c r="B9" s="55" t="s">
        <v>83</v>
      </c>
      <c r="C9" s="62">
        <v>5550</v>
      </c>
      <c r="D9" s="62">
        <f t="shared" ref="D9:I9" si="1">C9*(1+D10)</f>
        <v>5494.5</v>
      </c>
      <c r="E9" s="62">
        <f t="shared" si="1"/>
        <v>5439.5550000000003</v>
      </c>
      <c r="F9" s="62">
        <f t="shared" si="1"/>
        <v>5330.7638999999999</v>
      </c>
      <c r="G9" s="62">
        <f t="shared" si="1"/>
        <v>5224.1486219999997</v>
      </c>
      <c r="H9" s="62">
        <f t="shared" si="1"/>
        <v>5093.5449064499999</v>
      </c>
      <c r="I9" s="62">
        <f t="shared" si="1"/>
        <v>4966.2062837887497</v>
      </c>
      <c r="J9" s="6"/>
    </row>
    <row r="10" spans="1:10" s="49" customFormat="1" ht="13.5" customHeight="1" x14ac:dyDescent="0.25">
      <c r="A10" s="6"/>
      <c r="B10" s="57" t="s">
        <v>75</v>
      </c>
      <c r="C10" s="58"/>
      <c r="D10" s="58">
        <v>-0.01</v>
      </c>
      <c r="E10" s="58">
        <v>-0.01</v>
      </c>
      <c r="F10" s="58">
        <v>-0.02</v>
      </c>
      <c r="G10" s="58">
        <v>-0.02</v>
      </c>
      <c r="H10" s="58">
        <v>-2.5000000000000001E-2</v>
      </c>
      <c r="I10" s="58">
        <v>-2.5000000000000001E-2</v>
      </c>
      <c r="J10" s="6"/>
    </row>
    <row r="11" spans="1:10" s="49" customFormat="1" ht="3.75" customHeight="1" x14ac:dyDescent="0.25">
      <c r="A11" s="6"/>
      <c r="B11" s="18" t="s">
        <v>54</v>
      </c>
      <c r="C11" s="60"/>
      <c r="D11" s="60"/>
      <c r="E11" s="60"/>
      <c r="F11" s="60"/>
      <c r="G11" s="60"/>
      <c r="H11" s="60"/>
      <c r="I11" s="60"/>
      <c r="J11" s="6"/>
    </row>
    <row r="12" spans="1:10" s="52" customFormat="1" ht="12.75" customHeight="1" x14ac:dyDescent="0.2">
      <c r="A12" s="6"/>
      <c r="B12" s="53"/>
      <c r="C12" s="61"/>
      <c r="D12" s="61"/>
      <c r="E12" s="61"/>
      <c r="F12" s="61"/>
      <c r="G12" s="61"/>
      <c r="H12" s="61"/>
      <c r="I12" s="61"/>
      <c r="J12" s="6"/>
    </row>
    <row r="13" spans="1:10" s="49" customFormat="1" ht="13.5" customHeight="1" x14ac:dyDescent="0.25">
      <c r="A13" s="6"/>
      <c r="B13" s="57" t="s">
        <v>55</v>
      </c>
      <c r="C13" s="58">
        <v>0.72</v>
      </c>
      <c r="D13" s="58">
        <v>0.72</v>
      </c>
      <c r="E13" s="58">
        <v>0.71</v>
      </c>
      <c r="F13" s="58">
        <v>0.71</v>
      </c>
      <c r="G13" s="58">
        <v>0.7</v>
      </c>
      <c r="H13" s="58">
        <v>0.7</v>
      </c>
      <c r="I13" s="58">
        <v>0.69</v>
      </c>
      <c r="J13" s="6"/>
    </row>
    <row r="14" spans="1:10" ht="13.5" customHeight="1" x14ac:dyDescent="0.2">
      <c r="A14" s="6"/>
      <c r="B14" s="55" t="s">
        <v>56</v>
      </c>
      <c r="C14" s="62">
        <f t="shared" ref="C14:I14" si="2">C13*C9</f>
        <v>3996</v>
      </c>
      <c r="D14" s="62">
        <f t="shared" si="2"/>
        <v>3956.04</v>
      </c>
      <c r="E14" s="62">
        <f t="shared" si="2"/>
        <v>3862.0840499999999</v>
      </c>
      <c r="F14" s="62">
        <f t="shared" si="2"/>
        <v>3784.842369</v>
      </c>
      <c r="G14" s="62">
        <f t="shared" si="2"/>
        <v>3656.9040353999994</v>
      </c>
      <c r="H14" s="62">
        <f t="shared" si="2"/>
        <v>3565.4814345149998</v>
      </c>
      <c r="I14" s="62">
        <f t="shared" si="2"/>
        <v>3426.6823358142369</v>
      </c>
      <c r="J14" s="6"/>
    </row>
    <row r="15" spans="1:10" s="52" customFormat="1" ht="13.5" customHeight="1" x14ac:dyDescent="0.2">
      <c r="A15" s="6"/>
      <c r="B15" s="57" t="s">
        <v>57</v>
      </c>
      <c r="C15" s="58">
        <v>0.21</v>
      </c>
      <c r="D15" s="58">
        <v>0.21</v>
      </c>
      <c r="E15" s="58">
        <v>0.21</v>
      </c>
      <c r="F15" s="58">
        <v>0.21</v>
      </c>
      <c r="G15" s="58">
        <v>0.21</v>
      </c>
      <c r="H15" s="58">
        <v>0.21</v>
      </c>
      <c r="I15" s="58">
        <v>0.21</v>
      </c>
      <c r="J15" s="6"/>
    </row>
    <row r="16" spans="1:10" ht="13.5" customHeight="1" x14ac:dyDescent="0.2">
      <c r="A16" s="6"/>
      <c r="B16" s="55" t="s">
        <v>58</v>
      </c>
      <c r="C16" s="62">
        <f t="shared" ref="C16:I16" si="3">C14*(1-C15)</f>
        <v>3156.84</v>
      </c>
      <c r="D16" s="62">
        <f t="shared" si="3"/>
        <v>3125.2716</v>
      </c>
      <c r="E16" s="62">
        <f t="shared" si="3"/>
        <v>3051.0463995</v>
      </c>
      <c r="F16" s="62">
        <f t="shared" si="3"/>
        <v>2990.02547151</v>
      </c>
      <c r="G16" s="62">
        <f t="shared" si="3"/>
        <v>2888.9541879659996</v>
      </c>
      <c r="H16" s="62">
        <f t="shared" si="3"/>
        <v>2816.7303332668498</v>
      </c>
      <c r="I16" s="62">
        <f t="shared" si="3"/>
        <v>2707.0790452932474</v>
      </c>
      <c r="J16" s="6"/>
    </row>
    <row r="17" spans="1:10" ht="3.75" customHeight="1" x14ac:dyDescent="0.2">
      <c r="A17" s="6"/>
      <c r="B17" s="18" t="s">
        <v>59</v>
      </c>
      <c r="C17" s="19"/>
      <c r="D17" s="19"/>
      <c r="E17" s="19"/>
      <c r="F17" s="19"/>
      <c r="G17" s="19"/>
      <c r="H17" s="19"/>
      <c r="I17" s="19"/>
      <c r="J17" s="6"/>
    </row>
    <row r="18" spans="1:10" ht="12.75" customHeight="1" x14ac:dyDescent="0.2">
      <c r="A18" s="6"/>
      <c r="B18" s="53"/>
      <c r="C18" s="61"/>
      <c r="D18" s="61"/>
      <c r="E18" s="61"/>
      <c r="F18" s="61"/>
      <c r="G18" s="61"/>
      <c r="H18" s="61"/>
      <c r="I18" s="61"/>
      <c r="J18" s="6"/>
    </row>
    <row r="19" spans="1:10" ht="13.5" customHeight="1" x14ac:dyDescent="0.2">
      <c r="A19" s="6"/>
      <c r="B19" s="57"/>
      <c r="C19" s="63"/>
      <c r="D19" s="63"/>
      <c r="E19" s="63"/>
      <c r="F19" s="63"/>
      <c r="G19" s="63"/>
      <c r="H19" s="63"/>
      <c r="I19" s="63"/>
      <c r="J19" s="6"/>
    </row>
    <row r="20" spans="1:10" ht="13.5" customHeight="1" x14ac:dyDescent="0.2">
      <c r="A20" s="6"/>
      <c r="B20" s="57" t="s">
        <v>60</v>
      </c>
      <c r="C20" s="58">
        <v>5.0000000000000001E-3</v>
      </c>
      <c r="D20" s="58">
        <v>5.0000000000000001E-3</v>
      </c>
      <c r="E20" s="58">
        <v>5.0000000000000001E-3</v>
      </c>
      <c r="F20" s="58">
        <v>5.0000000000000001E-3</v>
      </c>
      <c r="G20" s="58">
        <v>5.0000000000000001E-3</v>
      </c>
      <c r="H20" s="58">
        <v>5.0000000000000001E-3</v>
      </c>
      <c r="I20" s="58">
        <v>5.0000000000000001E-3</v>
      </c>
      <c r="J20" s="6"/>
    </row>
    <row r="21" spans="1:10" ht="13.5" customHeight="1" x14ac:dyDescent="0.2">
      <c r="A21" s="6"/>
      <c r="B21" s="57" t="s">
        <v>61</v>
      </c>
      <c r="C21" s="62">
        <f t="shared" ref="C21:I21" si="4">C20*C9</f>
        <v>27.75</v>
      </c>
      <c r="D21" s="62">
        <f t="shared" si="4"/>
        <v>27.4725</v>
      </c>
      <c r="E21" s="62">
        <f t="shared" si="4"/>
        <v>27.197775000000004</v>
      </c>
      <c r="F21" s="62">
        <f t="shared" si="4"/>
        <v>26.653819500000001</v>
      </c>
      <c r="G21" s="62">
        <f t="shared" si="4"/>
        <v>26.120743109999999</v>
      </c>
      <c r="H21" s="62">
        <f t="shared" si="4"/>
        <v>25.467724532249999</v>
      </c>
      <c r="I21" s="62">
        <f t="shared" si="4"/>
        <v>24.831031418943748</v>
      </c>
      <c r="J21" s="6"/>
    </row>
    <row r="22" spans="1:10" ht="13.5" customHeight="1" x14ac:dyDescent="0.2">
      <c r="A22" s="6"/>
      <c r="B22" s="57" t="s">
        <v>62</v>
      </c>
      <c r="C22" s="58">
        <v>5.0000000000000001E-3</v>
      </c>
      <c r="D22" s="58">
        <v>5.0000000000000001E-3</v>
      </c>
      <c r="E22" s="58">
        <v>5.0000000000000001E-3</v>
      </c>
      <c r="F22" s="58">
        <v>5.0000000000000001E-3</v>
      </c>
      <c r="G22" s="58">
        <v>5.0000000000000001E-3</v>
      </c>
      <c r="H22" s="58">
        <v>5.0000000000000001E-3</v>
      </c>
      <c r="I22" s="58">
        <v>5.0000000000000001E-3</v>
      </c>
      <c r="J22" s="6"/>
    </row>
    <row r="23" spans="1:10" ht="13.5" customHeight="1" x14ac:dyDescent="0.2">
      <c r="A23" s="6"/>
      <c r="B23" s="57" t="s">
        <v>63</v>
      </c>
      <c r="C23" s="62">
        <f t="shared" ref="C23:I23" si="5">C22*C9</f>
        <v>27.75</v>
      </c>
      <c r="D23" s="62">
        <f t="shared" si="5"/>
        <v>27.4725</v>
      </c>
      <c r="E23" s="62">
        <f t="shared" si="5"/>
        <v>27.197775000000004</v>
      </c>
      <c r="F23" s="62">
        <f t="shared" si="5"/>
        <v>26.653819500000001</v>
      </c>
      <c r="G23" s="62">
        <f t="shared" si="5"/>
        <v>26.120743109999999</v>
      </c>
      <c r="H23" s="62">
        <f t="shared" si="5"/>
        <v>25.467724532249999</v>
      </c>
      <c r="I23" s="62">
        <f t="shared" si="5"/>
        <v>24.831031418943748</v>
      </c>
      <c r="J23" s="6"/>
    </row>
    <row r="24" spans="1:10" s="49" customFormat="1" ht="13.5" customHeight="1" x14ac:dyDescent="0.25">
      <c r="A24" s="6"/>
      <c r="B24" s="57" t="s">
        <v>64</v>
      </c>
      <c r="C24" s="58">
        <v>5.0000000000000001E-3</v>
      </c>
      <c r="D24" s="58">
        <v>5.0000000000000001E-3</v>
      </c>
      <c r="E24" s="58">
        <v>5.0000000000000001E-3</v>
      </c>
      <c r="F24" s="58">
        <v>5.0000000000000001E-3</v>
      </c>
      <c r="G24" s="58">
        <v>5.0000000000000001E-3</v>
      </c>
      <c r="H24" s="58">
        <v>5.0000000000000001E-3</v>
      </c>
      <c r="I24" s="58">
        <v>5.0000000000000001E-3</v>
      </c>
      <c r="J24" s="6"/>
    </row>
    <row r="25" spans="1:10" ht="3.75" customHeight="1" x14ac:dyDescent="0.2">
      <c r="A25" s="6"/>
      <c r="B25" s="18" t="s">
        <v>65</v>
      </c>
      <c r="C25" s="60"/>
      <c r="D25" s="60"/>
      <c r="E25" s="60"/>
      <c r="F25" s="60"/>
      <c r="G25" s="60"/>
      <c r="H25" s="60"/>
      <c r="I25" s="60"/>
      <c r="J25" s="6"/>
    </row>
    <row r="26" spans="1:10" ht="12.75" customHeight="1" x14ac:dyDescent="0.2">
      <c r="A26" s="6"/>
      <c r="B26" s="53"/>
      <c r="C26" s="54"/>
      <c r="D26" s="54"/>
      <c r="E26" s="54"/>
      <c r="F26" s="54"/>
      <c r="G26" s="54"/>
      <c r="H26" s="54"/>
      <c r="I26" s="54"/>
      <c r="J26" s="6"/>
    </row>
    <row r="27" spans="1:10" ht="13.5" customHeight="1" x14ac:dyDescent="0.2">
      <c r="A27" s="6"/>
      <c r="B27" s="55" t="s">
        <v>66</v>
      </c>
      <c r="C27" s="62">
        <f t="shared" ref="C27:I27" si="6">C16+C21-C23-C24*C9</f>
        <v>3129.09</v>
      </c>
      <c r="D27" s="62">
        <f t="shared" si="6"/>
        <v>3097.7991000000002</v>
      </c>
      <c r="E27" s="62">
        <f t="shared" si="6"/>
        <v>3023.8486244999999</v>
      </c>
      <c r="F27" s="62">
        <f t="shared" si="6"/>
        <v>2963.3716520100002</v>
      </c>
      <c r="G27" s="62">
        <f t="shared" si="6"/>
        <v>2862.8334448559995</v>
      </c>
      <c r="H27" s="62">
        <f t="shared" si="6"/>
        <v>2791.2626087345998</v>
      </c>
      <c r="I27" s="62">
        <f t="shared" si="6"/>
        <v>2682.2480138743035</v>
      </c>
      <c r="J27" s="6"/>
    </row>
    <row r="28" spans="1:10" ht="13.5" customHeight="1" x14ac:dyDescent="0.2">
      <c r="A28" s="6"/>
      <c r="B28" s="57" t="s">
        <v>67</v>
      </c>
      <c r="C28" s="62">
        <f t="shared" ref="C28:I28" si="7">C27/(1+$C$31)^C3</f>
        <v>2993.6914242576067</v>
      </c>
      <c r="D28" s="62">
        <f t="shared" si="7"/>
        <v>2719.0408348761744</v>
      </c>
      <c r="E28" s="62">
        <f t="shared" si="7"/>
        <v>2434.9835358797095</v>
      </c>
      <c r="F28" s="62">
        <f t="shared" si="7"/>
        <v>2189.2512524423078</v>
      </c>
      <c r="G28" s="62">
        <f t="shared" si="7"/>
        <v>1940.3455056955604</v>
      </c>
      <c r="H28" s="62">
        <f t="shared" si="7"/>
        <v>1735.6301541772214</v>
      </c>
      <c r="I28" s="62">
        <f t="shared" si="7"/>
        <v>1530.1320901934296</v>
      </c>
      <c r="J28" s="6"/>
    </row>
    <row r="29" spans="1:10" ht="3.75" customHeight="1" x14ac:dyDescent="0.2">
      <c r="A29" s="6"/>
      <c r="B29" s="18" t="s">
        <v>68</v>
      </c>
      <c r="C29" s="60"/>
      <c r="D29" s="19"/>
      <c r="E29" s="19"/>
      <c r="F29" s="19"/>
      <c r="G29" s="19"/>
      <c r="H29" s="19"/>
      <c r="I29" s="19"/>
      <c r="J29" s="6"/>
    </row>
    <row r="30" spans="1:10" ht="12.75" customHeight="1" x14ac:dyDescent="0.2">
      <c r="A30" s="6"/>
      <c r="B30" s="53"/>
      <c r="C30" s="64"/>
      <c r="D30" s="64"/>
      <c r="E30" s="64"/>
      <c r="F30" s="64"/>
      <c r="G30" s="64"/>
      <c r="H30" s="64"/>
      <c r="I30" s="64"/>
      <c r="J30" s="6"/>
    </row>
    <row r="31" spans="1:10" ht="13.5" customHeight="1" x14ac:dyDescent="0.2">
      <c r="A31" s="6"/>
      <c r="B31" s="57" t="s">
        <v>69</v>
      </c>
      <c r="C31" s="58">
        <v>0.09</v>
      </c>
      <c r="D31" s="63"/>
      <c r="E31" s="63"/>
      <c r="F31" s="63"/>
      <c r="G31" s="63"/>
      <c r="H31" s="63"/>
      <c r="I31" s="63"/>
      <c r="J31" s="6"/>
    </row>
    <row r="32" spans="1:10" ht="13.5" customHeight="1" x14ac:dyDescent="0.2">
      <c r="A32" s="6"/>
      <c r="B32" s="57" t="s">
        <v>70</v>
      </c>
      <c r="C32" s="65">
        <v>10</v>
      </c>
      <c r="D32" s="66"/>
      <c r="E32" s="66"/>
      <c r="F32" s="66"/>
      <c r="G32" s="66"/>
      <c r="H32" s="66"/>
      <c r="I32" s="66"/>
      <c r="J32" s="6"/>
    </row>
    <row r="33" spans="1:10" ht="13.5" customHeight="1" x14ac:dyDescent="0.2">
      <c r="A33" s="6"/>
      <c r="B33" s="55" t="s">
        <v>71</v>
      </c>
      <c r="C33" s="67">
        <f>(C32*I14)/(1+C31)^I3</f>
        <v>19548.06780658149</v>
      </c>
      <c r="D33" s="68"/>
      <c r="E33" s="68"/>
      <c r="F33" s="68"/>
      <c r="G33" s="68"/>
      <c r="H33" s="68"/>
      <c r="I33" s="68"/>
      <c r="J33" s="6"/>
    </row>
    <row r="34" spans="1:10" ht="6" customHeight="1" x14ac:dyDescent="0.2">
      <c r="A34" s="6"/>
      <c r="B34" s="40"/>
      <c r="C34" s="69"/>
      <c r="D34" s="70"/>
      <c r="E34" s="70"/>
      <c r="F34" s="70"/>
      <c r="G34" s="70"/>
      <c r="H34" s="70"/>
      <c r="I34" s="70"/>
      <c r="J34" s="6"/>
    </row>
    <row r="35" spans="1:10" ht="15.75" customHeight="1" x14ac:dyDescent="0.2">
      <c r="A35" s="6"/>
      <c r="B35" s="15" t="s">
        <v>72</v>
      </c>
      <c r="C35" s="16">
        <f>C33+SUM(C28:I28)</f>
        <v>35091.142604103501</v>
      </c>
      <c r="D35" s="71"/>
      <c r="E35" s="71"/>
      <c r="F35" s="71"/>
      <c r="G35" s="71"/>
      <c r="H35" s="71"/>
      <c r="I35" s="71"/>
      <c r="J35" s="6"/>
    </row>
    <row r="36" spans="1:10" ht="13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/>
    <row r="42" spans="1:10" ht="15" customHeight="1" x14ac:dyDescent="0.2"/>
    <row r="43" spans="1:10" ht="15" customHeight="1" x14ac:dyDescent="0.2"/>
    <row r="44" spans="1:10" ht="15" customHeight="1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SOTP</vt:lpstr>
      <vt:lpstr>DC</vt:lpstr>
      <vt:lpstr>Handsets</vt:lpstr>
      <vt:lpstr>Auto</vt:lpstr>
      <vt:lpstr>IoT_Industrial</vt:lpstr>
      <vt:lpstr>IoT_PersonalAI</vt:lpstr>
      <vt:lpstr>QTL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Tomohawk WR</dc:creator>
  <dc:description/>
  <cp:lastModifiedBy>Tomohawk WR</cp:lastModifiedBy>
  <cp:revision>0</cp:revision>
  <dcterms:created xsi:type="dcterms:W3CDTF">2026-06-27T02:25:58Z</dcterms:created>
  <dcterms:modified xsi:type="dcterms:W3CDTF">2026-06-27T15:52:21Z</dcterms:modified>
  <dc:language>en-US</dc:language>
</cp:coreProperties>
</file>