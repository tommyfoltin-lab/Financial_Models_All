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ommy\Downloads\"/>
    </mc:Choice>
  </mc:AlternateContent>
  <xr:revisionPtr revIDLastSave="0" documentId="13_ncr:1_{8E4D4C78-5527-4953-8D58-2459C6ED96DE}" xr6:coauthVersionLast="47" xr6:coauthVersionMax="47" xr10:uidLastSave="{00000000-0000-0000-0000-000000000000}"/>
  <bookViews>
    <workbookView xWindow="300" yWindow="465" windowWidth="27840" windowHeight="14040" tabRatio="500" activeTab="1" xr2:uid="{00000000-000D-0000-FFFF-FFFF00000000}"/>
  </bookViews>
  <sheets>
    <sheet name="Assumptions" sheetId="1" r:id="rId1"/>
    <sheet name="Revenue Model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03" i="2" l="1"/>
  <c r="G103" i="2"/>
  <c r="F103" i="2"/>
  <c r="E103" i="2"/>
  <c r="D103" i="2"/>
  <c r="C103" i="2"/>
  <c r="H94" i="2"/>
  <c r="G94" i="2"/>
  <c r="F94" i="2"/>
  <c r="E94" i="2"/>
  <c r="D94" i="2"/>
  <c r="C94" i="2"/>
  <c r="H85" i="2"/>
  <c r="G85" i="2"/>
  <c r="F85" i="2"/>
  <c r="E85" i="2"/>
  <c r="D85" i="2"/>
  <c r="C85" i="2"/>
  <c r="H76" i="2"/>
  <c r="G76" i="2"/>
  <c r="F76" i="2"/>
  <c r="E76" i="2"/>
  <c r="D76" i="2"/>
  <c r="C76" i="2"/>
  <c r="H67" i="2"/>
  <c r="G67" i="2"/>
  <c r="F67" i="2"/>
  <c r="E67" i="2"/>
  <c r="D67" i="2"/>
  <c r="C67" i="2"/>
  <c r="H30" i="2"/>
  <c r="G30" i="2"/>
  <c r="F30" i="2"/>
  <c r="E30" i="2"/>
  <c r="D30" i="2"/>
  <c r="C30" i="2"/>
  <c r="H24" i="2"/>
  <c r="G24" i="2"/>
  <c r="F24" i="2"/>
  <c r="E24" i="2"/>
  <c r="D24" i="2"/>
  <c r="C24" i="2"/>
  <c r="H18" i="2"/>
  <c r="G18" i="2"/>
  <c r="F18" i="2"/>
  <c r="E18" i="2"/>
  <c r="D18" i="2"/>
  <c r="C18" i="2"/>
  <c r="H12" i="2"/>
  <c r="G12" i="2"/>
  <c r="F12" i="2"/>
  <c r="E12" i="2"/>
  <c r="D12" i="2"/>
  <c r="C12" i="2"/>
  <c r="H6" i="2"/>
  <c r="G6" i="2"/>
  <c r="F6" i="2"/>
  <c r="E6" i="2"/>
  <c r="D6" i="2"/>
  <c r="C6" i="2"/>
  <c r="H31" i="2" l="1"/>
  <c r="H32" i="2"/>
  <c r="G32" i="2"/>
  <c r="G31" i="2"/>
  <c r="G33" i="2" s="1"/>
  <c r="F32" i="2"/>
  <c r="F31" i="2"/>
  <c r="F33" i="2" s="1"/>
  <c r="E32" i="2"/>
  <c r="E31" i="2"/>
  <c r="E33" i="2" s="1"/>
  <c r="D32" i="2"/>
  <c r="D31" i="2"/>
  <c r="D33" i="2" s="1"/>
  <c r="C32" i="2"/>
  <c r="C31" i="2"/>
  <c r="C33" i="2" s="1"/>
  <c r="H26" i="2"/>
  <c r="H25" i="2"/>
  <c r="H27" i="2" s="1"/>
  <c r="G25" i="2"/>
  <c r="G27" i="2" s="1"/>
  <c r="G26" i="2"/>
  <c r="F25" i="2"/>
  <c r="F26" i="2"/>
  <c r="E25" i="2"/>
  <c r="E26" i="2"/>
  <c r="D25" i="2"/>
  <c r="D26" i="2"/>
  <c r="C25" i="2"/>
  <c r="C26" i="2"/>
  <c r="H20" i="2"/>
  <c r="H19" i="2"/>
  <c r="G20" i="2"/>
  <c r="G19" i="2"/>
  <c r="G21" i="2" s="1"/>
  <c r="F20" i="2"/>
  <c r="F19" i="2"/>
  <c r="F21" i="2" s="1"/>
  <c r="E20" i="2"/>
  <c r="E19" i="2"/>
  <c r="E21" i="2" s="1"/>
  <c r="D20" i="2"/>
  <c r="D19" i="2"/>
  <c r="D21" i="2" s="1"/>
  <c r="C20" i="2"/>
  <c r="C19" i="2"/>
  <c r="H14" i="2"/>
  <c r="H13" i="2"/>
  <c r="H15" i="2" s="1"/>
  <c r="G14" i="2"/>
  <c r="G13" i="2"/>
  <c r="G15" i="2" s="1"/>
  <c r="F13" i="2"/>
  <c r="F14" i="2"/>
  <c r="E13" i="2"/>
  <c r="E14" i="2"/>
  <c r="D13" i="2"/>
  <c r="D14" i="2"/>
  <c r="C14" i="2"/>
  <c r="C13" i="2"/>
  <c r="C15" i="2" s="1"/>
  <c r="H7" i="2"/>
  <c r="H8" i="2"/>
  <c r="H42" i="2" s="1"/>
  <c r="G8" i="2"/>
  <c r="G42" i="2" s="1"/>
  <c r="G7" i="2"/>
  <c r="F7" i="2"/>
  <c r="F8" i="2"/>
  <c r="F42" i="2" s="1"/>
  <c r="E7" i="2"/>
  <c r="E8" i="2"/>
  <c r="E42" i="2" s="1"/>
  <c r="D8" i="2"/>
  <c r="D42" i="2" s="1"/>
  <c r="D7" i="2"/>
  <c r="C7" i="2"/>
  <c r="C8" i="2"/>
  <c r="C42" i="2" s="1"/>
  <c r="G40" i="2" l="1"/>
  <c r="G102" i="2"/>
  <c r="G50" i="2"/>
  <c r="F102" i="2"/>
  <c r="F40" i="2"/>
  <c r="F50" i="2"/>
  <c r="E102" i="2"/>
  <c r="E40" i="2"/>
  <c r="D40" i="2"/>
  <c r="D102" i="2"/>
  <c r="E50" i="2"/>
  <c r="C40" i="2"/>
  <c r="D50" i="2"/>
  <c r="C102" i="2"/>
  <c r="H39" i="2"/>
  <c r="H93" i="2"/>
  <c r="H49" i="2"/>
  <c r="G93" i="2"/>
  <c r="G39" i="2"/>
  <c r="G38" i="2"/>
  <c r="H48" i="2"/>
  <c r="G84" i="2"/>
  <c r="F38" i="2"/>
  <c r="G48" i="2"/>
  <c r="F84" i="2"/>
  <c r="E38" i="2"/>
  <c r="F48" i="2"/>
  <c r="E84" i="2"/>
  <c r="D38" i="2"/>
  <c r="D84" i="2"/>
  <c r="E48" i="2"/>
  <c r="H37" i="2"/>
  <c r="H75" i="2"/>
  <c r="G37" i="2"/>
  <c r="G75" i="2"/>
  <c r="H47" i="2"/>
  <c r="C37" i="2"/>
  <c r="D47" i="2"/>
  <c r="C75" i="2"/>
  <c r="H9" i="2"/>
  <c r="H41" i="2"/>
  <c r="G9" i="2"/>
  <c r="G41" i="2"/>
  <c r="F9" i="2"/>
  <c r="F41" i="2"/>
  <c r="E41" i="2"/>
  <c r="E9" i="2"/>
  <c r="D9" i="2"/>
  <c r="D41" i="2"/>
  <c r="C9" i="2"/>
  <c r="C41" i="2"/>
  <c r="H33" i="2"/>
  <c r="H50" i="2" s="1"/>
  <c r="F27" i="2"/>
  <c r="E27" i="2"/>
  <c r="D27" i="2"/>
  <c r="C27" i="2"/>
  <c r="H21" i="2"/>
  <c r="C21" i="2"/>
  <c r="F15" i="2"/>
  <c r="E15" i="2"/>
  <c r="D15" i="2"/>
  <c r="G104" i="2" l="1"/>
  <c r="G105" i="2"/>
  <c r="G106" i="2"/>
  <c r="F104" i="2"/>
  <c r="F107" i="2" s="1"/>
  <c r="F105" i="2"/>
  <c r="F106" i="2"/>
  <c r="E105" i="2"/>
  <c r="E106" i="2"/>
  <c r="E104" i="2"/>
  <c r="E107" i="2" s="1"/>
  <c r="D104" i="2"/>
  <c r="D107" i="2" s="1"/>
  <c r="D105" i="2"/>
  <c r="D106" i="2"/>
  <c r="C106" i="2"/>
  <c r="C104" i="2"/>
  <c r="C105" i="2"/>
  <c r="H96" i="2"/>
  <c r="H95" i="2"/>
  <c r="H97" i="2"/>
  <c r="G95" i="2"/>
  <c r="G97" i="2"/>
  <c r="G96" i="2"/>
  <c r="G86" i="2"/>
  <c r="G88" i="2"/>
  <c r="G87" i="2"/>
  <c r="F86" i="2"/>
  <c r="F87" i="2"/>
  <c r="F88" i="2"/>
  <c r="E87" i="2"/>
  <c r="E88" i="2"/>
  <c r="E86" i="2"/>
  <c r="E89" i="2" s="1"/>
  <c r="D87" i="2"/>
  <c r="D88" i="2"/>
  <c r="D86" i="2"/>
  <c r="D89" i="2" s="1"/>
  <c r="D129" i="2"/>
  <c r="H77" i="2"/>
  <c r="H78" i="2"/>
  <c r="H79" i="2"/>
  <c r="G77" i="2"/>
  <c r="G80" i="2" s="1"/>
  <c r="G78" i="2"/>
  <c r="G79" i="2"/>
  <c r="C77" i="2"/>
  <c r="C78" i="2"/>
  <c r="C79" i="2"/>
  <c r="H36" i="2"/>
  <c r="H66" i="2"/>
  <c r="H43" i="2"/>
  <c r="G36" i="2"/>
  <c r="G43" i="2"/>
  <c r="H46" i="2"/>
  <c r="G66" i="2"/>
  <c r="F36" i="2"/>
  <c r="F66" i="2"/>
  <c r="F43" i="2"/>
  <c r="G46" i="2"/>
  <c r="E36" i="2"/>
  <c r="E66" i="2"/>
  <c r="E43" i="2"/>
  <c r="F46" i="2"/>
  <c r="D36" i="2"/>
  <c r="D66" i="2"/>
  <c r="E46" i="2"/>
  <c r="D43" i="2"/>
  <c r="C36" i="2"/>
  <c r="C66" i="2"/>
  <c r="C43" i="2"/>
  <c r="D46" i="2"/>
  <c r="H102" i="2"/>
  <c r="H40" i="2"/>
  <c r="G49" i="2"/>
  <c r="F93" i="2"/>
  <c r="F39" i="2"/>
  <c r="E93" i="2"/>
  <c r="F49" i="2"/>
  <c r="E39" i="2"/>
  <c r="D93" i="2"/>
  <c r="E49" i="2"/>
  <c r="D39" i="2"/>
  <c r="D49" i="2"/>
  <c r="C93" i="2"/>
  <c r="C39" i="2"/>
  <c r="H84" i="2"/>
  <c r="H38" i="2"/>
  <c r="D48" i="2"/>
  <c r="C84" i="2"/>
  <c r="C38" i="2"/>
  <c r="G47" i="2"/>
  <c r="F75" i="2"/>
  <c r="F37" i="2"/>
  <c r="E75" i="2"/>
  <c r="F47" i="2"/>
  <c r="E37" i="2"/>
  <c r="E47" i="2"/>
  <c r="D75" i="2"/>
  <c r="D37" i="2"/>
  <c r="H68" i="2" l="1"/>
  <c r="H69" i="2"/>
  <c r="H70" i="2"/>
  <c r="H58" i="2"/>
  <c r="H111" i="2"/>
  <c r="H54" i="2"/>
  <c r="H55" i="2"/>
  <c r="H56" i="2"/>
  <c r="H57" i="2"/>
  <c r="H60" i="2"/>
  <c r="H61" i="2"/>
  <c r="H51" i="2"/>
  <c r="G58" i="2"/>
  <c r="G61" i="2"/>
  <c r="G54" i="2"/>
  <c r="G55" i="2"/>
  <c r="G56" i="2"/>
  <c r="G57" i="2"/>
  <c r="G60" i="2"/>
  <c r="G111" i="2"/>
  <c r="G68" i="2"/>
  <c r="G69" i="2"/>
  <c r="G70" i="2"/>
  <c r="F68" i="2"/>
  <c r="F69" i="2"/>
  <c r="F70" i="2"/>
  <c r="F111" i="2"/>
  <c r="F54" i="2"/>
  <c r="F55" i="2"/>
  <c r="F56" i="2"/>
  <c r="F57" i="2"/>
  <c r="F58" i="2"/>
  <c r="F60" i="2"/>
  <c r="F61" i="2"/>
  <c r="G51" i="2"/>
  <c r="E68" i="2"/>
  <c r="E69" i="2"/>
  <c r="E70" i="2"/>
  <c r="E60" i="2"/>
  <c r="E61" i="2"/>
  <c r="F51" i="2"/>
  <c r="E54" i="2"/>
  <c r="E55" i="2"/>
  <c r="E56" i="2"/>
  <c r="E57" i="2"/>
  <c r="E58" i="2"/>
  <c r="E111" i="2"/>
  <c r="D68" i="2"/>
  <c r="D69" i="2"/>
  <c r="D70" i="2"/>
  <c r="E51" i="2"/>
  <c r="D54" i="2"/>
  <c r="D55" i="2"/>
  <c r="D56" i="2"/>
  <c r="D57" i="2"/>
  <c r="D58" i="2"/>
  <c r="D61" i="2"/>
  <c r="D60" i="2"/>
  <c r="D111" i="2"/>
  <c r="C68" i="2"/>
  <c r="C69" i="2"/>
  <c r="C70" i="2"/>
  <c r="C111" i="2"/>
  <c r="C57" i="2"/>
  <c r="C60" i="2"/>
  <c r="D51" i="2"/>
  <c r="C54" i="2"/>
  <c r="C55" i="2"/>
  <c r="C56" i="2"/>
  <c r="C58" i="2"/>
  <c r="C61" i="2"/>
  <c r="H105" i="2"/>
  <c r="H106" i="2"/>
  <c r="H108" i="2"/>
  <c r="H104" i="2"/>
  <c r="H107" i="2" s="1"/>
  <c r="H124" i="2" s="1"/>
  <c r="H131" i="2"/>
  <c r="F95" i="2"/>
  <c r="F96" i="2"/>
  <c r="F97" i="2"/>
  <c r="E96" i="2"/>
  <c r="E97" i="2"/>
  <c r="E95" i="2"/>
  <c r="E98" i="2" s="1"/>
  <c r="D96" i="2"/>
  <c r="D97" i="2"/>
  <c r="D95" i="2"/>
  <c r="D98" i="2" s="1"/>
  <c r="D99" i="2"/>
  <c r="C95" i="2"/>
  <c r="C96" i="2"/>
  <c r="C97" i="2"/>
  <c r="H86" i="2"/>
  <c r="H88" i="2"/>
  <c r="H87" i="2"/>
  <c r="C88" i="2"/>
  <c r="C86" i="2"/>
  <c r="C87" i="2"/>
  <c r="F77" i="2"/>
  <c r="F80" i="2" s="1"/>
  <c r="F78" i="2"/>
  <c r="F79" i="2"/>
  <c r="E77" i="2"/>
  <c r="E78" i="2"/>
  <c r="E79" i="2"/>
  <c r="D77" i="2"/>
  <c r="D78" i="2"/>
  <c r="D79" i="2"/>
  <c r="H98" i="2"/>
  <c r="G98" i="2"/>
  <c r="G89" i="2"/>
  <c r="F89" i="2"/>
  <c r="H80" i="2"/>
  <c r="C80" i="2"/>
  <c r="G107" i="2"/>
  <c r="C107" i="2"/>
  <c r="F124" i="2"/>
  <c r="F108" i="2"/>
  <c r="F131" i="2"/>
  <c r="E124" i="2"/>
  <c r="E131" i="2"/>
  <c r="E108" i="2"/>
  <c r="D124" i="2"/>
  <c r="D108" i="2"/>
  <c r="D131" i="2"/>
  <c r="E122" i="2"/>
  <c r="E129" i="2"/>
  <c r="E90" i="2"/>
  <c r="D122" i="2"/>
  <c r="D90" i="2"/>
  <c r="G121" i="2"/>
  <c r="G81" i="2"/>
  <c r="G128" i="2"/>
  <c r="H71" i="2" l="1"/>
  <c r="H112" i="2"/>
  <c r="H113" i="2"/>
  <c r="H114" i="2"/>
  <c r="H115" i="2"/>
  <c r="G114" i="2"/>
  <c r="G115" i="2"/>
  <c r="G71" i="2"/>
  <c r="G112" i="2"/>
  <c r="F71" i="2"/>
  <c r="F112" i="2"/>
  <c r="F113" i="2"/>
  <c r="F114" i="2"/>
  <c r="F115" i="2"/>
  <c r="E71" i="2"/>
  <c r="E112" i="2"/>
  <c r="E116" i="2" s="1"/>
  <c r="E113" i="2"/>
  <c r="E114" i="2"/>
  <c r="E115" i="2"/>
  <c r="D71" i="2"/>
  <c r="D112" i="2"/>
  <c r="D113" i="2"/>
  <c r="D114" i="2"/>
  <c r="D115" i="2"/>
  <c r="C71" i="2"/>
  <c r="C112" i="2"/>
  <c r="C113" i="2" s="1"/>
  <c r="C114" i="2"/>
  <c r="C115" i="2"/>
  <c r="H130" i="2"/>
  <c r="H99" i="2"/>
  <c r="H123" i="2"/>
  <c r="G130" i="2"/>
  <c r="G99" i="2"/>
  <c r="G123" i="2"/>
  <c r="G90" i="2"/>
  <c r="G129" i="2"/>
  <c r="G122" i="2"/>
  <c r="F129" i="2"/>
  <c r="F90" i="2"/>
  <c r="F122" i="2"/>
  <c r="H128" i="2"/>
  <c r="H81" i="2"/>
  <c r="H121" i="2"/>
  <c r="C128" i="2"/>
  <c r="C81" i="2"/>
  <c r="C121" i="2"/>
  <c r="G108" i="2"/>
  <c r="G131" i="2"/>
  <c r="G124" i="2"/>
  <c r="C108" i="2"/>
  <c r="C131" i="2"/>
  <c r="C124" i="2"/>
  <c r="F98" i="2"/>
  <c r="H89" i="2"/>
  <c r="C98" i="2"/>
  <c r="C89" i="2"/>
  <c r="E80" i="2"/>
  <c r="D80" i="2"/>
  <c r="E123" i="2"/>
  <c r="E99" i="2"/>
  <c r="E130" i="2"/>
  <c r="D123" i="2"/>
  <c r="D130" i="2"/>
  <c r="F121" i="2"/>
  <c r="F81" i="2"/>
  <c r="F128" i="2"/>
  <c r="H127" i="2" l="1"/>
  <c r="H72" i="2"/>
  <c r="H120" i="2"/>
  <c r="G72" i="2"/>
  <c r="G127" i="2"/>
  <c r="G120" i="2"/>
  <c r="F72" i="2"/>
  <c r="F127" i="2"/>
  <c r="F120" i="2"/>
  <c r="E127" i="2"/>
  <c r="E72" i="2"/>
  <c r="E120" i="2"/>
  <c r="D127" i="2"/>
  <c r="D72" i="2"/>
  <c r="D120" i="2"/>
  <c r="C127" i="2"/>
  <c r="C72" i="2"/>
  <c r="C120" i="2"/>
  <c r="F99" i="2"/>
  <c r="F130" i="2"/>
  <c r="F123" i="2"/>
  <c r="H129" i="2"/>
  <c r="H90" i="2"/>
  <c r="H122" i="2"/>
  <c r="C130" i="2"/>
  <c r="C99" i="2"/>
  <c r="C123" i="2"/>
  <c r="C90" i="2"/>
  <c r="C129" i="2"/>
  <c r="C122" i="2"/>
  <c r="E128" i="2"/>
  <c r="E81" i="2"/>
  <c r="E121" i="2"/>
  <c r="D128" i="2"/>
  <c r="D81" i="2"/>
  <c r="D121" i="2"/>
  <c r="D116" i="2"/>
  <c r="C116" i="2"/>
  <c r="H116" i="2"/>
  <c r="F116" i="2"/>
  <c r="G116" i="2"/>
  <c r="G113" i="2"/>
  <c r="E117" i="2"/>
  <c r="E132" i="2"/>
  <c r="D132" i="2" l="1"/>
  <c r="D117" i="2"/>
  <c r="C117" i="2"/>
  <c r="C132" i="2"/>
  <c r="H132" i="2"/>
  <c r="H117" i="2"/>
  <c r="F132" i="2"/>
  <c r="F117" i="2"/>
  <c r="G132" i="2"/>
  <c r="G117" i="2"/>
</calcChain>
</file>

<file path=xl/sharedStrings.xml><?xml version="1.0" encoding="utf-8"?>
<sst xmlns="http://schemas.openxmlformats.org/spreadsheetml/2006/main" count="256" uniqueCount="122">
  <si>
    <t>NAVITAS SEMICONDUCTOR (NVTS)  |  REVENUE AND P&amp;L ASSUMPTIONS  |  FY2025-FY2030</t>
  </si>
  <si>
    <t>Assumption</t>
  </si>
  <si>
    <t>Source / Rationale</t>
  </si>
  <si>
    <t>FY2025</t>
  </si>
  <si>
    <t>FY2026</t>
  </si>
  <si>
    <t>FY2027</t>
  </si>
  <si>
    <t>FY2028</t>
  </si>
  <si>
    <t>FY2029</t>
  </si>
  <si>
    <t>FY2030</t>
  </si>
  <si>
    <t>Blue = hardcoded input    Black = formula    Yellow = USER_REQUIRED or MISSING_EVIDENCE</t>
  </si>
  <si>
    <t>REVENUE DRIVER ASSUMPTIONS  |  Driver: MW Addressed x Content ($/MW) / 1,000,000 = Revenue ($M)</t>
  </si>
  <si>
    <t>DATA CENTER</t>
  </si>
  <si>
    <t xml:space="preserve">  MW Addressed  (MW)</t>
  </si>
  <si>
    <t>MW of hyperscaler AI/GPU server power capacity addressed. FY2025 early ramp per 10-K FY2024. FY2030 implies ~30% of hyperscaler AI power consumption; USER_REQUIRED: validate vs disclosed capex plans.</t>
  </si>
  <si>
    <t xml:space="preserve">  SiC Content  ($/MW)</t>
  </si>
  <si>
    <t>SiC in PSU rectifier stage. $17,500/MW is ~1-2% of total PSU BOM at scale. Source: Gemini V2.</t>
  </si>
  <si>
    <t xml:space="preserve">  GaN Content  ($/MW)</t>
  </si>
  <si>
    <t>GaN in AC/DC totem-pole topology in AI server power delivery. Source: Gemini V2.</t>
  </si>
  <si>
    <t>MOBILE AND CONSUMER ELECTRONICS</t>
  </si>
  <si>
    <t>MW equivalent of GaN charger ICs shipped into USB-PD and fast-charger sockets. ~2-4% attach rate on global smartphone charger shipments. Growth capped by ASP erosion from Chinese GaN entrants.</t>
  </si>
  <si>
    <t>No SiC in mobile/consumer. Pure GaN segment.</t>
  </si>
  <si>
    <t>Derived from Gemini V2 ($20M / 1,500 MW FY2026). USER_REQUIRED: reconcile against NVTS disclosed ASP data.</t>
  </si>
  <si>
    <t>ELECTRIC VEHICLES</t>
  </si>
  <si>
    <t>MW equivalent of EV on-board charger and DC/DC converter power addressed. FY2025 pre-production. FY2030 implies ~5-6% of global EV production. USER_REQUIRED: validate against named customer SOPs.</t>
  </si>
  <si>
    <t>$400/MW is below STM and Wolfspeed OBC pricing, reflecting NVTS competitive positioning. MISSING_EVIDENCE: no NVTS EV contract pricing disclosed. Source: Gemini V2.</t>
  </si>
  <si>
    <t>GaN in auxiliary power stages. Smaller BOM share than SiC in EV powertrain. Source: Gemini V2.</t>
  </si>
  <si>
    <t>SOLAR AND ENERGY STORAGE</t>
  </si>
  <si>
    <t>MW of string inverter and storage inverter capacity addressed. Ramp begins FY2026. FY2030 consistent with global solar installation growth ~10-12% per year.</t>
  </si>
  <si>
    <t>SiC dominates solar inverter at 1,200V. $5,000/MW credible for residential/C&amp;I string inverter. NVTS GeneSiC differentiated at this voltage. Source: Gemini V2.</t>
  </si>
  <si>
    <t>Minimal GaN in solar inverter. SiC preferred for 650V+ breakdown voltage. Source: Gemini V2.</t>
  </si>
  <si>
    <t>INDUSTRIAL AND MOTOR DRIVES</t>
  </si>
  <si>
    <t>MW of motor drive, servo drive, and HVAC compressor power addressed. MISSING_EVIDENCE: no NVTS industrial customer names disclosed. Source: Gemini V2.</t>
  </si>
  <si>
    <t>SiC in servo drives and HVAC compressors. Source: Gemini V2.</t>
  </si>
  <si>
    <t>GaN in lower-power motor drive auxiliary stages. Source: Gemini V2.</t>
  </si>
  <si>
    <t>P&amp;L ASSUMPTIONS  |  Gross Margin by Segment  |  R&amp;D and SG&amp;A as % of Total Corporate Revenue</t>
  </si>
  <si>
    <t>GROSS MARGIN  (% of Segment Revenue)  -  Revenue minus wafer, assembly, and test cost</t>
  </si>
  <si>
    <t xml:space="preserve">  Data Center</t>
  </si>
  <si>
    <t>Premium segment. High ASP, limited direct competition in AI PSU silicon. Expands toward 55% at scale. MISSING_EVIDENCE: NVTS does not disclose segment-level gross margin.</t>
  </si>
  <si>
    <t xml:space="preserve">  Mobile / Consumer</t>
  </si>
  <si>
    <t>Most competitive segment. Innoscience, Navitas, GaN Systems competing for USB-PD socket. ASP erosion 3-5% per year. USER_REQUIRED: confirm against NVTS pricing commentary.</t>
  </si>
  <si>
    <t xml:space="preserve">  Electric Vehicles</t>
  </si>
  <si>
    <t>Severe OEM pricing pressure. Margin recovery requires volume scale and SiC IP leverage. MISSING_EVIDENCE: no NVTS EV contract pricing disclosed.</t>
  </si>
  <si>
    <t xml:space="preserve">  Solar / Storage</t>
  </si>
  <si>
    <t>SiC-dominant. String inverter OEMs pay premium for efficiency at 1,200V. NVTS GeneSiC differentiated. Margin expands with volume.</t>
  </si>
  <si>
    <t xml:space="preserve">  Industrial / Motor Drives</t>
  </si>
  <si>
    <t>Custom-adjacent applications with smaller runs and design-in stickiness. Better mix than mobile. MISSING_EVIDENCE: no industrial segment margin disclosure from NVTS.</t>
  </si>
  <si>
    <t>R&amp;D EXPENSE  (% of Total Corporate Revenue)  -  Allocated to segments by revenue mix</t>
  </si>
  <si>
    <t xml:space="preserve">  R&amp;D Rate</t>
  </si>
  <si>
    <t>NVTS FY2024 R&amp;D/revenue ~38-40% per 10-K. Fabless model requires heavy GaN and SiC IP investment. Leverages down as revenue scales. Long-term target ~25%, consistent with fabless semis at maturity.</t>
  </si>
  <si>
    <t>SG&amp;A EXPENSE  (% of Total Corporate Revenue)  -  Allocated to segments by revenue mix</t>
  </si>
  <si>
    <t xml:space="preserve">  SG&amp;A Rate</t>
  </si>
  <si>
    <t>NVTS FY2024 SG&amp;A/revenue ~20-22% per 10-K. Long-term target ~12-14%, consistent with Monolithic Power Systems at scale.</t>
  </si>
  <si>
    <t>NAVITAS SEMICONDUCTOR (NVTS)  |  SEGMENT REVENUE MODEL  |  FY2025-FY2030  ($M)</t>
  </si>
  <si>
    <t>Driver: MW Addressed x $ Content per MW  |  Blue = input  |  Black = formula  |  Green = cross-sheet link</t>
  </si>
  <si>
    <t>Segment</t>
  </si>
  <si>
    <t>Driver</t>
  </si>
  <si>
    <t xml:space="preserve">  MW Addressed</t>
  </si>
  <si>
    <t>Input (MW)</t>
  </si>
  <si>
    <t xml:space="preserve">  SiC Revenue</t>
  </si>
  <si>
    <t>MW x SiC$/MW /1M</t>
  </si>
  <si>
    <t xml:space="preserve">  GaN Revenue</t>
  </si>
  <si>
    <t>MW x GaN$/MW /1M</t>
  </si>
  <si>
    <t xml:space="preserve">  Total Data Center</t>
  </si>
  <si>
    <t>SiC + GaN</t>
  </si>
  <si>
    <t>MOBILE / CONSUMER</t>
  </si>
  <si>
    <t xml:space="preserve">  Total Mobile / Consumer</t>
  </si>
  <si>
    <t xml:space="preserve">  Total Electric Vehicles</t>
  </si>
  <si>
    <t>SOLAR / STORAGE</t>
  </si>
  <si>
    <t xml:space="preserve">  Total Solar / Storage</t>
  </si>
  <si>
    <t>INDUSTRIAL / MOTOR DRIVES</t>
  </si>
  <si>
    <t xml:space="preserve">  Total Industrial / Motor Drives</t>
  </si>
  <si>
    <t>TOTAL CORPORATE REVENUE  ($M)</t>
  </si>
  <si>
    <t xml:space="preserve">  Total SiC Revenue</t>
  </si>
  <si>
    <t>SUM of SiC rows</t>
  </si>
  <si>
    <t xml:space="preserve">  Total GaN Revenue</t>
  </si>
  <si>
    <t>SUM of GaN rows</t>
  </si>
  <si>
    <t>TOTAL CORPORATE REVENUE</t>
  </si>
  <si>
    <t>All Segments</t>
  </si>
  <si>
    <t>YoY REVENUE GROWTH</t>
  </si>
  <si>
    <t>n/a</t>
  </si>
  <si>
    <t xml:space="preserve">  Total Corporate</t>
  </si>
  <si>
    <t>SEGMENT MIX  (% of Total Revenue)</t>
  </si>
  <si>
    <t xml:space="preserve">  SiC % of Revenue</t>
  </si>
  <si>
    <t xml:space="preserve">  GaN % of Revenue</t>
  </si>
  <si>
    <t>SEGMENT P&amp;L  |  GROSS PROFIT, ALLOCATED OPEX, AND EBIT BY SEGMENT  ($M)</t>
  </si>
  <si>
    <t xml:space="preserve">  Revenue</t>
  </si>
  <si>
    <t>Link: Revenue Model row 9</t>
  </si>
  <si>
    <t xml:space="preserve">  Gross Margin %</t>
  </si>
  <si>
    <t>Input: Assumptions sheet</t>
  </si>
  <si>
    <t xml:space="preserve">  Gross Profit</t>
  </si>
  <si>
    <t>Revenue x GM%</t>
  </si>
  <si>
    <t xml:space="preserve">  R&amp;D (allocated)</t>
  </si>
  <si>
    <t>Corp R&amp;D rate x seg revenue mix</t>
  </si>
  <si>
    <t xml:space="preserve">  SG&amp;A (allocated)</t>
  </si>
  <si>
    <t>Corp SG&amp;A rate x seg revenue mix</t>
  </si>
  <si>
    <t xml:space="preserve">  EBIT  —  Data Center</t>
  </si>
  <si>
    <t>GP - R&amp;D alloc - SG&amp;A alloc</t>
  </si>
  <si>
    <t xml:space="preserve">  EBIT Margin %</t>
  </si>
  <si>
    <t>EBIT / Revenue</t>
  </si>
  <si>
    <t>Link: Revenue Model row 15</t>
  </si>
  <si>
    <t xml:space="preserve">  EBIT  —  Mobile / Consumer</t>
  </si>
  <si>
    <t>Link: Revenue Model row 21</t>
  </si>
  <si>
    <t xml:space="preserve">  EBIT  —  Electric Vehicles</t>
  </si>
  <si>
    <t>Link: Revenue Model row 27</t>
  </si>
  <si>
    <t xml:space="preserve">  EBIT  —  Solar / Storage</t>
  </si>
  <si>
    <t>Link: Revenue Model row 33</t>
  </si>
  <si>
    <t xml:space="preserve">  EBIT  —  Industrial / Motor Drives</t>
  </si>
  <si>
    <t>CONSOLIDATED P&amp;L SUMMARY  ($M)</t>
  </si>
  <si>
    <t xml:space="preserve">  Total Revenue</t>
  </si>
  <si>
    <t>All segments</t>
  </si>
  <si>
    <t xml:space="preserve">  Total Gross Profit</t>
  </si>
  <si>
    <t>Sum of segment GPs</t>
  </si>
  <si>
    <t xml:space="preserve">  Blended Gross Margin %</t>
  </si>
  <si>
    <t>Total GP / Total Revenue</t>
  </si>
  <si>
    <t xml:space="preserve">  Total R&amp;D Expense</t>
  </si>
  <si>
    <t>Corporate rate x total revenue</t>
  </si>
  <si>
    <t xml:space="preserve">  Total SG&amp;A Expense</t>
  </si>
  <si>
    <t>TOTAL EBIT</t>
  </si>
  <si>
    <t>GP - R&amp;D - SG&amp;A</t>
  </si>
  <si>
    <t>EBIT BY SEGMENT RECAP  ($M)  |  Quick Read</t>
  </si>
  <si>
    <t>EBIT MARGIN BY SEGMENT  (%)  |  Quick Read</t>
  </si>
  <si>
    <t xml:space="preserve">  Total Corporate EBIT Margin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</si>
</sst>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"/>
    <numFmt numFmtId="165" formatCode="0.0%"/>
    <numFmt numFmtId="166" formatCode="#,##0;\(#,##0\);\-"/>
    <numFmt numFmtId="167" formatCode="\$#,##0.00;&quot;($&quot;#,##0.00\);\-"/>
    <numFmt numFmtId="168" formatCode="0.0%;\(0.0%\);\-"/>
  </numFmts>
  <fonts count="8" x14ac:knownFonts="1">
    <font>
      <sz val="11"/>
      <color theme="1"/>
      <name val="Calibri"/>
      <family val="2"/>
      <charset val="1"/>
    </font>
    <font>
      <b/>
      <sz val="9"/>
      <color rgb="FFFFFFFF"/>
      <name val="Arial"/>
      <charset val="1"/>
    </font>
    <font>
      <i/>
      <sz val="8"/>
      <color rgb="FF595959"/>
      <name val="Arial"/>
      <charset val="1"/>
    </font>
    <font>
      <b/>
      <sz val="9"/>
      <color rgb="FF000000"/>
      <name val="Arial"/>
      <charset val="1"/>
    </font>
    <font>
      <sz val="9"/>
      <color rgb="FF000000"/>
      <name val="Arial"/>
      <charset val="1"/>
    </font>
    <font>
      <sz val="9"/>
      <color rgb="FF0000FF"/>
      <name val="Arial"/>
      <charset val="1"/>
    </font>
    <font>
      <b/>
      <sz val="11"/>
      <color rgb="FFFFFFFF"/>
      <name val="Arial"/>
      <charset val="1"/>
    </font>
    <font>
      <sz val="9"/>
      <color rgb="FF008000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090"/>
        <bgColor rgb="FF1F3864"/>
      </patternFill>
    </fill>
    <fill>
      <patternFill patternType="solid">
        <fgColor rgb="FFD6DCE4"/>
        <bgColor rgb="FFC5D9F1"/>
      </patternFill>
    </fill>
    <fill>
      <patternFill patternType="solid">
        <fgColor rgb="FFEBF3FB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C5D9F1"/>
        <bgColor rgb="FFD6DCE4"/>
      </patternFill>
    </fill>
    <fill>
      <patternFill patternType="solid">
        <fgColor rgb="FFF2F2F2"/>
        <bgColor rgb="FFEBF3FB"/>
      </patternFill>
    </fill>
  </fills>
  <borders count="3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6" fillId="2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3" fontId="5" fillId="5" borderId="2" xfId="0" applyNumberFormat="1" applyFont="1" applyFill="1" applyBorder="1" applyAlignment="1">
      <alignment horizontal="right" vertical="center"/>
    </xf>
    <xf numFmtId="164" fontId="5" fillId="5" borderId="2" xfId="0" applyNumberFormat="1" applyFont="1" applyFill="1" applyBorder="1" applyAlignment="1">
      <alignment horizontal="right" vertical="center"/>
    </xf>
    <xf numFmtId="164" fontId="5" fillId="6" borderId="2" xfId="0" applyNumberFormat="1" applyFont="1" applyFill="1" applyBorder="1" applyAlignment="1">
      <alignment horizontal="right" vertical="center"/>
    </xf>
    <xf numFmtId="165" fontId="5" fillId="5" borderId="2" xfId="0" applyNumberFormat="1" applyFont="1" applyFill="1" applyBorder="1" applyAlignment="1">
      <alignment horizontal="right" vertical="center"/>
    </xf>
    <xf numFmtId="165" fontId="5" fillId="6" borderId="2" xfId="0" applyNumberFormat="1" applyFont="1" applyFill="1" applyBorder="1" applyAlignment="1">
      <alignment horizontal="right" vertical="center"/>
    </xf>
    <xf numFmtId="0" fontId="2" fillId="0" borderId="2" xfId="0" applyFont="1" applyBorder="1" applyAlignment="1">
      <alignment horizontal="left" vertical="center"/>
    </xf>
    <xf numFmtId="166" fontId="7" fillId="0" borderId="2" xfId="0" applyNumberFormat="1" applyFont="1" applyBorder="1" applyAlignment="1">
      <alignment horizontal="right" vertical="center"/>
    </xf>
    <xf numFmtId="167" fontId="4" fillId="0" borderId="2" xfId="0" applyNumberFormat="1" applyFont="1" applyBorder="1" applyAlignment="1">
      <alignment horizontal="right" vertical="center"/>
    </xf>
    <xf numFmtId="0" fontId="3" fillId="0" borderId="2" xfId="0" applyFont="1" applyBorder="1" applyAlignment="1">
      <alignment horizontal="left" vertical="center"/>
    </xf>
    <xf numFmtId="167" fontId="3" fillId="7" borderId="2" xfId="0" applyNumberFormat="1" applyFont="1" applyFill="1" applyBorder="1" applyAlignment="1">
      <alignment horizontal="right" vertical="center"/>
    </xf>
    <xf numFmtId="0" fontId="4" fillId="8" borderId="2" xfId="0" applyFont="1" applyFill="1" applyBorder="1" applyAlignment="1">
      <alignment horizontal="left" vertical="center"/>
    </xf>
    <xf numFmtId="0" fontId="0" fillId="8" borderId="2" xfId="0" applyFill="1" applyBorder="1"/>
    <xf numFmtId="167" fontId="4" fillId="8" borderId="2" xfId="0" applyNumberFormat="1" applyFont="1" applyFill="1" applyBorder="1" applyAlignment="1">
      <alignment horizontal="right" vertical="center"/>
    </xf>
    <xf numFmtId="0" fontId="3" fillId="7" borderId="2" xfId="0" applyFont="1" applyFill="1" applyBorder="1" applyAlignment="1">
      <alignment horizontal="left" vertical="center"/>
    </xf>
    <xf numFmtId="0" fontId="2" fillId="7" borderId="2" xfId="0" applyFont="1" applyFill="1" applyBorder="1" applyAlignment="1">
      <alignment horizontal="left" vertical="center"/>
    </xf>
    <xf numFmtId="0" fontId="0" fillId="0" borderId="2" xfId="0" applyBorder="1"/>
    <xf numFmtId="0" fontId="2" fillId="0" borderId="2" xfId="0" applyFont="1" applyBorder="1" applyAlignment="1">
      <alignment horizontal="center" vertical="center"/>
    </xf>
    <xf numFmtId="168" fontId="4" fillId="0" borderId="2" xfId="0" applyNumberFormat="1" applyFont="1" applyBorder="1" applyAlignment="1">
      <alignment horizontal="right" vertical="center"/>
    </xf>
    <xf numFmtId="0" fontId="0" fillId="7" borderId="2" xfId="0" applyFill="1" applyBorder="1"/>
    <xf numFmtId="0" fontId="2" fillId="7" borderId="2" xfId="0" applyFont="1" applyFill="1" applyBorder="1" applyAlignment="1">
      <alignment horizontal="center" vertical="center"/>
    </xf>
    <xf numFmtId="168" fontId="3" fillId="7" borderId="2" xfId="0" applyNumberFormat="1" applyFont="1" applyFill="1" applyBorder="1" applyAlignment="1">
      <alignment horizontal="right" vertical="center"/>
    </xf>
    <xf numFmtId="168" fontId="7" fillId="0" borderId="2" xfId="0" applyNumberFormat="1" applyFont="1" applyBorder="1" applyAlignment="1">
      <alignment horizontal="right" vertical="center"/>
    </xf>
    <xf numFmtId="0" fontId="4" fillId="7" borderId="2" xfId="0" applyFont="1" applyFill="1" applyBorder="1" applyAlignment="1">
      <alignment horizontal="left" vertical="center"/>
    </xf>
    <xf numFmtId="168" fontId="4" fillId="7" borderId="2" xfId="0" applyNumberFormat="1" applyFont="1" applyFill="1" applyBorder="1" applyAlignment="1">
      <alignment horizontal="right" vertical="center"/>
    </xf>
    <xf numFmtId="167" fontId="3" fillId="0" borderId="2" xfId="0" applyNumberFormat="1" applyFont="1" applyBorder="1" applyAlignment="1">
      <alignment horizontal="right" vertical="center"/>
    </xf>
    <xf numFmtId="0" fontId="2" fillId="8" borderId="2" xfId="0" applyFont="1" applyFill="1" applyBorder="1" applyAlignment="1">
      <alignment horizontal="left" vertical="center"/>
    </xf>
    <xf numFmtId="168" fontId="4" fillId="8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EBF3FB"/>
      <rgbColor rgb="FF660066"/>
      <rgbColor rgb="FFFF8080"/>
      <rgbColor rgb="FF0066CC"/>
      <rgbColor rgb="FFC5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6DCE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090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3"/>
  <sheetViews>
    <sheetView zoomScaleNormal="100" workbookViewId="0">
      <pane xSplit="2" ySplit="2" topLeftCell="C27" activePane="bottomRight" state="frozen"/>
      <selection pane="topRight" activeCell="C1" sqref="C1"/>
      <selection pane="bottomLeft" activeCell="A3" sqref="A3"/>
      <selection pane="bottomRight"/>
    </sheetView>
  </sheetViews>
  <sheetFormatPr defaultColWidth="8.7109375" defaultRowHeight="15" x14ac:dyDescent="0.25"/>
  <cols>
    <col min="1" max="1" width="38" customWidth="1"/>
    <col min="2" max="2" width="52" customWidth="1"/>
    <col min="3" max="8" width="12" customWidth="1"/>
  </cols>
  <sheetData>
    <row r="1" spans="1:8" ht="19.5" customHeight="1" x14ac:dyDescent="0.25">
      <c r="A1" s="5" t="s">
        <v>0</v>
      </c>
      <c r="B1" s="5"/>
      <c r="C1" s="5"/>
      <c r="D1" s="5"/>
      <c r="E1" s="5"/>
      <c r="F1" s="5"/>
      <c r="G1" s="5"/>
      <c r="H1" s="5"/>
    </row>
    <row r="2" spans="1:8" ht="13.5" customHeight="1" x14ac:dyDescent="0.25">
      <c r="A2" s="6" t="s">
        <v>1</v>
      </c>
      <c r="B2" s="6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</row>
    <row r="3" spans="1:8" ht="12" customHeight="1" x14ac:dyDescent="0.25">
      <c r="A3" s="4" t="s">
        <v>9</v>
      </c>
      <c r="B3" s="4"/>
      <c r="C3" s="4"/>
      <c r="D3" s="4"/>
      <c r="E3" s="4"/>
      <c r="F3" s="4"/>
      <c r="G3" s="4"/>
      <c r="H3" s="4"/>
    </row>
    <row r="4" spans="1:8" ht="13.5" customHeight="1" x14ac:dyDescent="0.25">
      <c r="A4" s="3" t="s">
        <v>10</v>
      </c>
      <c r="B4" s="3"/>
      <c r="C4" s="3"/>
      <c r="D4" s="3"/>
      <c r="E4" s="3"/>
      <c r="F4" s="3"/>
      <c r="G4" s="3"/>
      <c r="H4" s="3"/>
    </row>
    <row r="5" spans="1:8" ht="12.75" customHeight="1" x14ac:dyDescent="0.25">
      <c r="A5" s="2" t="s">
        <v>11</v>
      </c>
      <c r="B5" s="2"/>
      <c r="C5" s="2"/>
      <c r="D5" s="2"/>
      <c r="E5" s="2"/>
      <c r="F5" s="2"/>
      <c r="G5" s="2"/>
      <c r="H5" s="2"/>
    </row>
    <row r="6" spans="1:8" ht="27.75" customHeight="1" x14ac:dyDescent="0.25">
      <c r="A6" s="8" t="s">
        <v>12</v>
      </c>
      <c r="B6" s="9" t="s">
        <v>13</v>
      </c>
      <c r="C6" s="10">
        <v>100</v>
      </c>
      <c r="D6" s="10">
        <v>300</v>
      </c>
      <c r="E6" s="10">
        <v>800</v>
      </c>
      <c r="F6" s="10">
        <v>1500</v>
      </c>
      <c r="G6" s="10">
        <v>2500</v>
      </c>
      <c r="H6" s="10">
        <v>4000</v>
      </c>
    </row>
    <row r="7" spans="1:8" ht="27.75" customHeight="1" x14ac:dyDescent="0.25">
      <c r="A7" s="8" t="s">
        <v>14</v>
      </c>
      <c r="B7" s="9" t="s">
        <v>15</v>
      </c>
      <c r="C7" s="11">
        <v>17500</v>
      </c>
      <c r="D7" s="11">
        <v>17500</v>
      </c>
      <c r="E7" s="11">
        <v>17500</v>
      </c>
      <c r="F7" s="11">
        <v>17500</v>
      </c>
      <c r="G7" s="11">
        <v>17500</v>
      </c>
      <c r="H7" s="11">
        <v>17500</v>
      </c>
    </row>
    <row r="8" spans="1:8" ht="13.5" customHeight="1" x14ac:dyDescent="0.25">
      <c r="A8" s="8" t="s">
        <v>16</v>
      </c>
      <c r="B8" s="9" t="s">
        <v>17</v>
      </c>
      <c r="C8" s="11">
        <v>12500</v>
      </c>
      <c r="D8" s="11">
        <v>12500</v>
      </c>
      <c r="E8" s="11">
        <v>12500</v>
      </c>
      <c r="F8" s="11">
        <v>12500</v>
      </c>
      <c r="G8" s="11">
        <v>12500</v>
      </c>
      <c r="H8" s="11">
        <v>12500</v>
      </c>
    </row>
    <row r="9" spans="1:8" ht="6" customHeight="1" x14ac:dyDescent="0.25"/>
    <row r="10" spans="1:8" ht="12.75" customHeight="1" x14ac:dyDescent="0.25">
      <c r="A10" s="2" t="s">
        <v>18</v>
      </c>
      <c r="B10" s="2"/>
      <c r="C10" s="2"/>
      <c r="D10" s="2"/>
      <c r="E10" s="2"/>
      <c r="F10" s="2"/>
      <c r="G10" s="2"/>
      <c r="H10" s="2"/>
    </row>
    <row r="11" spans="1:8" ht="27.75" customHeight="1" x14ac:dyDescent="0.25">
      <c r="A11" s="8" t="s">
        <v>12</v>
      </c>
      <c r="B11" s="9" t="s">
        <v>19</v>
      </c>
      <c r="C11" s="10">
        <v>1400</v>
      </c>
      <c r="D11" s="10">
        <v>1500</v>
      </c>
      <c r="E11" s="10">
        <v>1650</v>
      </c>
      <c r="F11" s="10">
        <v>1875</v>
      </c>
      <c r="G11" s="10">
        <v>2250</v>
      </c>
      <c r="H11" s="10">
        <v>2625</v>
      </c>
    </row>
    <row r="12" spans="1:8" ht="13.5" customHeight="1" x14ac:dyDescent="0.25">
      <c r="A12" s="8" t="s">
        <v>14</v>
      </c>
      <c r="B12" s="9" t="s">
        <v>20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</row>
    <row r="13" spans="1:8" ht="27.75" customHeight="1" x14ac:dyDescent="0.25">
      <c r="A13" s="8" t="s">
        <v>16</v>
      </c>
      <c r="B13" s="9" t="s">
        <v>21</v>
      </c>
      <c r="C13" s="12">
        <v>13333</v>
      </c>
      <c r="D13" s="12">
        <v>13333</v>
      </c>
      <c r="E13" s="12">
        <v>13333</v>
      </c>
      <c r="F13" s="12">
        <v>13333</v>
      </c>
      <c r="G13" s="12">
        <v>13333</v>
      </c>
      <c r="H13" s="12">
        <v>13333</v>
      </c>
    </row>
    <row r="14" spans="1:8" ht="6" customHeight="1" x14ac:dyDescent="0.25"/>
    <row r="15" spans="1:8" ht="12.75" customHeight="1" x14ac:dyDescent="0.25">
      <c r="A15" s="2" t="s">
        <v>22</v>
      </c>
      <c r="B15" s="2"/>
      <c r="C15" s="2"/>
      <c r="D15" s="2"/>
      <c r="E15" s="2"/>
      <c r="F15" s="2"/>
      <c r="G15" s="2"/>
      <c r="H15" s="2"/>
    </row>
    <row r="16" spans="1:8" ht="27.75" customHeight="1" x14ac:dyDescent="0.25">
      <c r="A16" s="8" t="s">
        <v>12</v>
      </c>
      <c r="B16" s="9" t="s">
        <v>23</v>
      </c>
      <c r="C16" s="10">
        <v>8000</v>
      </c>
      <c r="D16" s="10">
        <v>15000</v>
      </c>
      <c r="E16" s="10">
        <v>30000</v>
      </c>
      <c r="F16" s="10">
        <v>52500</v>
      </c>
      <c r="G16" s="10">
        <v>82500</v>
      </c>
      <c r="H16" s="10">
        <v>120000</v>
      </c>
    </row>
    <row r="17" spans="1:8" ht="27.75" customHeight="1" x14ac:dyDescent="0.25">
      <c r="A17" s="8" t="s">
        <v>14</v>
      </c>
      <c r="B17" s="9" t="s">
        <v>24</v>
      </c>
      <c r="C17" s="12">
        <v>400</v>
      </c>
      <c r="D17" s="12">
        <v>400</v>
      </c>
      <c r="E17" s="12">
        <v>400</v>
      </c>
      <c r="F17" s="12">
        <v>400</v>
      </c>
      <c r="G17" s="12">
        <v>400</v>
      </c>
      <c r="H17" s="12">
        <v>400</v>
      </c>
    </row>
    <row r="18" spans="1:8" ht="27.75" customHeight="1" x14ac:dyDescent="0.25">
      <c r="A18" s="8" t="s">
        <v>16</v>
      </c>
      <c r="B18" s="9" t="s">
        <v>25</v>
      </c>
      <c r="C18" s="11">
        <v>100</v>
      </c>
      <c r="D18" s="11">
        <v>100</v>
      </c>
      <c r="E18" s="11">
        <v>100</v>
      </c>
      <c r="F18" s="11">
        <v>100</v>
      </c>
      <c r="G18" s="11">
        <v>100</v>
      </c>
      <c r="H18" s="11">
        <v>100</v>
      </c>
    </row>
    <row r="19" spans="1:8" ht="6" customHeight="1" x14ac:dyDescent="0.25"/>
    <row r="20" spans="1:8" ht="12.75" customHeight="1" x14ac:dyDescent="0.25">
      <c r="A20" s="2" t="s">
        <v>26</v>
      </c>
      <c r="B20" s="2"/>
      <c r="C20" s="2"/>
      <c r="D20" s="2"/>
      <c r="E20" s="2"/>
      <c r="F20" s="2"/>
      <c r="G20" s="2"/>
      <c r="H20" s="2"/>
    </row>
    <row r="21" spans="1:8" ht="27.75" customHeight="1" x14ac:dyDescent="0.25">
      <c r="A21" s="8" t="s">
        <v>12</v>
      </c>
      <c r="B21" s="9" t="s">
        <v>27</v>
      </c>
      <c r="C21" s="10">
        <v>500</v>
      </c>
      <c r="D21" s="10">
        <v>800</v>
      </c>
      <c r="E21" s="10">
        <v>1400</v>
      </c>
      <c r="F21" s="10">
        <v>2200</v>
      </c>
      <c r="G21" s="10">
        <v>3400</v>
      </c>
      <c r="H21" s="10">
        <v>5000</v>
      </c>
    </row>
    <row r="22" spans="1:8" ht="27.75" customHeight="1" x14ac:dyDescent="0.25">
      <c r="A22" s="8" t="s">
        <v>14</v>
      </c>
      <c r="B22" s="9" t="s">
        <v>28</v>
      </c>
      <c r="C22" s="11">
        <v>5000</v>
      </c>
      <c r="D22" s="11">
        <v>5000</v>
      </c>
      <c r="E22" s="11">
        <v>5000</v>
      </c>
      <c r="F22" s="11">
        <v>5000</v>
      </c>
      <c r="G22" s="11">
        <v>5000</v>
      </c>
      <c r="H22" s="11">
        <v>5000</v>
      </c>
    </row>
    <row r="23" spans="1:8" ht="27.75" customHeight="1" x14ac:dyDescent="0.25">
      <c r="A23" s="8" t="s">
        <v>16</v>
      </c>
      <c r="B23" s="9" t="s">
        <v>29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</row>
    <row r="24" spans="1:8" ht="6" customHeight="1" x14ac:dyDescent="0.25"/>
    <row r="25" spans="1:8" ht="12.75" customHeight="1" x14ac:dyDescent="0.25">
      <c r="A25" s="2" t="s">
        <v>30</v>
      </c>
      <c r="B25" s="2"/>
      <c r="C25" s="2"/>
      <c r="D25" s="2"/>
      <c r="E25" s="2"/>
      <c r="F25" s="2"/>
      <c r="G25" s="2"/>
      <c r="H25" s="2"/>
    </row>
    <row r="26" spans="1:8" ht="27.75" customHeight="1" x14ac:dyDescent="0.25">
      <c r="A26" s="8" t="s">
        <v>12</v>
      </c>
      <c r="B26" s="9" t="s">
        <v>31</v>
      </c>
      <c r="C26" s="10">
        <v>700</v>
      </c>
      <c r="D26" s="10">
        <v>1000</v>
      </c>
      <c r="E26" s="10">
        <v>1800</v>
      </c>
      <c r="F26" s="10">
        <v>2800</v>
      </c>
      <c r="G26" s="10">
        <v>4200</v>
      </c>
      <c r="H26" s="10">
        <v>6000</v>
      </c>
    </row>
    <row r="27" spans="1:8" ht="13.5" customHeight="1" x14ac:dyDescent="0.25">
      <c r="A27" s="8" t="s">
        <v>14</v>
      </c>
      <c r="B27" s="9" t="s">
        <v>32</v>
      </c>
      <c r="C27" s="11">
        <v>3000</v>
      </c>
      <c r="D27" s="11">
        <v>3000</v>
      </c>
      <c r="E27" s="11">
        <v>3000</v>
      </c>
      <c r="F27" s="11">
        <v>3000</v>
      </c>
      <c r="G27" s="11">
        <v>3000</v>
      </c>
      <c r="H27" s="11">
        <v>3000</v>
      </c>
    </row>
    <row r="28" spans="1:8" ht="13.5" customHeight="1" x14ac:dyDescent="0.25">
      <c r="A28" s="8" t="s">
        <v>16</v>
      </c>
      <c r="B28" s="9" t="s">
        <v>33</v>
      </c>
      <c r="C28" s="11">
        <v>1000</v>
      </c>
      <c r="D28" s="11">
        <v>1000</v>
      </c>
      <c r="E28" s="11">
        <v>1000</v>
      </c>
      <c r="F28" s="11">
        <v>1000</v>
      </c>
      <c r="G28" s="11">
        <v>1000</v>
      </c>
      <c r="H28" s="11">
        <v>1000</v>
      </c>
    </row>
    <row r="29" spans="1:8" ht="9.75" customHeight="1" x14ac:dyDescent="0.25"/>
    <row r="30" spans="1:8" ht="13.5" customHeight="1" x14ac:dyDescent="0.25">
      <c r="A30" s="3" t="s">
        <v>34</v>
      </c>
      <c r="B30" s="3"/>
      <c r="C30" s="3"/>
      <c r="D30" s="3"/>
      <c r="E30" s="3"/>
      <c r="F30" s="3"/>
      <c r="G30" s="3"/>
      <c r="H30" s="3"/>
    </row>
    <row r="31" spans="1:8" ht="12.75" customHeight="1" x14ac:dyDescent="0.25">
      <c r="A31" s="2" t="s">
        <v>35</v>
      </c>
      <c r="B31" s="2"/>
      <c r="C31" s="2"/>
      <c r="D31" s="2"/>
      <c r="E31" s="2"/>
      <c r="F31" s="2"/>
      <c r="G31" s="2"/>
      <c r="H31" s="2"/>
    </row>
    <row r="32" spans="1:8" ht="27.75" customHeight="1" x14ac:dyDescent="0.25">
      <c r="A32" s="8" t="s">
        <v>36</v>
      </c>
      <c r="B32" s="9" t="s">
        <v>37</v>
      </c>
      <c r="C32" s="13">
        <v>0.48</v>
      </c>
      <c r="D32" s="13">
        <v>0.5</v>
      </c>
      <c r="E32" s="13">
        <v>0.52</v>
      </c>
      <c r="F32" s="13">
        <v>0.53</v>
      </c>
      <c r="G32" s="13">
        <v>0.54</v>
      </c>
      <c r="H32" s="13">
        <v>0.55000000000000004</v>
      </c>
    </row>
    <row r="33" spans="1:8" ht="27.75" customHeight="1" x14ac:dyDescent="0.25">
      <c r="A33" s="8" t="s">
        <v>38</v>
      </c>
      <c r="B33" s="9" t="s">
        <v>39</v>
      </c>
      <c r="C33" s="14">
        <v>0.36</v>
      </c>
      <c r="D33" s="14">
        <v>0.35</v>
      </c>
      <c r="E33" s="14">
        <v>0.34</v>
      </c>
      <c r="F33" s="14">
        <v>0.34</v>
      </c>
      <c r="G33" s="14">
        <v>0.33</v>
      </c>
      <c r="H33" s="14">
        <v>0.33</v>
      </c>
    </row>
    <row r="34" spans="1:8" ht="27.75" customHeight="1" x14ac:dyDescent="0.25">
      <c r="A34" s="8" t="s">
        <v>40</v>
      </c>
      <c r="B34" s="9" t="s">
        <v>41</v>
      </c>
      <c r="C34" s="14">
        <v>0.3</v>
      </c>
      <c r="D34" s="14">
        <v>0.31</v>
      </c>
      <c r="E34" s="14">
        <v>0.33</v>
      </c>
      <c r="F34" s="14">
        <v>0.35</v>
      </c>
      <c r="G34" s="14">
        <v>0.36</v>
      </c>
      <c r="H34" s="14">
        <v>0.38</v>
      </c>
    </row>
    <row r="35" spans="1:8" ht="27.75" customHeight="1" x14ac:dyDescent="0.25">
      <c r="A35" s="8" t="s">
        <v>42</v>
      </c>
      <c r="B35" s="9" t="s">
        <v>43</v>
      </c>
      <c r="C35" s="13">
        <v>0.42</v>
      </c>
      <c r="D35" s="13">
        <v>0.43</v>
      </c>
      <c r="E35" s="13">
        <v>0.44</v>
      </c>
      <c r="F35" s="13">
        <v>0.45</v>
      </c>
      <c r="G35" s="13">
        <v>0.46</v>
      </c>
      <c r="H35" s="13">
        <v>0.47</v>
      </c>
    </row>
    <row r="36" spans="1:8" ht="27.75" customHeight="1" x14ac:dyDescent="0.25">
      <c r="A36" s="8" t="s">
        <v>44</v>
      </c>
      <c r="B36" s="9" t="s">
        <v>45</v>
      </c>
      <c r="C36" s="13">
        <v>0.44</v>
      </c>
      <c r="D36" s="13">
        <v>0.44</v>
      </c>
      <c r="E36" s="13">
        <v>0.45</v>
      </c>
      <c r="F36" s="13">
        <v>0.46</v>
      </c>
      <c r="G36" s="13">
        <v>0.47</v>
      </c>
      <c r="H36" s="13">
        <v>0.48</v>
      </c>
    </row>
    <row r="37" spans="1:8" ht="6" customHeight="1" x14ac:dyDescent="0.25"/>
    <row r="38" spans="1:8" ht="12.75" customHeight="1" x14ac:dyDescent="0.25">
      <c r="A38" s="2" t="s">
        <v>46</v>
      </c>
      <c r="B38" s="2"/>
      <c r="C38" s="2"/>
      <c r="D38" s="2"/>
      <c r="E38" s="2"/>
      <c r="F38" s="2"/>
      <c r="G38" s="2"/>
      <c r="H38" s="2"/>
    </row>
    <row r="39" spans="1:8" ht="27.75" customHeight="1" x14ac:dyDescent="0.25">
      <c r="A39" s="8" t="s">
        <v>47</v>
      </c>
      <c r="B39" s="9" t="s">
        <v>48</v>
      </c>
      <c r="C39" s="13">
        <v>0.38</v>
      </c>
      <c r="D39" s="13">
        <v>0.35</v>
      </c>
      <c r="E39" s="13">
        <v>0.32</v>
      </c>
      <c r="F39" s="13">
        <v>0.3</v>
      </c>
      <c r="G39" s="13">
        <v>0.28000000000000003</v>
      </c>
      <c r="H39" s="13">
        <v>0.26</v>
      </c>
    </row>
    <row r="40" spans="1:8" ht="6" customHeight="1" x14ac:dyDescent="0.25"/>
    <row r="41" spans="1:8" ht="12.75" customHeight="1" x14ac:dyDescent="0.25">
      <c r="A41" s="2" t="s">
        <v>49</v>
      </c>
      <c r="B41" s="2"/>
      <c r="C41" s="2"/>
      <c r="D41" s="2"/>
      <c r="E41" s="2"/>
      <c r="F41" s="2"/>
      <c r="G41" s="2"/>
      <c r="H41" s="2"/>
    </row>
    <row r="42" spans="1:8" ht="27.75" customHeight="1" x14ac:dyDescent="0.25">
      <c r="A42" s="8" t="s">
        <v>50</v>
      </c>
      <c r="B42" s="9" t="s">
        <v>51</v>
      </c>
      <c r="C42" s="13">
        <v>0.22</v>
      </c>
      <c r="D42" s="13">
        <v>0.2</v>
      </c>
      <c r="E42" s="13">
        <v>0.18</v>
      </c>
      <c r="F42" s="13">
        <v>0.16</v>
      </c>
      <c r="G42" s="13">
        <v>0.15</v>
      </c>
      <c r="H42" s="13">
        <v>0.14000000000000001</v>
      </c>
    </row>
    <row r="43" spans="1:8" ht="18.75" customHeight="1" x14ac:dyDescent="0.25"/>
    <row r="45" spans="1:8" ht="15" customHeight="1" x14ac:dyDescent="0.25"/>
    <row r="46" spans="1:8" ht="15" customHeight="1" x14ac:dyDescent="0.25"/>
    <row r="47" spans="1:8" ht="15" customHeight="1" x14ac:dyDescent="0.25"/>
    <row r="48" spans="1:8" ht="15" customHeight="1" x14ac:dyDescent="0.25"/>
    <row r="49" ht="15" customHeight="1" x14ac:dyDescent="0.25"/>
    <row r="50" ht="15" customHeight="1" x14ac:dyDescent="0.25"/>
    <row r="51" ht="18.75" customHeight="1" x14ac:dyDescent="0.25"/>
    <row r="52" ht="15" customHeight="1" x14ac:dyDescent="0.25"/>
    <row r="53" ht="15" customHeight="1" x14ac:dyDescent="0.25"/>
    <row r="56" ht="18" customHeight="1" x14ac:dyDescent="0.25"/>
    <row r="57" ht="25.5" customHeight="1" x14ac:dyDescent="0.25"/>
    <row r="58" ht="13.5" customHeight="1" x14ac:dyDescent="0.25"/>
    <row r="59" ht="27.7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27.7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27.7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8.7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8.7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90" ht="13.5" customHeight="1" x14ac:dyDescent="0.25"/>
    <row r="91" ht="27.7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8" ht="18.7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</sheetData>
  <mergeCells count="12">
    <mergeCell ref="A38:H38"/>
    <mergeCell ref="A41:H41"/>
    <mergeCell ref="A15:H15"/>
    <mergeCell ref="A20:H20"/>
    <mergeCell ref="A25:H25"/>
    <mergeCell ref="A30:H30"/>
    <mergeCell ref="A31:H31"/>
    <mergeCell ref="A1:H1"/>
    <mergeCell ref="A3:H3"/>
    <mergeCell ref="A4:H4"/>
    <mergeCell ref="A5:H5"/>
    <mergeCell ref="A10:H1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2"/>
  <sheetViews>
    <sheetView tabSelected="1" zoomScaleNormal="100" workbookViewId="0">
      <pane xSplit="2" ySplit="4" topLeftCell="C103" activePane="bottomRight" state="frozen"/>
      <selection pane="topRight" activeCell="C1" sqref="C1"/>
      <selection pane="bottomLeft" activeCell="A5" sqref="A5"/>
      <selection pane="bottomRight" activeCell="M120" sqref="M120"/>
    </sheetView>
  </sheetViews>
  <sheetFormatPr defaultColWidth="8.7109375" defaultRowHeight="15" x14ac:dyDescent="0.25"/>
  <cols>
    <col min="1" max="1" width="30" customWidth="1"/>
    <col min="2" max="2" width="18" customWidth="1"/>
    <col min="3" max="8" width="13" customWidth="1"/>
  </cols>
  <sheetData>
    <row r="1" spans="1:8" ht="19.5" customHeight="1" x14ac:dyDescent="0.25">
      <c r="A1" s="1" t="s">
        <v>52</v>
      </c>
      <c r="B1" s="1"/>
      <c r="C1" s="1"/>
      <c r="D1" s="1"/>
      <c r="E1" s="1"/>
      <c r="F1" s="1"/>
      <c r="G1" s="1"/>
      <c r="H1" s="1"/>
    </row>
    <row r="2" spans="1:8" ht="12.75" customHeight="1" x14ac:dyDescent="0.25">
      <c r="A2" s="4" t="s">
        <v>53</v>
      </c>
      <c r="B2" s="4"/>
      <c r="C2" s="4"/>
      <c r="D2" s="4"/>
      <c r="E2" s="4"/>
      <c r="F2" s="4"/>
      <c r="G2" s="4"/>
      <c r="H2" s="4"/>
    </row>
    <row r="3" spans="1:8" ht="15" customHeight="1" x14ac:dyDescent="0.25">
      <c r="A3" s="7" t="s">
        <v>54</v>
      </c>
      <c r="B3" s="7" t="s">
        <v>55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</row>
    <row r="5" spans="1:8" ht="13.5" customHeight="1" x14ac:dyDescent="0.25">
      <c r="A5" s="3" t="s">
        <v>11</v>
      </c>
      <c r="B5" s="3"/>
      <c r="C5" s="3"/>
      <c r="D5" s="3"/>
      <c r="E5" s="3"/>
      <c r="F5" s="3"/>
      <c r="G5" s="3"/>
      <c r="H5" s="3"/>
    </row>
    <row r="6" spans="1:8" ht="15" customHeight="1" x14ac:dyDescent="0.25">
      <c r="A6" s="8" t="s">
        <v>56</v>
      </c>
      <c r="B6" s="15" t="s">
        <v>57</v>
      </c>
      <c r="C6" s="16">
        <f>Assumptions!C6</f>
        <v>100</v>
      </c>
      <c r="D6" s="16">
        <f>Assumptions!D6</f>
        <v>300</v>
      </c>
      <c r="E6" s="16">
        <f>Assumptions!E6</f>
        <v>800</v>
      </c>
      <c r="F6" s="16">
        <f>Assumptions!F6</f>
        <v>1500</v>
      </c>
      <c r="G6" s="16">
        <f>Assumptions!G6</f>
        <v>2500</v>
      </c>
      <c r="H6" s="16">
        <f>Assumptions!H6</f>
        <v>4000</v>
      </c>
    </row>
    <row r="7" spans="1:8" ht="15" customHeight="1" x14ac:dyDescent="0.25">
      <c r="A7" s="8" t="s">
        <v>58</v>
      </c>
      <c r="B7" s="15" t="s">
        <v>59</v>
      </c>
      <c r="C7" s="17">
        <f>C6*Assumptions!C7/1000000</f>
        <v>1.75</v>
      </c>
      <c r="D7" s="17">
        <f>D6*Assumptions!D7/1000000</f>
        <v>5.25</v>
      </c>
      <c r="E7" s="17">
        <f>E6*Assumptions!E7/1000000</f>
        <v>14</v>
      </c>
      <c r="F7" s="17">
        <f>F6*Assumptions!F7/1000000</f>
        <v>26.25</v>
      </c>
      <c r="G7" s="17">
        <f>G6*Assumptions!G7/1000000</f>
        <v>43.75</v>
      </c>
      <c r="H7" s="17">
        <f>H6*Assumptions!H7/1000000</f>
        <v>70</v>
      </c>
    </row>
    <row r="8" spans="1:8" ht="15" customHeight="1" x14ac:dyDescent="0.25">
      <c r="A8" s="8" t="s">
        <v>60</v>
      </c>
      <c r="B8" s="15" t="s">
        <v>61</v>
      </c>
      <c r="C8" s="17">
        <f>C6*Assumptions!C8/1000000</f>
        <v>1.25</v>
      </c>
      <c r="D8" s="17">
        <f>D6*Assumptions!D8/1000000</f>
        <v>3.75</v>
      </c>
      <c r="E8" s="17">
        <f>E6*Assumptions!E8/1000000</f>
        <v>10</v>
      </c>
      <c r="F8" s="17">
        <f>F6*Assumptions!F8/1000000</f>
        <v>18.75</v>
      </c>
      <c r="G8" s="17">
        <f>G6*Assumptions!G8/1000000</f>
        <v>31.25</v>
      </c>
      <c r="H8" s="17">
        <f>H6*Assumptions!H8/1000000</f>
        <v>50</v>
      </c>
    </row>
    <row r="9" spans="1:8" ht="15" customHeight="1" x14ac:dyDescent="0.25">
      <c r="A9" s="18" t="s">
        <v>62</v>
      </c>
      <c r="B9" s="15" t="s">
        <v>63</v>
      </c>
      <c r="C9" s="19">
        <f t="shared" ref="C9:H9" si="0">C7+C8</f>
        <v>3</v>
      </c>
      <c r="D9" s="19">
        <f t="shared" si="0"/>
        <v>9</v>
      </c>
      <c r="E9" s="19">
        <f t="shared" si="0"/>
        <v>24</v>
      </c>
      <c r="F9" s="19">
        <f t="shared" si="0"/>
        <v>45</v>
      </c>
      <c r="G9" s="19">
        <f t="shared" si="0"/>
        <v>75</v>
      </c>
      <c r="H9" s="19">
        <f t="shared" si="0"/>
        <v>120</v>
      </c>
    </row>
    <row r="11" spans="1:8" ht="13.5" customHeight="1" x14ac:dyDescent="0.25">
      <c r="A11" s="3" t="s">
        <v>64</v>
      </c>
      <c r="B11" s="3"/>
      <c r="C11" s="3"/>
      <c r="D11" s="3"/>
      <c r="E11" s="3"/>
      <c r="F11" s="3"/>
      <c r="G11" s="3"/>
      <c r="H11" s="3"/>
    </row>
    <row r="12" spans="1:8" ht="15" customHeight="1" x14ac:dyDescent="0.25">
      <c r="A12" s="8" t="s">
        <v>56</v>
      </c>
      <c r="B12" s="15" t="s">
        <v>57</v>
      </c>
      <c r="C12" s="16">
        <f>Assumptions!C11</f>
        <v>1400</v>
      </c>
      <c r="D12" s="16">
        <f>Assumptions!D11</f>
        <v>1500</v>
      </c>
      <c r="E12" s="16">
        <f>Assumptions!E11</f>
        <v>1650</v>
      </c>
      <c r="F12" s="16">
        <f>Assumptions!F11</f>
        <v>1875</v>
      </c>
      <c r="G12" s="16">
        <f>Assumptions!G11</f>
        <v>2250</v>
      </c>
      <c r="H12" s="16">
        <f>Assumptions!H11</f>
        <v>2625</v>
      </c>
    </row>
    <row r="13" spans="1:8" ht="15" customHeight="1" x14ac:dyDescent="0.25">
      <c r="A13" s="8" t="s">
        <v>58</v>
      </c>
      <c r="B13" s="15" t="s">
        <v>59</v>
      </c>
      <c r="C13" s="17">
        <f>C12*Assumptions!C12/1000000</f>
        <v>0</v>
      </c>
      <c r="D13" s="17">
        <f>D12*Assumptions!D12/1000000</f>
        <v>0</v>
      </c>
      <c r="E13" s="17">
        <f>E12*Assumptions!E12/1000000</f>
        <v>0</v>
      </c>
      <c r="F13" s="17">
        <f>F12*Assumptions!F12/1000000</f>
        <v>0</v>
      </c>
      <c r="G13" s="17">
        <f>G12*Assumptions!G12/1000000</f>
        <v>0</v>
      </c>
      <c r="H13" s="17">
        <f>H12*Assumptions!H12/1000000</f>
        <v>0</v>
      </c>
    </row>
    <row r="14" spans="1:8" ht="15" customHeight="1" x14ac:dyDescent="0.25">
      <c r="A14" s="8" t="s">
        <v>60</v>
      </c>
      <c r="B14" s="15" t="s">
        <v>61</v>
      </c>
      <c r="C14" s="17">
        <f>C12*Assumptions!C13/1000000</f>
        <v>18.6662</v>
      </c>
      <c r="D14" s="17">
        <f>D12*Assumptions!D13/1000000</f>
        <v>19.999500000000001</v>
      </c>
      <c r="E14" s="17">
        <f>E12*Assumptions!E13/1000000</f>
        <v>21.99945</v>
      </c>
      <c r="F14" s="17">
        <f>F12*Assumptions!F13/1000000</f>
        <v>24.999375000000001</v>
      </c>
      <c r="G14" s="17">
        <f>G12*Assumptions!G13/1000000</f>
        <v>29.99925</v>
      </c>
      <c r="H14" s="17">
        <f>H12*Assumptions!H13/1000000</f>
        <v>34.999124999999999</v>
      </c>
    </row>
    <row r="15" spans="1:8" ht="15" customHeight="1" x14ac:dyDescent="0.25">
      <c r="A15" s="18" t="s">
        <v>65</v>
      </c>
      <c r="B15" s="15" t="s">
        <v>63</v>
      </c>
      <c r="C15" s="19">
        <f t="shared" ref="C15:H15" si="1">C13+C14</f>
        <v>18.6662</v>
      </c>
      <c r="D15" s="19">
        <f t="shared" si="1"/>
        <v>19.999500000000001</v>
      </c>
      <c r="E15" s="19">
        <f t="shared" si="1"/>
        <v>21.99945</v>
      </c>
      <c r="F15" s="19">
        <f t="shared" si="1"/>
        <v>24.999375000000001</v>
      </c>
      <c r="G15" s="19">
        <f t="shared" si="1"/>
        <v>29.99925</v>
      </c>
      <c r="H15" s="19">
        <f t="shared" si="1"/>
        <v>34.999124999999999</v>
      </c>
    </row>
    <row r="17" spans="1:8" ht="13.5" customHeight="1" x14ac:dyDescent="0.25">
      <c r="A17" s="3" t="s">
        <v>22</v>
      </c>
      <c r="B17" s="3"/>
      <c r="C17" s="3"/>
      <c r="D17" s="3"/>
      <c r="E17" s="3"/>
      <c r="F17" s="3"/>
      <c r="G17" s="3"/>
      <c r="H17" s="3"/>
    </row>
    <row r="18" spans="1:8" ht="15" customHeight="1" x14ac:dyDescent="0.25">
      <c r="A18" s="8" t="s">
        <v>56</v>
      </c>
      <c r="B18" s="15" t="s">
        <v>57</v>
      </c>
      <c r="C18" s="16">
        <f>Assumptions!C16</f>
        <v>8000</v>
      </c>
      <c r="D18" s="16">
        <f>Assumptions!D16</f>
        <v>15000</v>
      </c>
      <c r="E18" s="16">
        <f>Assumptions!E16</f>
        <v>30000</v>
      </c>
      <c r="F18" s="16">
        <f>Assumptions!F16</f>
        <v>52500</v>
      </c>
      <c r="G18" s="16">
        <f>Assumptions!G16</f>
        <v>82500</v>
      </c>
      <c r="H18" s="16">
        <f>Assumptions!H16</f>
        <v>120000</v>
      </c>
    </row>
    <row r="19" spans="1:8" ht="15" customHeight="1" x14ac:dyDescent="0.25">
      <c r="A19" s="8" t="s">
        <v>58</v>
      </c>
      <c r="B19" s="15" t="s">
        <v>59</v>
      </c>
      <c r="C19" s="17">
        <f>C18*Assumptions!C17/1000000</f>
        <v>3.2</v>
      </c>
      <c r="D19" s="17">
        <f>D18*Assumptions!D17/1000000</f>
        <v>6</v>
      </c>
      <c r="E19" s="17">
        <f>E18*Assumptions!E17/1000000</f>
        <v>12</v>
      </c>
      <c r="F19" s="17">
        <f>F18*Assumptions!F17/1000000</f>
        <v>21</v>
      </c>
      <c r="G19" s="17">
        <f>G18*Assumptions!G17/1000000</f>
        <v>33</v>
      </c>
      <c r="H19" s="17">
        <f>H18*Assumptions!H17/1000000</f>
        <v>48</v>
      </c>
    </row>
    <row r="20" spans="1:8" ht="15" customHeight="1" x14ac:dyDescent="0.25">
      <c r="A20" s="8" t="s">
        <v>60</v>
      </c>
      <c r="B20" s="15" t="s">
        <v>61</v>
      </c>
      <c r="C20" s="17">
        <f>C18*Assumptions!C18/1000000</f>
        <v>0.8</v>
      </c>
      <c r="D20" s="17">
        <f>D18*Assumptions!D18/1000000</f>
        <v>1.5</v>
      </c>
      <c r="E20" s="17">
        <f>E18*Assumptions!E18/1000000</f>
        <v>3</v>
      </c>
      <c r="F20" s="17">
        <f>F18*Assumptions!F18/1000000</f>
        <v>5.25</v>
      </c>
      <c r="G20" s="17">
        <f>G18*Assumptions!G18/1000000</f>
        <v>8.25</v>
      </c>
      <c r="H20" s="17">
        <f>H18*Assumptions!H18/1000000</f>
        <v>12</v>
      </c>
    </row>
    <row r="21" spans="1:8" ht="15" customHeight="1" x14ac:dyDescent="0.25">
      <c r="A21" s="18" t="s">
        <v>66</v>
      </c>
      <c r="B21" s="15" t="s">
        <v>63</v>
      </c>
      <c r="C21" s="19">
        <f t="shared" ref="C21:H21" si="2">C19+C20</f>
        <v>4</v>
      </c>
      <c r="D21" s="19">
        <f t="shared" si="2"/>
        <v>7.5</v>
      </c>
      <c r="E21" s="19">
        <f t="shared" si="2"/>
        <v>15</v>
      </c>
      <c r="F21" s="19">
        <f t="shared" si="2"/>
        <v>26.25</v>
      </c>
      <c r="G21" s="19">
        <f t="shared" si="2"/>
        <v>41.25</v>
      </c>
      <c r="H21" s="19">
        <f t="shared" si="2"/>
        <v>60</v>
      </c>
    </row>
    <row r="23" spans="1:8" ht="13.5" customHeight="1" x14ac:dyDescent="0.25">
      <c r="A23" s="3" t="s">
        <v>67</v>
      </c>
      <c r="B23" s="3"/>
      <c r="C23" s="3"/>
      <c r="D23" s="3"/>
      <c r="E23" s="3"/>
      <c r="F23" s="3"/>
      <c r="G23" s="3"/>
      <c r="H23" s="3"/>
    </row>
    <row r="24" spans="1:8" ht="15" customHeight="1" x14ac:dyDescent="0.25">
      <c r="A24" s="8" t="s">
        <v>56</v>
      </c>
      <c r="B24" s="15" t="s">
        <v>57</v>
      </c>
      <c r="C24" s="16">
        <f>Assumptions!C21</f>
        <v>500</v>
      </c>
      <c r="D24" s="16">
        <f>Assumptions!D21</f>
        <v>800</v>
      </c>
      <c r="E24" s="16">
        <f>Assumptions!E21</f>
        <v>1400</v>
      </c>
      <c r="F24" s="16">
        <f>Assumptions!F21</f>
        <v>2200</v>
      </c>
      <c r="G24" s="16">
        <f>Assumptions!G21</f>
        <v>3400</v>
      </c>
      <c r="H24" s="16">
        <f>Assumptions!H21</f>
        <v>5000</v>
      </c>
    </row>
    <row r="25" spans="1:8" ht="15" customHeight="1" x14ac:dyDescent="0.25">
      <c r="A25" s="8" t="s">
        <v>58</v>
      </c>
      <c r="B25" s="15" t="s">
        <v>59</v>
      </c>
      <c r="C25" s="17">
        <f>C24*Assumptions!C22/1000000</f>
        <v>2.5</v>
      </c>
      <c r="D25" s="17">
        <f>D24*Assumptions!D22/1000000</f>
        <v>4</v>
      </c>
      <c r="E25" s="17">
        <f>E24*Assumptions!E22/1000000</f>
        <v>7</v>
      </c>
      <c r="F25" s="17">
        <f>F24*Assumptions!F22/1000000</f>
        <v>11</v>
      </c>
      <c r="G25" s="17">
        <f>G24*Assumptions!G22/1000000</f>
        <v>17</v>
      </c>
      <c r="H25" s="17">
        <f>H24*Assumptions!H22/1000000</f>
        <v>25</v>
      </c>
    </row>
    <row r="26" spans="1:8" ht="15" customHeight="1" x14ac:dyDescent="0.25">
      <c r="A26" s="8" t="s">
        <v>60</v>
      </c>
      <c r="B26" s="15" t="s">
        <v>61</v>
      </c>
      <c r="C26" s="17">
        <f>C24*Assumptions!C23/1000000</f>
        <v>0</v>
      </c>
      <c r="D26" s="17">
        <f>D24*Assumptions!D23/1000000</f>
        <v>0</v>
      </c>
      <c r="E26" s="17">
        <f>E24*Assumptions!E23/1000000</f>
        <v>0</v>
      </c>
      <c r="F26" s="17">
        <f>F24*Assumptions!F23/1000000</f>
        <v>0</v>
      </c>
      <c r="G26" s="17">
        <f>G24*Assumptions!G23/1000000</f>
        <v>0</v>
      </c>
      <c r="H26" s="17">
        <f>H24*Assumptions!H23/1000000</f>
        <v>0</v>
      </c>
    </row>
    <row r="27" spans="1:8" ht="15" customHeight="1" x14ac:dyDescent="0.25">
      <c r="A27" s="18" t="s">
        <v>68</v>
      </c>
      <c r="B27" s="15" t="s">
        <v>63</v>
      </c>
      <c r="C27" s="19">
        <f t="shared" ref="C27:H27" si="3">C25+C26</f>
        <v>2.5</v>
      </c>
      <c r="D27" s="19">
        <f t="shared" si="3"/>
        <v>4</v>
      </c>
      <c r="E27" s="19">
        <f t="shared" si="3"/>
        <v>7</v>
      </c>
      <c r="F27" s="19">
        <f t="shared" si="3"/>
        <v>11</v>
      </c>
      <c r="G27" s="19">
        <f t="shared" si="3"/>
        <v>17</v>
      </c>
      <c r="H27" s="19">
        <f t="shared" si="3"/>
        <v>25</v>
      </c>
    </row>
    <row r="29" spans="1:8" ht="13.5" customHeight="1" x14ac:dyDescent="0.25">
      <c r="A29" s="3" t="s">
        <v>69</v>
      </c>
      <c r="B29" s="3"/>
      <c r="C29" s="3"/>
      <c r="D29" s="3"/>
      <c r="E29" s="3"/>
      <c r="F29" s="3"/>
      <c r="G29" s="3"/>
      <c r="H29" s="3"/>
    </row>
    <row r="30" spans="1:8" ht="15" customHeight="1" x14ac:dyDescent="0.25">
      <c r="A30" s="8" t="s">
        <v>56</v>
      </c>
      <c r="B30" s="15" t="s">
        <v>57</v>
      </c>
      <c r="C30" s="16">
        <f>Assumptions!C26</f>
        <v>700</v>
      </c>
      <c r="D30" s="16">
        <f>Assumptions!D26</f>
        <v>1000</v>
      </c>
      <c r="E30" s="16">
        <f>Assumptions!E26</f>
        <v>1800</v>
      </c>
      <c r="F30" s="16">
        <f>Assumptions!F26</f>
        <v>2800</v>
      </c>
      <c r="G30" s="16">
        <f>Assumptions!G26</f>
        <v>4200</v>
      </c>
      <c r="H30" s="16">
        <f>Assumptions!H26</f>
        <v>6000</v>
      </c>
    </row>
    <row r="31" spans="1:8" ht="15" customHeight="1" x14ac:dyDescent="0.25">
      <c r="A31" s="8" t="s">
        <v>58</v>
      </c>
      <c r="B31" s="15" t="s">
        <v>59</v>
      </c>
      <c r="C31" s="17">
        <f>C30*Assumptions!C27/1000000</f>
        <v>2.1</v>
      </c>
      <c r="D31" s="17">
        <f>D30*Assumptions!D27/1000000</f>
        <v>3</v>
      </c>
      <c r="E31" s="17">
        <f>E30*Assumptions!E27/1000000</f>
        <v>5.4</v>
      </c>
      <c r="F31" s="17">
        <f>F30*Assumptions!F27/1000000</f>
        <v>8.4</v>
      </c>
      <c r="G31" s="17">
        <f>G30*Assumptions!G27/1000000</f>
        <v>12.6</v>
      </c>
      <c r="H31" s="17">
        <f>H30*Assumptions!H27/1000000</f>
        <v>18</v>
      </c>
    </row>
    <row r="32" spans="1:8" ht="15" customHeight="1" x14ac:dyDescent="0.25">
      <c r="A32" s="8" t="s">
        <v>60</v>
      </c>
      <c r="B32" s="15" t="s">
        <v>61</v>
      </c>
      <c r="C32" s="17">
        <f>C30*Assumptions!C28/1000000</f>
        <v>0.7</v>
      </c>
      <c r="D32" s="17">
        <f>D30*Assumptions!D28/1000000</f>
        <v>1</v>
      </c>
      <c r="E32" s="17">
        <f>E30*Assumptions!E28/1000000</f>
        <v>1.8</v>
      </c>
      <c r="F32" s="17">
        <f>F30*Assumptions!F28/1000000</f>
        <v>2.8</v>
      </c>
      <c r="G32" s="17">
        <f>G30*Assumptions!G28/1000000</f>
        <v>4.2</v>
      </c>
      <c r="H32" s="17">
        <f>H30*Assumptions!H28/1000000</f>
        <v>6</v>
      </c>
    </row>
    <row r="33" spans="1:8" ht="15" customHeight="1" x14ac:dyDescent="0.25">
      <c r="A33" s="18" t="s">
        <v>70</v>
      </c>
      <c r="B33" s="15" t="s">
        <v>63</v>
      </c>
      <c r="C33" s="19">
        <f t="shared" ref="C33:H33" si="4">C31+C32</f>
        <v>2.8</v>
      </c>
      <c r="D33" s="19">
        <f t="shared" si="4"/>
        <v>4</v>
      </c>
      <c r="E33" s="19">
        <f t="shared" si="4"/>
        <v>7.2</v>
      </c>
      <c r="F33" s="19">
        <f t="shared" si="4"/>
        <v>11.2</v>
      </c>
      <c r="G33" s="19">
        <f t="shared" si="4"/>
        <v>16.8</v>
      </c>
      <c r="H33" s="19">
        <f t="shared" si="4"/>
        <v>24</v>
      </c>
    </row>
    <row r="35" spans="1:8" ht="15.75" customHeight="1" x14ac:dyDescent="0.25">
      <c r="A35" s="5" t="s">
        <v>71</v>
      </c>
      <c r="B35" s="5"/>
      <c r="C35" s="5"/>
      <c r="D35" s="5"/>
      <c r="E35" s="5"/>
      <c r="F35" s="5"/>
      <c r="G35" s="5"/>
      <c r="H35" s="5"/>
    </row>
    <row r="36" spans="1:8" ht="15" customHeight="1" x14ac:dyDescent="0.25">
      <c r="A36" s="20" t="s">
        <v>36</v>
      </c>
      <c r="B36" s="21"/>
      <c r="C36" s="22">
        <f>'Revenue Model'!C9</f>
        <v>3</v>
      </c>
      <c r="D36" s="22">
        <f>'Revenue Model'!D9</f>
        <v>9</v>
      </c>
      <c r="E36" s="22">
        <f>'Revenue Model'!E9</f>
        <v>24</v>
      </c>
      <c r="F36" s="22">
        <f>'Revenue Model'!F9</f>
        <v>45</v>
      </c>
      <c r="G36" s="22">
        <f>'Revenue Model'!G9</f>
        <v>75</v>
      </c>
      <c r="H36" s="22">
        <f>'Revenue Model'!H9</f>
        <v>120</v>
      </c>
    </row>
    <row r="37" spans="1:8" ht="15" customHeight="1" x14ac:dyDescent="0.25">
      <c r="A37" s="20" t="s">
        <v>38</v>
      </c>
      <c r="B37" s="21"/>
      <c r="C37" s="22">
        <f>'Revenue Model'!C15</f>
        <v>18.6662</v>
      </c>
      <c r="D37" s="22">
        <f>'Revenue Model'!D15</f>
        <v>19.999500000000001</v>
      </c>
      <c r="E37" s="22">
        <f>'Revenue Model'!E15</f>
        <v>21.99945</v>
      </c>
      <c r="F37" s="22">
        <f>'Revenue Model'!F15</f>
        <v>24.999375000000001</v>
      </c>
      <c r="G37" s="22">
        <f>'Revenue Model'!G15</f>
        <v>29.99925</v>
      </c>
      <c r="H37" s="22">
        <f>'Revenue Model'!H15</f>
        <v>34.999124999999999</v>
      </c>
    </row>
    <row r="38" spans="1:8" ht="15" customHeight="1" x14ac:dyDescent="0.25">
      <c r="A38" s="20" t="s">
        <v>40</v>
      </c>
      <c r="B38" s="21"/>
      <c r="C38" s="22">
        <f>'Revenue Model'!C21</f>
        <v>4</v>
      </c>
      <c r="D38" s="22">
        <f>'Revenue Model'!D21</f>
        <v>7.5</v>
      </c>
      <c r="E38" s="22">
        <f>'Revenue Model'!E21</f>
        <v>15</v>
      </c>
      <c r="F38" s="22">
        <f>'Revenue Model'!F21</f>
        <v>26.25</v>
      </c>
      <c r="G38" s="22">
        <f>'Revenue Model'!G21</f>
        <v>41.25</v>
      </c>
      <c r="H38" s="22">
        <f>'Revenue Model'!H21</f>
        <v>60</v>
      </c>
    </row>
    <row r="39" spans="1:8" ht="15" customHeight="1" x14ac:dyDescent="0.25">
      <c r="A39" s="20" t="s">
        <v>42</v>
      </c>
      <c r="B39" s="21"/>
      <c r="C39" s="22">
        <f>'Revenue Model'!C27</f>
        <v>2.5</v>
      </c>
      <c r="D39" s="22">
        <f>'Revenue Model'!D27</f>
        <v>4</v>
      </c>
      <c r="E39" s="22">
        <f>'Revenue Model'!E27</f>
        <v>7</v>
      </c>
      <c r="F39" s="22">
        <f>'Revenue Model'!F27</f>
        <v>11</v>
      </c>
      <c r="G39" s="22">
        <f>'Revenue Model'!G27</f>
        <v>17</v>
      </c>
      <c r="H39" s="22">
        <f>'Revenue Model'!H27</f>
        <v>25</v>
      </c>
    </row>
    <row r="40" spans="1:8" ht="15" customHeight="1" x14ac:dyDescent="0.25">
      <c r="A40" s="20" t="s">
        <v>44</v>
      </c>
      <c r="B40" s="21"/>
      <c r="C40" s="22">
        <f>'Revenue Model'!C33</f>
        <v>2.8</v>
      </c>
      <c r="D40" s="22">
        <f>'Revenue Model'!D33</f>
        <v>4</v>
      </c>
      <c r="E40" s="22">
        <f>'Revenue Model'!E33</f>
        <v>7.2</v>
      </c>
      <c r="F40" s="22">
        <f>'Revenue Model'!F33</f>
        <v>11.2</v>
      </c>
      <c r="G40" s="22">
        <f>'Revenue Model'!G33</f>
        <v>16.8</v>
      </c>
      <c r="H40" s="22">
        <f>'Revenue Model'!H33</f>
        <v>24</v>
      </c>
    </row>
    <row r="41" spans="1:8" ht="15" customHeight="1" x14ac:dyDescent="0.25">
      <c r="A41" s="8" t="s">
        <v>72</v>
      </c>
      <c r="B41" s="15" t="s">
        <v>73</v>
      </c>
      <c r="C41" s="17">
        <f t="shared" ref="C41:H43" si="5">C7+C13+C19+C25+C31</f>
        <v>9.5500000000000007</v>
      </c>
      <c r="D41" s="17">
        <f t="shared" si="5"/>
        <v>18.25</v>
      </c>
      <c r="E41" s="17">
        <f t="shared" si="5"/>
        <v>38.4</v>
      </c>
      <c r="F41" s="17">
        <f t="shared" si="5"/>
        <v>66.650000000000006</v>
      </c>
      <c r="G41" s="17">
        <f t="shared" si="5"/>
        <v>106.35</v>
      </c>
      <c r="H41" s="17">
        <f t="shared" si="5"/>
        <v>161</v>
      </c>
    </row>
    <row r="42" spans="1:8" ht="15" customHeight="1" x14ac:dyDescent="0.25">
      <c r="A42" s="8" t="s">
        <v>74</v>
      </c>
      <c r="B42" s="15" t="s">
        <v>75</v>
      </c>
      <c r="C42" s="17">
        <f t="shared" si="5"/>
        <v>21.4162</v>
      </c>
      <c r="D42" s="17">
        <f t="shared" si="5"/>
        <v>26.249500000000001</v>
      </c>
      <c r="E42" s="17">
        <f t="shared" si="5"/>
        <v>36.799449999999993</v>
      </c>
      <c r="F42" s="17">
        <f t="shared" si="5"/>
        <v>51.799374999999998</v>
      </c>
      <c r="G42" s="17">
        <f t="shared" si="5"/>
        <v>73.699250000000006</v>
      </c>
      <c r="H42" s="17">
        <f t="shared" si="5"/>
        <v>102.99912499999999</v>
      </c>
    </row>
    <row r="43" spans="1:8" ht="15" customHeight="1" x14ac:dyDescent="0.25">
      <c r="A43" s="23" t="s">
        <v>76</v>
      </c>
      <c r="B43" s="24" t="s">
        <v>77</v>
      </c>
      <c r="C43" s="19">
        <f t="shared" si="5"/>
        <v>30.966200000000001</v>
      </c>
      <c r="D43" s="19">
        <f t="shared" si="5"/>
        <v>44.499499999999998</v>
      </c>
      <c r="E43" s="19">
        <f t="shared" si="5"/>
        <v>75.199449999999999</v>
      </c>
      <c r="F43" s="19">
        <f t="shared" si="5"/>
        <v>118.449375</v>
      </c>
      <c r="G43" s="19">
        <f t="shared" si="5"/>
        <v>180.04925000000003</v>
      </c>
      <c r="H43" s="19">
        <f t="shared" si="5"/>
        <v>263.99912499999999</v>
      </c>
    </row>
    <row r="45" spans="1:8" ht="13.5" customHeight="1" x14ac:dyDescent="0.25">
      <c r="A45" s="3" t="s">
        <v>78</v>
      </c>
      <c r="B45" s="3"/>
      <c r="C45" s="3"/>
      <c r="D45" s="3"/>
      <c r="E45" s="3"/>
      <c r="F45" s="3"/>
      <c r="G45" s="3"/>
      <c r="H45" s="3"/>
    </row>
    <row r="46" spans="1:8" ht="15" customHeight="1" x14ac:dyDescent="0.25">
      <c r="A46" s="8" t="s">
        <v>36</v>
      </c>
      <c r="B46" s="25"/>
      <c r="C46" s="26" t="s">
        <v>79</v>
      </c>
      <c r="D46" s="27">
        <f>IF(C9=0,"-",(D9-C9)/C9)</f>
        <v>2</v>
      </c>
      <c r="E46" s="27">
        <f>IF(D9=0,"-",(E9-D9)/D9)</f>
        <v>1.6666666666666667</v>
      </c>
      <c r="F46" s="27">
        <f>IF(E9=0,"-",(F9-E9)/E9)</f>
        <v>0.875</v>
      </c>
      <c r="G46" s="27">
        <f>IF(F9=0,"-",(G9-F9)/F9)</f>
        <v>0.66666666666666663</v>
      </c>
      <c r="H46" s="27">
        <f>IF(G9=0,"-",(H9-G9)/G9)</f>
        <v>0.6</v>
      </c>
    </row>
    <row r="47" spans="1:8" ht="15" customHeight="1" x14ac:dyDescent="0.25">
      <c r="A47" s="8" t="s">
        <v>38</v>
      </c>
      <c r="B47" s="25"/>
      <c r="C47" s="26" t="s">
        <v>79</v>
      </c>
      <c r="D47" s="27">
        <f>IF(C15=0,"-",(D15-C15)/C15)</f>
        <v>7.1428571428571494E-2</v>
      </c>
      <c r="E47" s="27">
        <f>IF(D15=0,"-",(E15-D15)/D15)</f>
        <v>9.9999999999999908E-2</v>
      </c>
      <c r="F47" s="27">
        <f>IF(E15=0,"-",(F15-E15)/E15)</f>
        <v>0.13636363636363641</v>
      </c>
      <c r="G47" s="27">
        <f>IF(F15=0,"-",(G15-F15)/F15)</f>
        <v>0.19999999999999998</v>
      </c>
      <c r="H47" s="27">
        <f>IF(G15=0,"-",(H15-G15)/G15)</f>
        <v>0.16666666666666666</v>
      </c>
    </row>
    <row r="48" spans="1:8" ht="15" customHeight="1" x14ac:dyDescent="0.25">
      <c r="A48" s="8" t="s">
        <v>40</v>
      </c>
      <c r="B48" s="25"/>
      <c r="C48" s="26" t="s">
        <v>79</v>
      </c>
      <c r="D48" s="27">
        <f>IF(C21=0,"-",(D21-C21)/C21)</f>
        <v>0.875</v>
      </c>
      <c r="E48" s="27">
        <f>IF(D21=0,"-",(E21-D21)/D21)</f>
        <v>1</v>
      </c>
      <c r="F48" s="27">
        <f>IF(E21=0,"-",(F21-E21)/E21)</f>
        <v>0.75</v>
      </c>
      <c r="G48" s="27">
        <f>IF(F21=0,"-",(G21-F21)/F21)</f>
        <v>0.5714285714285714</v>
      </c>
      <c r="H48" s="27">
        <f>IF(G21=0,"-",(H21-G21)/G21)</f>
        <v>0.45454545454545453</v>
      </c>
    </row>
    <row r="49" spans="1:8" ht="15" customHeight="1" x14ac:dyDescent="0.25">
      <c r="A49" s="8" t="s">
        <v>42</v>
      </c>
      <c r="B49" s="25"/>
      <c r="C49" s="26" t="s">
        <v>79</v>
      </c>
      <c r="D49" s="27">
        <f>IF(C27=0,"-",(D27-C27)/C27)</f>
        <v>0.6</v>
      </c>
      <c r="E49" s="27">
        <f>IF(D27=0,"-",(E27-D27)/D27)</f>
        <v>0.75</v>
      </c>
      <c r="F49" s="27">
        <f>IF(E27=0,"-",(F27-E27)/E27)</f>
        <v>0.5714285714285714</v>
      </c>
      <c r="G49" s="27">
        <f>IF(F27=0,"-",(G27-F27)/F27)</f>
        <v>0.54545454545454541</v>
      </c>
      <c r="H49" s="27">
        <f>IF(G27=0,"-",(H27-G27)/G27)</f>
        <v>0.47058823529411764</v>
      </c>
    </row>
    <row r="50" spans="1:8" ht="15" customHeight="1" x14ac:dyDescent="0.25">
      <c r="A50" s="8" t="s">
        <v>44</v>
      </c>
      <c r="B50" s="25"/>
      <c r="C50" s="26" t="s">
        <v>79</v>
      </c>
      <c r="D50" s="27">
        <f>IF(C33=0,"-",(D33-C33)/C33)</f>
        <v>0.42857142857142866</v>
      </c>
      <c r="E50" s="27">
        <f>IF(D33=0,"-",(E33-D33)/D33)</f>
        <v>0.8</v>
      </c>
      <c r="F50" s="27">
        <f>IF(E33=0,"-",(F33-E33)/E33)</f>
        <v>0.55555555555555547</v>
      </c>
      <c r="G50" s="27">
        <f>IF(F33=0,"-",(G33-F33)/F33)</f>
        <v>0.50000000000000011</v>
      </c>
      <c r="H50" s="27">
        <f>IF(G33=0,"-",(H33-G33)/G33)</f>
        <v>0.42857142857142849</v>
      </c>
    </row>
    <row r="51" spans="1:8" ht="15" customHeight="1" x14ac:dyDescent="0.25">
      <c r="A51" s="23" t="s">
        <v>80</v>
      </c>
      <c r="B51" s="28"/>
      <c r="C51" s="29" t="s">
        <v>79</v>
      </c>
      <c r="D51" s="30">
        <f>IF(C43=0,"-",(D43-C43)/C43)</f>
        <v>0.4370345731797895</v>
      </c>
      <c r="E51" s="30">
        <f>IF(D43=0,"-",(E43-D43)/D43)</f>
        <v>0.68989426847492674</v>
      </c>
      <c r="F51" s="30">
        <f>IF(E43=0,"-",(F43-E43)/E43)</f>
        <v>0.57513618783116105</v>
      </c>
      <c r="G51" s="30">
        <f>IF(F43=0,"-",(G43-F43)/F43)</f>
        <v>0.52005234303684611</v>
      </c>
      <c r="H51" s="30">
        <f>IF(G43=0,"-",(H43-G43)/G43)</f>
        <v>0.46626062035804067</v>
      </c>
    </row>
    <row r="53" spans="1:8" ht="13.5" customHeight="1" x14ac:dyDescent="0.25">
      <c r="A53" s="3" t="s">
        <v>81</v>
      </c>
      <c r="B53" s="3"/>
      <c r="C53" s="3"/>
      <c r="D53" s="3"/>
      <c r="E53" s="3"/>
      <c r="F53" s="3"/>
      <c r="G53" s="3"/>
      <c r="H53" s="3"/>
    </row>
    <row r="54" spans="1:8" ht="15" customHeight="1" x14ac:dyDescent="0.25">
      <c r="A54" s="8" t="s">
        <v>36</v>
      </c>
      <c r="B54" s="25"/>
      <c r="C54" s="27">
        <f t="shared" ref="C54:H54" si="6">IF(C43=0,"-",C9/C43)</f>
        <v>9.687982380789377E-2</v>
      </c>
      <c r="D54" s="27">
        <f t="shared" si="6"/>
        <v>0.20224946347711772</v>
      </c>
      <c r="E54" s="27">
        <f t="shared" si="6"/>
        <v>0.31915127038828078</v>
      </c>
      <c r="F54" s="27">
        <f t="shared" si="6"/>
        <v>0.37990913839773321</v>
      </c>
      <c r="G54" s="27">
        <f t="shared" si="6"/>
        <v>0.41655269322143795</v>
      </c>
      <c r="H54" s="27">
        <f t="shared" si="6"/>
        <v>0.45454696109314757</v>
      </c>
    </row>
    <row r="55" spans="1:8" ht="15" customHeight="1" x14ac:dyDescent="0.25">
      <c r="A55" s="8" t="s">
        <v>38</v>
      </c>
      <c r="B55" s="25"/>
      <c r="C55" s="27">
        <f t="shared" ref="C55:H55" si="7">IF(C43=0,"-",C15/C43)</f>
        <v>0.60279272238763548</v>
      </c>
      <c r="D55" s="27">
        <f t="shared" si="7"/>
        <v>0.4494320160900685</v>
      </c>
      <c r="E55" s="27">
        <f t="shared" si="7"/>
        <v>0.29254801730597763</v>
      </c>
      <c r="F55" s="27">
        <f t="shared" si="7"/>
        <v>0.21105535592737404</v>
      </c>
      <c r="G55" s="27">
        <f t="shared" si="7"/>
        <v>0.16661691176164298</v>
      </c>
      <c r="H55" s="27">
        <f t="shared" si="7"/>
        <v>0.13257288258057673</v>
      </c>
    </row>
    <row r="56" spans="1:8" ht="15" customHeight="1" x14ac:dyDescent="0.25">
      <c r="A56" s="8" t="s">
        <v>40</v>
      </c>
      <c r="B56" s="25"/>
      <c r="C56" s="27">
        <f t="shared" ref="C56:H56" si="8">IF(C43=0,"-",C21/C43)</f>
        <v>0.12917309841052502</v>
      </c>
      <c r="D56" s="27">
        <f t="shared" si="8"/>
        <v>0.16854121956426477</v>
      </c>
      <c r="E56" s="27">
        <f t="shared" si="8"/>
        <v>0.19946954399267547</v>
      </c>
      <c r="F56" s="27">
        <f t="shared" si="8"/>
        <v>0.22161366406534436</v>
      </c>
      <c r="G56" s="27">
        <f t="shared" si="8"/>
        <v>0.22910398127179088</v>
      </c>
      <c r="H56" s="27">
        <f t="shared" si="8"/>
        <v>0.22727348054657379</v>
      </c>
    </row>
    <row r="57" spans="1:8" ht="15" customHeight="1" x14ac:dyDescent="0.25">
      <c r="A57" s="8" t="s">
        <v>42</v>
      </c>
      <c r="B57" s="25"/>
      <c r="C57" s="27">
        <f t="shared" ref="C57:H57" si="9">IF(C43=0,"-",C27/C43)</f>
        <v>8.0733186506578139E-2</v>
      </c>
      <c r="D57" s="27">
        <f t="shared" si="9"/>
        <v>8.9888650434274547E-2</v>
      </c>
      <c r="E57" s="27">
        <f t="shared" si="9"/>
        <v>9.3085787196581893E-2</v>
      </c>
      <c r="F57" s="27">
        <f t="shared" si="9"/>
        <v>9.2866678275001446E-2</v>
      </c>
      <c r="G57" s="27">
        <f t="shared" si="9"/>
        <v>9.441861046352594E-2</v>
      </c>
      <c r="H57" s="27">
        <f t="shared" si="9"/>
        <v>9.4697283561072418E-2</v>
      </c>
    </row>
    <row r="58" spans="1:8" ht="15" customHeight="1" x14ac:dyDescent="0.25">
      <c r="A58" s="8" t="s">
        <v>44</v>
      </c>
      <c r="B58" s="25"/>
      <c r="C58" s="27">
        <f t="shared" ref="C58:H58" si="10">IF(C43=0,"-",C33/C43)</f>
        <v>9.0421168887367509E-2</v>
      </c>
      <c r="D58" s="27">
        <f t="shared" si="10"/>
        <v>8.9888650434274547E-2</v>
      </c>
      <c r="E58" s="27">
        <f t="shared" si="10"/>
        <v>9.5745381116484229E-2</v>
      </c>
      <c r="F58" s="27">
        <f t="shared" si="10"/>
        <v>9.4555163334546929E-2</v>
      </c>
      <c r="G58" s="27">
        <f t="shared" si="10"/>
        <v>9.3307803281602111E-2</v>
      </c>
      <c r="H58" s="27">
        <f t="shared" si="10"/>
        <v>9.0909392218629509E-2</v>
      </c>
    </row>
    <row r="60" spans="1:8" ht="15" customHeight="1" x14ac:dyDescent="0.25">
      <c r="A60" s="8" t="s">
        <v>82</v>
      </c>
      <c r="B60" s="25"/>
      <c r="C60" s="27">
        <f t="shared" ref="C60:H60" si="11">IF(C43=0,"-",C41/C43)</f>
        <v>0.30840077245512854</v>
      </c>
      <c r="D60" s="27">
        <f t="shared" si="11"/>
        <v>0.41011696760637761</v>
      </c>
      <c r="E60" s="27">
        <f t="shared" si="11"/>
        <v>0.51064203262124919</v>
      </c>
      <c r="F60" s="27">
        <f t="shared" si="11"/>
        <v>0.5626876460935315</v>
      </c>
      <c r="G60" s="27">
        <f t="shared" si="11"/>
        <v>0.59067171898799897</v>
      </c>
      <c r="H60" s="27">
        <f t="shared" si="11"/>
        <v>0.60985050613330638</v>
      </c>
    </row>
    <row r="61" spans="1:8" ht="15" customHeight="1" x14ac:dyDescent="0.25">
      <c r="A61" s="8" t="s">
        <v>83</v>
      </c>
      <c r="B61" s="25"/>
      <c r="C61" s="27">
        <f t="shared" ref="C61:H61" si="12">IF(C43=0,"-",C42/C43)</f>
        <v>0.69159922754487146</v>
      </c>
      <c r="D61" s="27">
        <f t="shared" si="12"/>
        <v>0.5898830323936225</v>
      </c>
      <c r="E61" s="27">
        <f t="shared" si="12"/>
        <v>0.4893579673787507</v>
      </c>
      <c r="F61" s="27">
        <f t="shared" si="12"/>
        <v>0.43731235390646844</v>
      </c>
      <c r="G61" s="27">
        <f t="shared" si="12"/>
        <v>0.40932828101200086</v>
      </c>
      <c r="H61" s="27">
        <f t="shared" si="12"/>
        <v>0.39014949386669368</v>
      </c>
    </row>
    <row r="62" spans="1:8" ht="6" customHeight="1" x14ac:dyDescent="0.25"/>
    <row r="63" spans="1:8" ht="6" customHeight="1" x14ac:dyDescent="0.25"/>
    <row r="64" spans="1:8" ht="15.75" customHeight="1" x14ac:dyDescent="0.25">
      <c r="A64" s="5" t="s">
        <v>84</v>
      </c>
      <c r="B64" s="5"/>
      <c r="C64" s="5"/>
      <c r="D64" s="5"/>
      <c r="E64" s="5"/>
      <c r="F64" s="5"/>
      <c r="G64" s="5"/>
      <c r="H64" s="5"/>
    </row>
    <row r="65" spans="1:8" ht="13.5" customHeight="1" x14ac:dyDescent="0.25">
      <c r="A65" s="3" t="s">
        <v>11</v>
      </c>
      <c r="B65" s="3"/>
      <c r="C65" s="3"/>
      <c r="D65" s="3"/>
      <c r="E65" s="3"/>
      <c r="F65" s="3"/>
      <c r="G65" s="3"/>
      <c r="H65" s="3"/>
    </row>
    <row r="66" spans="1:8" ht="15" customHeight="1" x14ac:dyDescent="0.25">
      <c r="A66" s="8" t="s">
        <v>85</v>
      </c>
      <c r="B66" s="15" t="s">
        <v>86</v>
      </c>
      <c r="C66" s="17">
        <f t="shared" ref="C66:H66" si="13">C9</f>
        <v>3</v>
      </c>
      <c r="D66" s="17">
        <f t="shared" si="13"/>
        <v>9</v>
      </c>
      <c r="E66" s="17">
        <f t="shared" si="13"/>
        <v>24</v>
      </c>
      <c r="F66" s="17">
        <f t="shared" si="13"/>
        <v>45</v>
      </c>
      <c r="G66" s="17">
        <f t="shared" si="13"/>
        <v>75</v>
      </c>
      <c r="H66" s="17">
        <f t="shared" si="13"/>
        <v>120</v>
      </c>
    </row>
    <row r="67" spans="1:8" ht="15" customHeight="1" x14ac:dyDescent="0.25">
      <c r="A67" s="8" t="s">
        <v>87</v>
      </c>
      <c r="B67" s="15" t="s">
        <v>88</v>
      </c>
      <c r="C67" s="31">
        <f>Assumptions!C32</f>
        <v>0.48</v>
      </c>
      <c r="D67" s="31">
        <f>Assumptions!D32</f>
        <v>0.5</v>
      </c>
      <c r="E67" s="31">
        <f>Assumptions!E32</f>
        <v>0.52</v>
      </c>
      <c r="F67" s="31">
        <f>Assumptions!F32</f>
        <v>0.53</v>
      </c>
      <c r="G67" s="31">
        <f>Assumptions!G32</f>
        <v>0.54</v>
      </c>
      <c r="H67" s="31">
        <f>Assumptions!H32</f>
        <v>0.55000000000000004</v>
      </c>
    </row>
    <row r="68" spans="1:8" ht="15" customHeight="1" x14ac:dyDescent="0.25">
      <c r="A68" s="18" t="s">
        <v>89</v>
      </c>
      <c r="B68" s="15" t="s">
        <v>90</v>
      </c>
      <c r="C68" s="19">
        <f t="shared" ref="C68:H68" si="14">C66*C67</f>
        <v>1.44</v>
      </c>
      <c r="D68" s="19">
        <f t="shared" si="14"/>
        <v>4.5</v>
      </c>
      <c r="E68" s="19">
        <f t="shared" si="14"/>
        <v>12.48</v>
      </c>
      <c r="F68" s="19">
        <f t="shared" si="14"/>
        <v>23.85</v>
      </c>
      <c r="G68" s="19">
        <f t="shared" si="14"/>
        <v>40.5</v>
      </c>
      <c r="H68" s="19">
        <f t="shared" si="14"/>
        <v>66</v>
      </c>
    </row>
    <row r="69" spans="1:8" ht="15" customHeight="1" x14ac:dyDescent="0.25">
      <c r="A69" s="8" t="s">
        <v>91</v>
      </c>
      <c r="B69" s="15" t="s">
        <v>92</v>
      </c>
      <c r="C69" s="17">
        <f>C66*Assumptions!C39</f>
        <v>1.1400000000000001</v>
      </c>
      <c r="D69" s="17">
        <f>D66*Assumptions!D39</f>
        <v>3.15</v>
      </c>
      <c r="E69" s="17">
        <f>E66*Assumptions!E39</f>
        <v>7.68</v>
      </c>
      <c r="F69" s="17">
        <f>F66*Assumptions!F39</f>
        <v>13.5</v>
      </c>
      <c r="G69" s="17">
        <f>G66*Assumptions!G39</f>
        <v>21.000000000000004</v>
      </c>
      <c r="H69" s="17">
        <f>H66*Assumptions!H39</f>
        <v>31.200000000000003</v>
      </c>
    </row>
    <row r="70" spans="1:8" ht="15" customHeight="1" x14ac:dyDescent="0.25">
      <c r="A70" s="8" t="s">
        <v>93</v>
      </c>
      <c r="B70" s="15" t="s">
        <v>94</v>
      </c>
      <c r="C70" s="17">
        <f>C66*Assumptions!C42</f>
        <v>0.66</v>
      </c>
      <c r="D70" s="17">
        <f>D66*Assumptions!D42</f>
        <v>1.8</v>
      </c>
      <c r="E70" s="17">
        <f>E66*Assumptions!E42</f>
        <v>4.32</v>
      </c>
      <c r="F70" s="17">
        <f>F66*Assumptions!F42</f>
        <v>7.2</v>
      </c>
      <c r="G70" s="17">
        <f>G66*Assumptions!G42</f>
        <v>11.25</v>
      </c>
      <c r="H70" s="17">
        <f>H66*Assumptions!H42</f>
        <v>16.8</v>
      </c>
    </row>
    <row r="71" spans="1:8" ht="15" customHeight="1" x14ac:dyDescent="0.25">
      <c r="A71" s="23" t="s">
        <v>95</v>
      </c>
      <c r="B71" s="24" t="s">
        <v>96</v>
      </c>
      <c r="C71" s="19">
        <f t="shared" ref="C71:H71" si="15">C68-C69-C70</f>
        <v>-0.36000000000000021</v>
      </c>
      <c r="D71" s="19">
        <f t="shared" si="15"/>
        <v>-0.44999999999999996</v>
      </c>
      <c r="E71" s="19">
        <f t="shared" si="15"/>
        <v>0.48000000000000043</v>
      </c>
      <c r="F71" s="19">
        <f t="shared" si="15"/>
        <v>3.1500000000000012</v>
      </c>
      <c r="G71" s="19">
        <f t="shared" si="15"/>
        <v>8.2499999999999964</v>
      </c>
      <c r="H71" s="19">
        <f t="shared" si="15"/>
        <v>17.999999999999996</v>
      </c>
    </row>
    <row r="72" spans="1:8" ht="15" customHeight="1" x14ac:dyDescent="0.25">
      <c r="A72" s="32" t="s">
        <v>97</v>
      </c>
      <c r="B72" s="24" t="s">
        <v>98</v>
      </c>
      <c r="C72" s="33">
        <f t="shared" ref="C72:H72" si="16">IF(C66=0,"-",C71/C66)</f>
        <v>-0.12000000000000006</v>
      </c>
      <c r="D72" s="33">
        <f t="shared" si="16"/>
        <v>-4.9999999999999996E-2</v>
      </c>
      <c r="E72" s="33">
        <f t="shared" si="16"/>
        <v>2.0000000000000018E-2</v>
      </c>
      <c r="F72" s="33">
        <f t="shared" si="16"/>
        <v>7.0000000000000034E-2</v>
      </c>
      <c r="G72" s="33">
        <f t="shared" si="16"/>
        <v>0.10999999999999996</v>
      </c>
      <c r="H72" s="33">
        <f t="shared" si="16"/>
        <v>0.14999999999999997</v>
      </c>
    </row>
    <row r="74" spans="1:8" ht="13.5" customHeight="1" x14ac:dyDescent="0.25">
      <c r="A74" s="3" t="s">
        <v>64</v>
      </c>
      <c r="B74" s="3"/>
      <c r="C74" s="3"/>
      <c r="D74" s="3"/>
      <c r="E74" s="3"/>
      <c r="F74" s="3"/>
      <c r="G74" s="3"/>
      <c r="H74" s="3"/>
    </row>
    <row r="75" spans="1:8" ht="15" customHeight="1" x14ac:dyDescent="0.25">
      <c r="A75" s="8" t="s">
        <v>85</v>
      </c>
      <c r="B75" s="15" t="s">
        <v>99</v>
      </c>
      <c r="C75" s="17">
        <f t="shared" ref="C75:H75" si="17">C15</f>
        <v>18.6662</v>
      </c>
      <c r="D75" s="17">
        <f t="shared" si="17"/>
        <v>19.999500000000001</v>
      </c>
      <c r="E75" s="17">
        <f t="shared" si="17"/>
        <v>21.99945</v>
      </c>
      <c r="F75" s="17">
        <f t="shared" si="17"/>
        <v>24.999375000000001</v>
      </c>
      <c r="G75" s="17">
        <f t="shared" si="17"/>
        <v>29.99925</v>
      </c>
      <c r="H75" s="17">
        <f t="shared" si="17"/>
        <v>34.999124999999999</v>
      </c>
    </row>
    <row r="76" spans="1:8" ht="15" customHeight="1" x14ac:dyDescent="0.25">
      <c r="A76" s="8" t="s">
        <v>87</v>
      </c>
      <c r="B76" s="15" t="s">
        <v>88</v>
      </c>
      <c r="C76" s="31">
        <f>Assumptions!C33</f>
        <v>0.36</v>
      </c>
      <c r="D76" s="31">
        <f>Assumptions!D33</f>
        <v>0.35</v>
      </c>
      <c r="E76" s="31">
        <f>Assumptions!E33</f>
        <v>0.34</v>
      </c>
      <c r="F76" s="31">
        <f>Assumptions!F33</f>
        <v>0.34</v>
      </c>
      <c r="G76" s="31">
        <f>Assumptions!G33</f>
        <v>0.33</v>
      </c>
      <c r="H76" s="31">
        <f>Assumptions!H33</f>
        <v>0.33</v>
      </c>
    </row>
    <row r="77" spans="1:8" ht="15" customHeight="1" x14ac:dyDescent="0.25">
      <c r="A77" s="18" t="s">
        <v>89</v>
      </c>
      <c r="B77" s="15" t="s">
        <v>90</v>
      </c>
      <c r="C77" s="19">
        <f t="shared" ref="C77:H77" si="18">C75*C76</f>
        <v>6.7198319999999994</v>
      </c>
      <c r="D77" s="19">
        <f t="shared" si="18"/>
        <v>6.9998249999999995</v>
      </c>
      <c r="E77" s="19">
        <f t="shared" si="18"/>
        <v>7.479813</v>
      </c>
      <c r="F77" s="19">
        <f t="shared" si="18"/>
        <v>8.4997875000000001</v>
      </c>
      <c r="G77" s="19">
        <f t="shared" si="18"/>
        <v>9.8997525</v>
      </c>
      <c r="H77" s="19">
        <f t="shared" si="18"/>
        <v>11.54971125</v>
      </c>
    </row>
    <row r="78" spans="1:8" ht="15" customHeight="1" x14ac:dyDescent="0.25">
      <c r="A78" s="8" t="s">
        <v>91</v>
      </c>
      <c r="B78" s="15" t="s">
        <v>92</v>
      </c>
      <c r="C78" s="17">
        <f>C75*Assumptions!C39</f>
        <v>7.0931560000000005</v>
      </c>
      <c r="D78" s="17">
        <f>D75*Assumptions!D39</f>
        <v>6.9998249999999995</v>
      </c>
      <c r="E78" s="17">
        <f>E75*Assumptions!E39</f>
        <v>7.0398240000000003</v>
      </c>
      <c r="F78" s="17">
        <f>F75*Assumptions!F39</f>
        <v>7.4998125</v>
      </c>
      <c r="G78" s="17">
        <f>G75*Assumptions!G39</f>
        <v>8.3997900000000012</v>
      </c>
      <c r="H78" s="17">
        <f>H75*Assumptions!H39</f>
        <v>9.0997725000000003</v>
      </c>
    </row>
    <row r="79" spans="1:8" ht="15" customHeight="1" x14ac:dyDescent="0.25">
      <c r="A79" s="8" t="s">
        <v>93</v>
      </c>
      <c r="B79" s="15" t="s">
        <v>94</v>
      </c>
      <c r="C79" s="17">
        <f>C75*Assumptions!C42</f>
        <v>4.1065639999999997</v>
      </c>
      <c r="D79" s="17">
        <f>D75*Assumptions!D42</f>
        <v>3.9999000000000002</v>
      </c>
      <c r="E79" s="17">
        <f>E75*Assumptions!E42</f>
        <v>3.9599009999999999</v>
      </c>
      <c r="F79" s="17">
        <f>F75*Assumptions!F42</f>
        <v>3.9999000000000002</v>
      </c>
      <c r="G79" s="17">
        <f>G75*Assumptions!G42</f>
        <v>4.4998874999999998</v>
      </c>
      <c r="H79" s="17">
        <f>H75*Assumptions!H42</f>
        <v>4.8998775000000006</v>
      </c>
    </row>
    <row r="80" spans="1:8" ht="15" customHeight="1" x14ac:dyDescent="0.25">
      <c r="A80" s="23" t="s">
        <v>100</v>
      </c>
      <c r="B80" s="24" t="s">
        <v>96</v>
      </c>
      <c r="C80" s="19">
        <f t="shared" ref="C80:H80" si="19">C77-C78-C79</f>
        <v>-4.4798880000000008</v>
      </c>
      <c r="D80" s="19">
        <f t="shared" si="19"/>
        <v>-3.9999000000000002</v>
      </c>
      <c r="E80" s="19">
        <f t="shared" si="19"/>
        <v>-3.5199120000000002</v>
      </c>
      <c r="F80" s="19">
        <f t="shared" si="19"/>
        <v>-2.9999250000000002</v>
      </c>
      <c r="G80" s="19">
        <f t="shared" si="19"/>
        <v>-2.9999250000000011</v>
      </c>
      <c r="H80" s="19">
        <f t="shared" si="19"/>
        <v>-2.4499387500000012</v>
      </c>
    </row>
    <row r="81" spans="1:8" ht="15" customHeight="1" x14ac:dyDescent="0.25">
      <c r="A81" s="32" t="s">
        <v>97</v>
      </c>
      <c r="B81" s="24" t="s">
        <v>98</v>
      </c>
      <c r="C81" s="33">
        <f t="shared" ref="C81:H81" si="20">IF(C75=0,"-",C80/C75)</f>
        <v>-0.24000000000000005</v>
      </c>
      <c r="D81" s="33">
        <f t="shared" si="20"/>
        <v>-0.2</v>
      </c>
      <c r="E81" s="33">
        <f t="shared" si="20"/>
        <v>-0.16</v>
      </c>
      <c r="F81" s="33">
        <f t="shared" si="20"/>
        <v>-0.12000000000000001</v>
      </c>
      <c r="G81" s="33">
        <f t="shared" si="20"/>
        <v>-0.10000000000000003</v>
      </c>
      <c r="H81" s="33">
        <f t="shared" si="20"/>
        <v>-7.0000000000000034E-2</v>
      </c>
    </row>
    <row r="83" spans="1:8" ht="13.5" customHeight="1" x14ac:dyDescent="0.25">
      <c r="A83" s="3" t="s">
        <v>22</v>
      </c>
      <c r="B83" s="3"/>
      <c r="C83" s="3"/>
      <c r="D83" s="3"/>
      <c r="E83" s="3"/>
      <c r="F83" s="3"/>
      <c r="G83" s="3"/>
      <c r="H83" s="3"/>
    </row>
    <row r="84" spans="1:8" ht="15" customHeight="1" x14ac:dyDescent="0.25">
      <c r="A84" s="8" t="s">
        <v>85</v>
      </c>
      <c r="B84" s="15" t="s">
        <v>101</v>
      </c>
      <c r="C84" s="17">
        <f t="shared" ref="C84:H84" si="21">C21</f>
        <v>4</v>
      </c>
      <c r="D84" s="17">
        <f t="shared" si="21"/>
        <v>7.5</v>
      </c>
      <c r="E84" s="17">
        <f t="shared" si="21"/>
        <v>15</v>
      </c>
      <c r="F84" s="17">
        <f t="shared" si="21"/>
        <v>26.25</v>
      </c>
      <c r="G84" s="17">
        <f t="shared" si="21"/>
        <v>41.25</v>
      </c>
      <c r="H84" s="17">
        <f t="shared" si="21"/>
        <v>60</v>
      </c>
    </row>
    <row r="85" spans="1:8" ht="15" customHeight="1" x14ac:dyDescent="0.25">
      <c r="A85" s="8" t="s">
        <v>87</v>
      </c>
      <c r="B85" s="15" t="s">
        <v>88</v>
      </c>
      <c r="C85" s="31">
        <f>Assumptions!C34</f>
        <v>0.3</v>
      </c>
      <c r="D85" s="31">
        <f>Assumptions!D34</f>
        <v>0.31</v>
      </c>
      <c r="E85" s="31">
        <f>Assumptions!E34</f>
        <v>0.33</v>
      </c>
      <c r="F85" s="31">
        <f>Assumptions!F34</f>
        <v>0.35</v>
      </c>
      <c r="G85" s="31">
        <f>Assumptions!G34</f>
        <v>0.36</v>
      </c>
      <c r="H85" s="31">
        <f>Assumptions!H34</f>
        <v>0.38</v>
      </c>
    </row>
    <row r="86" spans="1:8" ht="15" customHeight="1" x14ac:dyDescent="0.25">
      <c r="A86" s="18" t="s">
        <v>89</v>
      </c>
      <c r="B86" s="15" t="s">
        <v>90</v>
      </c>
      <c r="C86" s="19">
        <f t="shared" ref="C86:H86" si="22">C84*C85</f>
        <v>1.2</v>
      </c>
      <c r="D86" s="19">
        <f t="shared" si="22"/>
        <v>2.3250000000000002</v>
      </c>
      <c r="E86" s="19">
        <f t="shared" si="22"/>
        <v>4.95</v>
      </c>
      <c r="F86" s="19">
        <f t="shared" si="22"/>
        <v>9.1875</v>
      </c>
      <c r="G86" s="19">
        <f t="shared" si="22"/>
        <v>14.85</v>
      </c>
      <c r="H86" s="19">
        <f t="shared" si="22"/>
        <v>22.8</v>
      </c>
    </row>
    <row r="87" spans="1:8" ht="15" customHeight="1" x14ac:dyDescent="0.25">
      <c r="A87" s="8" t="s">
        <v>91</v>
      </c>
      <c r="B87" s="15" t="s">
        <v>92</v>
      </c>
      <c r="C87" s="17">
        <f>C84*Assumptions!C39</f>
        <v>1.52</v>
      </c>
      <c r="D87" s="17">
        <f>D84*Assumptions!D39</f>
        <v>2.625</v>
      </c>
      <c r="E87" s="17">
        <f>E84*Assumptions!E39</f>
        <v>4.8</v>
      </c>
      <c r="F87" s="17">
        <f>F84*Assumptions!F39</f>
        <v>7.875</v>
      </c>
      <c r="G87" s="17">
        <f>G84*Assumptions!G39</f>
        <v>11.55</v>
      </c>
      <c r="H87" s="17">
        <f>H84*Assumptions!H39</f>
        <v>15.600000000000001</v>
      </c>
    </row>
    <row r="88" spans="1:8" ht="15" customHeight="1" x14ac:dyDescent="0.25">
      <c r="A88" s="8" t="s">
        <v>93</v>
      </c>
      <c r="B88" s="15" t="s">
        <v>94</v>
      </c>
      <c r="C88" s="17">
        <f>C84*Assumptions!C42</f>
        <v>0.88</v>
      </c>
      <c r="D88" s="17">
        <f>D84*Assumptions!D42</f>
        <v>1.5</v>
      </c>
      <c r="E88" s="17">
        <f>E84*Assumptions!E42</f>
        <v>2.6999999999999997</v>
      </c>
      <c r="F88" s="17">
        <f>F84*Assumptions!F42</f>
        <v>4.2</v>
      </c>
      <c r="G88" s="17">
        <f>G84*Assumptions!G42</f>
        <v>6.1875</v>
      </c>
      <c r="H88" s="17">
        <f>H84*Assumptions!H42</f>
        <v>8.4</v>
      </c>
    </row>
    <row r="89" spans="1:8" ht="15" customHeight="1" x14ac:dyDescent="0.25">
      <c r="A89" s="23" t="s">
        <v>102</v>
      </c>
      <c r="B89" s="24" t="s">
        <v>96</v>
      </c>
      <c r="C89" s="19">
        <f t="shared" ref="C89:H89" si="23">C86-C87-C88</f>
        <v>-1.2000000000000002</v>
      </c>
      <c r="D89" s="19">
        <f t="shared" si="23"/>
        <v>-1.7999999999999998</v>
      </c>
      <c r="E89" s="19">
        <f t="shared" si="23"/>
        <v>-2.5499999999999994</v>
      </c>
      <c r="F89" s="19">
        <f t="shared" si="23"/>
        <v>-2.8875000000000002</v>
      </c>
      <c r="G89" s="19">
        <f t="shared" si="23"/>
        <v>-2.8875000000000011</v>
      </c>
      <c r="H89" s="19">
        <f t="shared" si="23"/>
        <v>-1.2000000000000011</v>
      </c>
    </row>
    <row r="90" spans="1:8" ht="15" customHeight="1" x14ac:dyDescent="0.25">
      <c r="A90" s="32" t="s">
        <v>97</v>
      </c>
      <c r="B90" s="24" t="s">
        <v>98</v>
      </c>
      <c r="C90" s="33">
        <f t="shared" ref="C90:H90" si="24">IF(C84=0,"-",C89/C84)</f>
        <v>-0.30000000000000004</v>
      </c>
      <c r="D90" s="33">
        <f t="shared" si="24"/>
        <v>-0.23999999999999996</v>
      </c>
      <c r="E90" s="33">
        <f t="shared" si="24"/>
        <v>-0.16999999999999996</v>
      </c>
      <c r="F90" s="33">
        <f t="shared" si="24"/>
        <v>-0.11</v>
      </c>
      <c r="G90" s="33">
        <f t="shared" si="24"/>
        <v>-7.0000000000000021E-2</v>
      </c>
      <c r="H90" s="33">
        <f t="shared" si="24"/>
        <v>-2.0000000000000018E-2</v>
      </c>
    </row>
    <row r="92" spans="1:8" ht="13.5" customHeight="1" x14ac:dyDescent="0.25">
      <c r="A92" s="3" t="s">
        <v>67</v>
      </c>
      <c r="B92" s="3"/>
      <c r="C92" s="3"/>
      <c r="D92" s="3"/>
      <c r="E92" s="3"/>
      <c r="F92" s="3"/>
      <c r="G92" s="3"/>
      <c r="H92" s="3"/>
    </row>
    <row r="93" spans="1:8" ht="15" customHeight="1" x14ac:dyDescent="0.25">
      <c r="A93" s="8" t="s">
        <v>85</v>
      </c>
      <c r="B93" s="15" t="s">
        <v>103</v>
      </c>
      <c r="C93" s="17">
        <f t="shared" ref="C93:H93" si="25">C27</f>
        <v>2.5</v>
      </c>
      <c r="D93" s="17">
        <f t="shared" si="25"/>
        <v>4</v>
      </c>
      <c r="E93" s="17">
        <f t="shared" si="25"/>
        <v>7</v>
      </c>
      <c r="F93" s="17">
        <f t="shared" si="25"/>
        <v>11</v>
      </c>
      <c r="G93" s="17">
        <f t="shared" si="25"/>
        <v>17</v>
      </c>
      <c r="H93" s="17">
        <f t="shared" si="25"/>
        <v>25</v>
      </c>
    </row>
    <row r="94" spans="1:8" ht="15" customHeight="1" x14ac:dyDescent="0.25">
      <c r="A94" s="8" t="s">
        <v>87</v>
      </c>
      <c r="B94" s="15" t="s">
        <v>88</v>
      </c>
      <c r="C94" s="31">
        <f>Assumptions!C35</f>
        <v>0.42</v>
      </c>
      <c r="D94" s="31">
        <f>Assumptions!D35</f>
        <v>0.43</v>
      </c>
      <c r="E94" s="31">
        <f>Assumptions!E35</f>
        <v>0.44</v>
      </c>
      <c r="F94" s="31">
        <f>Assumptions!F35</f>
        <v>0.45</v>
      </c>
      <c r="G94" s="31">
        <f>Assumptions!G35</f>
        <v>0.46</v>
      </c>
      <c r="H94" s="31">
        <f>Assumptions!H35</f>
        <v>0.47</v>
      </c>
    </row>
    <row r="95" spans="1:8" ht="15" customHeight="1" x14ac:dyDescent="0.25">
      <c r="A95" s="18" t="s">
        <v>89</v>
      </c>
      <c r="B95" s="15" t="s">
        <v>90</v>
      </c>
      <c r="C95" s="19">
        <f t="shared" ref="C95:H95" si="26">C93*C94</f>
        <v>1.05</v>
      </c>
      <c r="D95" s="19">
        <f t="shared" si="26"/>
        <v>1.72</v>
      </c>
      <c r="E95" s="19">
        <f t="shared" si="26"/>
        <v>3.08</v>
      </c>
      <c r="F95" s="19">
        <f t="shared" si="26"/>
        <v>4.95</v>
      </c>
      <c r="G95" s="19">
        <f t="shared" si="26"/>
        <v>7.82</v>
      </c>
      <c r="H95" s="19">
        <f t="shared" si="26"/>
        <v>11.75</v>
      </c>
    </row>
    <row r="96" spans="1:8" ht="15" customHeight="1" x14ac:dyDescent="0.25">
      <c r="A96" s="8" t="s">
        <v>91</v>
      </c>
      <c r="B96" s="15" t="s">
        <v>92</v>
      </c>
      <c r="C96" s="17">
        <f>C93*Assumptions!C39</f>
        <v>0.95</v>
      </c>
      <c r="D96" s="17">
        <f>D93*Assumptions!D39</f>
        <v>1.4</v>
      </c>
      <c r="E96" s="17">
        <f>E93*Assumptions!E39</f>
        <v>2.2400000000000002</v>
      </c>
      <c r="F96" s="17">
        <f>F93*Assumptions!F39</f>
        <v>3.3</v>
      </c>
      <c r="G96" s="17">
        <f>G93*Assumptions!G39</f>
        <v>4.7600000000000007</v>
      </c>
      <c r="H96" s="17">
        <f>H93*Assumptions!H39</f>
        <v>6.5</v>
      </c>
    </row>
    <row r="97" spans="1:8" ht="15" customHeight="1" x14ac:dyDescent="0.25">
      <c r="A97" s="8" t="s">
        <v>93</v>
      </c>
      <c r="B97" s="15" t="s">
        <v>94</v>
      </c>
      <c r="C97" s="17">
        <f>C93*Assumptions!C42</f>
        <v>0.55000000000000004</v>
      </c>
      <c r="D97" s="17">
        <f>D93*Assumptions!D42</f>
        <v>0.8</v>
      </c>
      <c r="E97" s="17">
        <f>E93*Assumptions!E42</f>
        <v>1.26</v>
      </c>
      <c r="F97" s="17">
        <f>F93*Assumptions!F42</f>
        <v>1.76</v>
      </c>
      <c r="G97" s="17">
        <f>G93*Assumptions!G42</f>
        <v>2.5499999999999998</v>
      </c>
      <c r="H97" s="17">
        <f>H93*Assumptions!H42</f>
        <v>3.5000000000000004</v>
      </c>
    </row>
    <row r="98" spans="1:8" ht="15" customHeight="1" x14ac:dyDescent="0.25">
      <c r="A98" s="23" t="s">
        <v>104</v>
      </c>
      <c r="B98" s="24" t="s">
        <v>96</v>
      </c>
      <c r="C98" s="19">
        <f t="shared" ref="C98:H98" si="27">C95-C96-C97</f>
        <v>-0.44999999999999996</v>
      </c>
      <c r="D98" s="19">
        <f t="shared" si="27"/>
        <v>-0.48</v>
      </c>
      <c r="E98" s="19">
        <f t="shared" si="27"/>
        <v>-0.42000000000000015</v>
      </c>
      <c r="F98" s="19">
        <f t="shared" si="27"/>
        <v>-0.10999999999999965</v>
      </c>
      <c r="G98" s="19">
        <f t="shared" si="27"/>
        <v>0.50999999999999979</v>
      </c>
      <c r="H98" s="19">
        <f t="shared" si="27"/>
        <v>1.7499999999999996</v>
      </c>
    </row>
    <row r="99" spans="1:8" ht="15" customHeight="1" x14ac:dyDescent="0.25">
      <c r="A99" s="32" t="s">
        <v>97</v>
      </c>
      <c r="B99" s="24" t="s">
        <v>98</v>
      </c>
      <c r="C99" s="33">
        <f t="shared" ref="C99:H99" si="28">IF(C93=0,"-",C98/C93)</f>
        <v>-0.18</v>
      </c>
      <c r="D99" s="33">
        <f t="shared" si="28"/>
        <v>-0.12</v>
      </c>
      <c r="E99" s="33">
        <f t="shared" si="28"/>
        <v>-6.0000000000000019E-2</v>
      </c>
      <c r="F99" s="33">
        <f t="shared" si="28"/>
        <v>-9.999999999999969E-3</v>
      </c>
      <c r="G99" s="33">
        <f t="shared" si="28"/>
        <v>2.9999999999999988E-2</v>
      </c>
      <c r="H99" s="33">
        <f t="shared" si="28"/>
        <v>6.9999999999999979E-2</v>
      </c>
    </row>
    <row r="101" spans="1:8" ht="13.5" customHeight="1" x14ac:dyDescent="0.25">
      <c r="A101" s="3" t="s">
        <v>69</v>
      </c>
      <c r="B101" s="3"/>
      <c r="C101" s="3"/>
      <c r="D101" s="3"/>
      <c r="E101" s="3"/>
      <c r="F101" s="3"/>
      <c r="G101" s="3"/>
      <c r="H101" s="3"/>
    </row>
    <row r="102" spans="1:8" ht="15" customHeight="1" x14ac:dyDescent="0.25">
      <c r="A102" s="8" t="s">
        <v>85</v>
      </c>
      <c r="B102" s="15" t="s">
        <v>105</v>
      </c>
      <c r="C102" s="17">
        <f t="shared" ref="C102:H102" si="29">C33</f>
        <v>2.8</v>
      </c>
      <c r="D102" s="17">
        <f t="shared" si="29"/>
        <v>4</v>
      </c>
      <c r="E102" s="17">
        <f t="shared" si="29"/>
        <v>7.2</v>
      </c>
      <c r="F102" s="17">
        <f t="shared" si="29"/>
        <v>11.2</v>
      </c>
      <c r="G102" s="17">
        <f t="shared" si="29"/>
        <v>16.8</v>
      </c>
      <c r="H102" s="17">
        <f t="shared" si="29"/>
        <v>24</v>
      </c>
    </row>
    <row r="103" spans="1:8" ht="15" customHeight="1" x14ac:dyDescent="0.25">
      <c r="A103" s="8" t="s">
        <v>87</v>
      </c>
      <c r="B103" s="15" t="s">
        <v>88</v>
      </c>
      <c r="C103" s="31">
        <f>Assumptions!C36</f>
        <v>0.44</v>
      </c>
      <c r="D103" s="31">
        <f>Assumptions!D36</f>
        <v>0.44</v>
      </c>
      <c r="E103" s="31">
        <f>Assumptions!E36</f>
        <v>0.45</v>
      </c>
      <c r="F103" s="31">
        <f>Assumptions!F36</f>
        <v>0.46</v>
      </c>
      <c r="G103" s="31">
        <f>Assumptions!G36</f>
        <v>0.47</v>
      </c>
      <c r="H103" s="31">
        <f>Assumptions!H36</f>
        <v>0.48</v>
      </c>
    </row>
    <row r="104" spans="1:8" ht="15" customHeight="1" x14ac:dyDescent="0.25">
      <c r="A104" s="18" t="s">
        <v>89</v>
      </c>
      <c r="B104" s="15" t="s">
        <v>90</v>
      </c>
      <c r="C104" s="19">
        <f t="shared" ref="C104:H104" si="30">C102*C103</f>
        <v>1.232</v>
      </c>
      <c r="D104" s="19">
        <f t="shared" si="30"/>
        <v>1.76</v>
      </c>
      <c r="E104" s="19">
        <f t="shared" si="30"/>
        <v>3.24</v>
      </c>
      <c r="F104" s="19">
        <f t="shared" si="30"/>
        <v>5.1520000000000001</v>
      </c>
      <c r="G104" s="19">
        <f t="shared" si="30"/>
        <v>7.8959999999999999</v>
      </c>
      <c r="H104" s="19">
        <f t="shared" si="30"/>
        <v>11.52</v>
      </c>
    </row>
    <row r="105" spans="1:8" ht="15" customHeight="1" x14ac:dyDescent="0.25">
      <c r="A105" s="8" t="s">
        <v>91</v>
      </c>
      <c r="B105" s="15" t="s">
        <v>92</v>
      </c>
      <c r="C105" s="17">
        <f>C102*Assumptions!C39</f>
        <v>1.0639999999999998</v>
      </c>
      <c r="D105" s="17">
        <f>D102*Assumptions!D39</f>
        <v>1.4</v>
      </c>
      <c r="E105" s="17">
        <f>E102*Assumptions!E39</f>
        <v>2.3040000000000003</v>
      </c>
      <c r="F105" s="17">
        <f>F102*Assumptions!F39</f>
        <v>3.36</v>
      </c>
      <c r="G105" s="17">
        <f>G102*Assumptions!G39</f>
        <v>4.7040000000000006</v>
      </c>
      <c r="H105" s="17">
        <f>H102*Assumptions!H39</f>
        <v>6.24</v>
      </c>
    </row>
    <row r="106" spans="1:8" ht="15" customHeight="1" x14ac:dyDescent="0.25">
      <c r="A106" s="8" t="s">
        <v>93</v>
      </c>
      <c r="B106" s="15" t="s">
        <v>94</v>
      </c>
      <c r="C106" s="17">
        <f>C102*Assumptions!C42</f>
        <v>0.61599999999999999</v>
      </c>
      <c r="D106" s="17">
        <f>D102*Assumptions!D42</f>
        <v>0.8</v>
      </c>
      <c r="E106" s="17">
        <f>E102*Assumptions!E42</f>
        <v>1.296</v>
      </c>
      <c r="F106" s="17">
        <f>F102*Assumptions!F42</f>
        <v>1.7919999999999998</v>
      </c>
      <c r="G106" s="17">
        <f>G102*Assumptions!G42</f>
        <v>2.52</v>
      </c>
      <c r="H106" s="17">
        <f>H102*Assumptions!H42</f>
        <v>3.3600000000000003</v>
      </c>
    </row>
    <row r="107" spans="1:8" ht="15" customHeight="1" x14ac:dyDescent="0.25">
      <c r="A107" s="23" t="s">
        <v>106</v>
      </c>
      <c r="B107" s="24" t="s">
        <v>96</v>
      </c>
      <c r="C107" s="19">
        <f t="shared" ref="C107:H107" si="31">C104-C105-C106</f>
        <v>-0.44799999999999984</v>
      </c>
      <c r="D107" s="19">
        <f t="shared" si="31"/>
        <v>-0.43999999999999995</v>
      </c>
      <c r="E107" s="19">
        <f t="shared" si="31"/>
        <v>-0.3600000000000001</v>
      </c>
      <c r="F107" s="19">
        <f t="shared" si="31"/>
        <v>0</v>
      </c>
      <c r="G107" s="19">
        <f t="shared" si="31"/>
        <v>0.67199999999999926</v>
      </c>
      <c r="H107" s="19">
        <f t="shared" si="31"/>
        <v>1.919999999999999</v>
      </c>
    </row>
    <row r="108" spans="1:8" ht="15" customHeight="1" x14ac:dyDescent="0.25">
      <c r="A108" s="32" t="s">
        <v>97</v>
      </c>
      <c r="B108" s="24" t="s">
        <v>98</v>
      </c>
      <c r="C108" s="33">
        <f t="shared" ref="C108:H108" si="32">IF(C102=0,"-",C107/C102)</f>
        <v>-0.15999999999999995</v>
      </c>
      <c r="D108" s="33">
        <f t="shared" si="32"/>
        <v>-0.10999999999999999</v>
      </c>
      <c r="E108" s="33">
        <f t="shared" si="32"/>
        <v>-5.000000000000001E-2</v>
      </c>
      <c r="F108" s="33">
        <f t="shared" si="32"/>
        <v>0</v>
      </c>
      <c r="G108" s="33">
        <f t="shared" si="32"/>
        <v>3.9999999999999952E-2</v>
      </c>
      <c r="H108" s="33">
        <f t="shared" si="32"/>
        <v>7.999999999999996E-2</v>
      </c>
    </row>
    <row r="110" spans="1:8" ht="15.75" customHeight="1" x14ac:dyDescent="0.25">
      <c r="A110" s="5" t="s">
        <v>107</v>
      </c>
      <c r="B110" s="5"/>
      <c r="C110" s="5"/>
      <c r="D110" s="5"/>
      <c r="E110" s="5"/>
      <c r="F110" s="5"/>
      <c r="G110" s="5"/>
      <c r="H110" s="5"/>
    </row>
    <row r="111" spans="1:8" ht="15" customHeight="1" x14ac:dyDescent="0.25">
      <c r="A111" s="18" t="s">
        <v>108</v>
      </c>
      <c r="B111" s="15" t="s">
        <v>109</v>
      </c>
      <c r="C111" s="34">
        <f t="shared" ref="C111:H111" si="33">C43</f>
        <v>30.966200000000001</v>
      </c>
      <c r="D111" s="34">
        <f t="shared" si="33"/>
        <v>44.499499999999998</v>
      </c>
      <c r="E111" s="34">
        <f t="shared" si="33"/>
        <v>75.199449999999999</v>
      </c>
      <c r="F111" s="34">
        <f t="shared" si="33"/>
        <v>118.449375</v>
      </c>
      <c r="G111" s="34">
        <f t="shared" si="33"/>
        <v>180.04925000000003</v>
      </c>
      <c r="H111" s="34">
        <f t="shared" si="33"/>
        <v>263.99912499999999</v>
      </c>
    </row>
    <row r="112" spans="1:8" ht="15" customHeight="1" x14ac:dyDescent="0.25">
      <c r="A112" s="8" t="s">
        <v>110</v>
      </c>
      <c r="B112" s="15" t="s">
        <v>111</v>
      </c>
      <c r="C112" s="17">
        <f t="shared" ref="C112:H112" si="34">C68+C77+C86+C95+C104</f>
        <v>11.641831999999999</v>
      </c>
      <c r="D112" s="17">
        <f t="shared" si="34"/>
        <v>17.304825000000001</v>
      </c>
      <c r="E112" s="17">
        <f t="shared" si="34"/>
        <v>31.229813</v>
      </c>
      <c r="F112" s="17">
        <f t="shared" si="34"/>
        <v>51.639287500000009</v>
      </c>
      <c r="G112" s="17">
        <f t="shared" si="34"/>
        <v>80.965752499999994</v>
      </c>
      <c r="H112" s="17">
        <f t="shared" si="34"/>
        <v>123.61971124999999</v>
      </c>
    </row>
    <row r="113" spans="1:8" ht="15" customHeight="1" x14ac:dyDescent="0.25">
      <c r="A113" s="20" t="s">
        <v>112</v>
      </c>
      <c r="B113" s="35" t="s">
        <v>113</v>
      </c>
      <c r="C113" s="36">
        <f t="shared" ref="C113:H113" si="35">IF(C111=0,"-",C112/C111)</f>
        <v>0.37595287765369978</v>
      </c>
      <c r="D113" s="36">
        <f t="shared" si="35"/>
        <v>0.3888768413128238</v>
      </c>
      <c r="E113" s="36">
        <f t="shared" si="35"/>
        <v>0.41529310387243523</v>
      </c>
      <c r="F113" s="36">
        <f t="shared" si="35"/>
        <v>0.4359608271466186</v>
      </c>
      <c r="G113" s="36">
        <f t="shared" si="35"/>
        <v>0.44968669683433826</v>
      </c>
      <c r="H113" s="36">
        <f t="shared" si="35"/>
        <v>0.46825803399916571</v>
      </c>
    </row>
    <row r="114" spans="1:8" ht="15" customHeight="1" x14ac:dyDescent="0.25">
      <c r="A114" s="8" t="s">
        <v>114</v>
      </c>
      <c r="B114" s="15" t="s">
        <v>115</v>
      </c>
      <c r="C114" s="17">
        <f>C111*Assumptions!C39</f>
        <v>11.767156</v>
      </c>
      <c r="D114" s="17">
        <f>D111*Assumptions!D39</f>
        <v>15.574824999999999</v>
      </c>
      <c r="E114" s="17">
        <f>E111*Assumptions!E39</f>
        <v>24.063824</v>
      </c>
      <c r="F114" s="17">
        <f>F111*Assumptions!F39</f>
        <v>35.534812500000001</v>
      </c>
      <c r="G114" s="17">
        <f>G111*Assumptions!G39</f>
        <v>50.413790000000013</v>
      </c>
      <c r="H114" s="17">
        <f>H111*Assumptions!H39</f>
        <v>68.639772500000007</v>
      </c>
    </row>
    <row r="115" spans="1:8" ht="15" customHeight="1" x14ac:dyDescent="0.25">
      <c r="A115" s="8" t="s">
        <v>116</v>
      </c>
      <c r="B115" s="15" t="s">
        <v>115</v>
      </c>
      <c r="C115" s="17">
        <f>C111*Assumptions!C42</f>
        <v>6.8125640000000001</v>
      </c>
      <c r="D115" s="17">
        <f>D111*Assumptions!D42</f>
        <v>8.8999000000000006</v>
      </c>
      <c r="E115" s="17">
        <f>E111*Assumptions!E42</f>
        <v>13.535900999999999</v>
      </c>
      <c r="F115" s="17">
        <f>F111*Assumptions!F42</f>
        <v>18.951900000000002</v>
      </c>
      <c r="G115" s="17">
        <f>G111*Assumptions!G42</f>
        <v>27.007387500000004</v>
      </c>
      <c r="H115" s="17">
        <f>H111*Assumptions!H42</f>
        <v>36.959877500000005</v>
      </c>
    </row>
    <row r="116" spans="1:8" ht="15" customHeight="1" x14ac:dyDescent="0.25">
      <c r="A116" s="23" t="s">
        <v>117</v>
      </c>
      <c r="B116" s="24" t="s">
        <v>118</v>
      </c>
      <c r="C116" s="19">
        <f t="shared" ref="C116:H116" si="36">C112-C114-C115</f>
        <v>-6.9378880000000009</v>
      </c>
      <c r="D116" s="19">
        <f t="shared" si="36"/>
        <v>-7.1698999999999984</v>
      </c>
      <c r="E116" s="19">
        <f t="shared" si="36"/>
        <v>-6.3699119999999994</v>
      </c>
      <c r="F116" s="19">
        <f t="shared" si="36"/>
        <v>-2.8474249999999941</v>
      </c>
      <c r="G116" s="19">
        <f t="shared" si="36"/>
        <v>3.5445749999999769</v>
      </c>
      <c r="H116" s="19">
        <f t="shared" si="36"/>
        <v>18.020061249999983</v>
      </c>
    </row>
    <row r="117" spans="1:8" ht="15" customHeight="1" x14ac:dyDescent="0.25">
      <c r="A117" s="23" t="s">
        <v>97</v>
      </c>
      <c r="B117" s="24" t="s">
        <v>98</v>
      </c>
      <c r="C117" s="30">
        <f t="shared" ref="C117:H117" si="37">IF(C111=0,"-",C116/C111)</f>
        <v>-0.2240471223463002</v>
      </c>
      <c r="D117" s="30">
        <f t="shared" si="37"/>
        <v>-0.16112315868717622</v>
      </c>
      <c r="E117" s="30">
        <f t="shared" si="37"/>
        <v>-8.4706896127564754E-2</v>
      </c>
      <c r="F117" s="30">
        <f t="shared" si="37"/>
        <v>-2.4039172853381405E-2</v>
      </c>
      <c r="G117" s="30">
        <f t="shared" si="37"/>
        <v>1.9686696834338251E-2</v>
      </c>
      <c r="H117" s="30">
        <f t="shared" si="37"/>
        <v>6.8258033999165663E-2</v>
      </c>
    </row>
    <row r="119" spans="1:8" ht="15.75" customHeight="1" x14ac:dyDescent="0.25">
      <c r="A119" s="3" t="s">
        <v>119</v>
      </c>
      <c r="B119" s="3"/>
      <c r="C119" s="3"/>
      <c r="D119" s="3"/>
      <c r="E119" s="3"/>
      <c r="F119" s="3"/>
      <c r="G119" s="3"/>
      <c r="H119" s="3"/>
    </row>
    <row r="120" spans="1:8" ht="15" customHeight="1" x14ac:dyDescent="0.25">
      <c r="A120" s="20" t="s">
        <v>36</v>
      </c>
      <c r="B120" s="21"/>
      <c r="C120" s="22">
        <f t="shared" ref="C120:H120" si="38">C71</f>
        <v>-0.36000000000000021</v>
      </c>
      <c r="D120" s="22">
        <f t="shared" si="38"/>
        <v>-0.44999999999999996</v>
      </c>
      <c r="E120" s="22">
        <f t="shared" si="38"/>
        <v>0.48000000000000043</v>
      </c>
      <c r="F120" s="22">
        <f t="shared" si="38"/>
        <v>3.1500000000000012</v>
      </c>
      <c r="G120" s="22">
        <f t="shared" si="38"/>
        <v>8.2499999999999964</v>
      </c>
      <c r="H120" s="22">
        <f t="shared" si="38"/>
        <v>17.999999999999996</v>
      </c>
    </row>
    <row r="121" spans="1:8" ht="15" customHeight="1" x14ac:dyDescent="0.25">
      <c r="A121" s="20" t="s">
        <v>38</v>
      </c>
      <c r="B121" s="21"/>
      <c r="C121" s="22">
        <f t="shared" ref="C121:H121" si="39">C80</f>
        <v>-4.4798880000000008</v>
      </c>
      <c r="D121" s="22">
        <f t="shared" si="39"/>
        <v>-3.9999000000000002</v>
      </c>
      <c r="E121" s="22">
        <f t="shared" si="39"/>
        <v>-3.5199120000000002</v>
      </c>
      <c r="F121" s="22">
        <f t="shared" si="39"/>
        <v>-2.9999250000000002</v>
      </c>
      <c r="G121" s="22">
        <f t="shared" si="39"/>
        <v>-2.9999250000000011</v>
      </c>
      <c r="H121" s="22">
        <f t="shared" si="39"/>
        <v>-2.4499387500000012</v>
      </c>
    </row>
    <row r="122" spans="1:8" ht="15" customHeight="1" x14ac:dyDescent="0.25">
      <c r="A122" s="20" t="s">
        <v>40</v>
      </c>
      <c r="B122" s="21"/>
      <c r="C122" s="22">
        <f t="shared" ref="C122:H122" si="40">C89</f>
        <v>-1.2000000000000002</v>
      </c>
      <c r="D122" s="22">
        <f t="shared" si="40"/>
        <v>-1.7999999999999998</v>
      </c>
      <c r="E122" s="22">
        <f t="shared" si="40"/>
        <v>-2.5499999999999994</v>
      </c>
      <c r="F122" s="22">
        <f t="shared" si="40"/>
        <v>-2.8875000000000002</v>
      </c>
      <c r="G122" s="22">
        <f t="shared" si="40"/>
        <v>-2.8875000000000011</v>
      </c>
      <c r="H122" s="22">
        <f t="shared" si="40"/>
        <v>-1.2000000000000011</v>
      </c>
    </row>
    <row r="123" spans="1:8" ht="15" customHeight="1" x14ac:dyDescent="0.25">
      <c r="A123" s="20" t="s">
        <v>42</v>
      </c>
      <c r="B123" s="21"/>
      <c r="C123" s="22">
        <f t="shared" ref="C123:H123" si="41">C98</f>
        <v>-0.44999999999999996</v>
      </c>
      <c r="D123" s="22">
        <f t="shared" si="41"/>
        <v>-0.48</v>
      </c>
      <c r="E123" s="22">
        <f t="shared" si="41"/>
        <v>-0.42000000000000015</v>
      </c>
      <c r="F123" s="22">
        <f t="shared" si="41"/>
        <v>-0.10999999999999965</v>
      </c>
      <c r="G123" s="22">
        <f t="shared" si="41"/>
        <v>0.50999999999999979</v>
      </c>
      <c r="H123" s="22">
        <f t="shared" si="41"/>
        <v>1.7499999999999996</v>
      </c>
    </row>
    <row r="124" spans="1:8" ht="15" customHeight="1" x14ac:dyDescent="0.25">
      <c r="A124" s="20" t="s">
        <v>44</v>
      </c>
      <c r="B124" s="21"/>
      <c r="C124" s="22">
        <f t="shared" ref="C124:H124" si="42">C107</f>
        <v>-0.44799999999999984</v>
      </c>
      <c r="D124" s="22">
        <f t="shared" si="42"/>
        <v>-0.43999999999999995</v>
      </c>
      <c r="E124" s="22">
        <f t="shared" si="42"/>
        <v>-0.3600000000000001</v>
      </c>
      <c r="F124" s="22">
        <f t="shared" si="42"/>
        <v>0</v>
      </c>
      <c r="G124" s="22">
        <f t="shared" si="42"/>
        <v>0.67199999999999926</v>
      </c>
      <c r="H124" s="22">
        <f t="shared" si="42"/>
        <v>1.919999999999999</v>
      </c>
    </row>
    <row r="126" spans="1:8" ht="15.75" customHeight="1" x14ac:dyDescent="0.25">
      <c r="A126" s="3" t="s">
        <v>120</v>
      </c>
      <c r="B126" s="3"/>
      <c r="C126" s="3"/>
      <c r="D126" s="3"/>
      <c r="E126" s="3"/>
      <c r="F126" s="3"/>
      <c r="G126" s="3"/>
      <c r="H126" s="3"/>
    </row>
    <row r="127" spans="1:8" ht="15" customHeight="1" x14ac:dyDescent="0.25">
      <c r="A127" s="20" t="s">
        <v>36</v>
      </c>
      <c r="B127" s="21"/>
      <c r="C127" s="36">
        <f t="shared" ref="C127:H127" si="43">IF(C66=0,"-",C71/C66)</f>
        <v>-0.12000000000000006</v>
      </c>
      <c r="D127" s="36">
        <f t="shared" si="43"/>
        <v>-4.9999999999999996E-2</v>
      </c>
      <c r="E127" s="36">
        <f t="shared" si="43"/>
        <v>2.0000000000000018E-2</v>
      </c>
      <c r="F127" s="36">
        <f t="shared" si="43"/>
        <v>7.0000000000000034E-2</v>
      </c>
      <c r="G127" s="36">
        <f t="shared" si="43"/>
        <v>0.10999999999999996</v>
      </c>
      <c r="H127" s="36">
        <f t="shared" si="43"/>
        <v>0.14999999999999997</v>
      </c>
    </row>
    <row r="128" spans="1:8" ht="15" customHeight="1" x14ac:dyDescent="0.25">
      <c r="A128" s="20" t="s">
        <v>38</v>
      </c>
      <c r="B128" s="21"/>
      <c r="C128" s="36">
        <f t="shared" ref="C128:H128" si="44">IF(C75=0,"-",C80/C75)</f>
        <v>-0.24000000000000005</v>
      </c>
      <c r="D128" s="36">
        <f t="shared" si="44"/>
        <v>-0.2</v>
      </c>
      <c r="E128" s="36">
        <f t="shared" si="44"/>
        <v>-0.16</v>
      </c>
      <c r="F128" s="36">
        <f t="shared" si="44"/>
        <v>-0.12000000000000001</v>
      </c>
      <c r="G128" s="36">
        <f t="shared" si="44"/>
        <v>-0.10000000000000003</v>
      </c>
      <c r="H128" s="36">
        <f t="shared" si="44"/>
        <v>-7.0000000000000034E-2</v>
      </c>
    </row>
    <row r="129" spans="1:8" ht="15" customHeight="1" x14ac:dyDescent="0.25">
      <c r="A129" s="20" t="s">
        <v>40</v>
      </c>
      <c r="B129" s="21"/>
      <c r="C129" s="36">
        <f t="shared" ref="C129:H129" si="45">IF(C84=0,"-",C89/C84)</f>
        <v>-0.30000000000000004</v>
      </c>
      <c r="D129" s="36">
        <f t="shared" si="45"/>
        <v>-0.23999999999999996</v>
      </c>
      <c r="E129" s="36">
        <f t="shared" si="45"/>
        <v>-0.16999999999999996</v>
      </c>
      <c r="F129" s="36">
        <f t="shared" si="45"/>
        <v>-0.11</v>
      </c>
      <c r="G129" s="36">
        <f t="shared" si="45"/>
        <v>-7.0000000000000021E-2</v>
      </c>
      <c r="H129" s="36">
        <f t="shared" si="45"/>
        <v>-2.0000000000000018E-2</v>
      </c>
    </row>
    <row r="130" spans="1:8" ht="15" customHeight="1" x14ac:dyDescent="0.25">
      <c r="A130" s="20" t="s">
        <v>42</v>
      </c>
      <c r="B130" s="21"/>
      <c r="C130" s="36">
        <f t="shared" ref="C130:H130" si="46">IF(C93=0,"-",C98/C93)</f>
        <v>-0.18</v>
      </c>
      <c r="D130" s="36">
        <f t="shared" si="46"/>
        <v>-0.12</v>
      </c>
      <c r="E130" s="36">
        <f t="shared" si="46"/>
        <v>-6.0000000000000019E-2</v>
      </c>
      <c r="F130" s="36">
        <f t="shared" si="46"/>
        <v>-9.999999999999969E-3</v>
      </c>
      <c r="G130" s="36">
        <f t="shared" si="46"/>
        <v>2.9999999999999988E-2</v>
      </c>
      <c r="H130" s="36">
        <f t="shared" si="46"/>
        <v>6.9999999999999979E-2</v>
      </c>
    </row>
    <row r="131" spans="1:8" ht="15" customHeight="1" x14ac:dyDescent="0.25">
      <c r="A131" s="20" t="s">
        <v>44</v>
      </c>
      <c r="B131" s="21"/>
      <c r="C131" s="36">
        <f t="shared" ref="C131:H131" si="47">IF(C102=0,"-",C107/C102)</f>
        <v>-0.15999999999999995</v>
      </c>
      <c r="D131" s="36">
        <f t="shared" si="47"/>
        <v>-0.10999999999999999</v>
      </c>
      <c r="E131" s="36">
        <f t="shared" si="47"/>
        <v>-5.000000000000001E-2</v>
      </c>
      <c r="F131" s="36">
        <f t="shared" si="47"/>
        <v>0</v>
      </c>
      <c r="G131" s="36">
        <f t="shared" si="47"/>
        <v>3.9999999999999952E-2</v>
      </c>
      <c r="H131" s="36">
        <f t="shared" si="47"/>
        <v>7.999999999999996E-2</v>
      </c>
    </row>
    <row r="132" spans="1:8" ht="15" customHeight="1" x14ac:dyDescent="0.25">
      <c r="A132" s="23" t="s">
        <v>121</v>
      </c>
      <c r="B132" s="28"/>
      <c r="C132" s="30">
        <f t="shared" ref="C132:H132" si="48">IF(C111=0,"-",C116/C111)</f>
        <v>-0.2240471223463002</v>
      </c>
      <c r="D132" s="30">
        <f t="shared" si="48"/>
        <v>-0.16112315868717622</v>
      </c>
      <c r="E132" s="30">
        <f t="shared" si="48"/>
        <v>-8.4706896127564754E-2</v>
      </c>
      <c r="F132" s="30">
        <f t="shared" si="48"/>
        <v>-2.4039172853381405E-2</v>
      </c>
      <c r="G132" s="30">
        <f t="shared" si="48"/>
        <v>1.9686696834338251E-2</v>
      </c>
      <c r="H132" s="30">
        <f t="shared" si="48"/>
        <v>6.8258033999165663E-2</v>
      </c>
    </row>
  </sheetData>
  <mergeCells count="19">
    <mergeCell ref="A101:H101"/>
    <mergeCell ref="A110:H110"/>
    <mergeCell ref="A119:H119"/>
    <mergeCell ref="A126:H126"/>
    <mergeCell ref="A64:H64"/>
    <mergeCell ref="A65:H65"/>
    <mergeCell ref="A74:H74"/>
    <mergeCell ref="A83:H83"/>
    <mergeCell ref="A92:H92"/>
    <mergeCell ref="A23:H23"/>
    <mergeCell ref="A29:H29"/>
    <mergeCell ref="A35:H35"/>
    <mergeCell ref="A45:H45"/>
    <mergeCell ref="A53:H53"/>
    <mergeCell ref="A1:H1"/>
    <mergeCell ref="A2:H2"/>
    <mergeCell ref="A5:H5"/>
    <mergeCell ref="A11:H11"/>
    <mergeCell ref="A17:H1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Assumptions</vt:lpstr>
      <vt:lpstr>Revenue 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Tomohawk WR</cp:lastModifiedBy>
  <cp:revision>0</cp:revision>
  <dcterms:created xsi:type="dcterms:W3CDTF">2026-06-01T02:41:14Z</dcterms:created>
  <dcterms:modified xsi:type="dcterms:W3CDTF">2026-06-01T21:26:04Z</dcterms:modified>
  <dc:language>en-US</dc:language>
</cp:coreProperties>
</file>