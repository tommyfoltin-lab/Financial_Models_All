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tandalone" sheetId="3" state="visible" r:id="rId5"/>
    <sheet name="Deal &amp; Accretion" sheetId="4" state="visible" r:id="rId6"/>
    <sheet name="Sensitivity" sheetId="5" state="visible" r:id="rId7"/>
    <sheet name="Value Cre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<sst xmlns="http://schemas.openxmlformats.org/spreadsheetml/2006/main" count="177" uniqueCount="162">
  <si>
    <t xml:space="preserve">onsemi / Synaptics  -  $7B All-Stock Acquisition  -  Deal Summary</t>
  </si>
  <si>
    <t xml:space="preserve">Announced 6/25/2026.  All-stock, fixed 1.350 exchange ratio.  Target close mid-2027.  $ in millions except per-share.</t>
  </si>
  <si>
    <t xml:space="preserve">DEAL TERMS</t>
  </si>
  <si>
    <t xml:space="preserve">MARKET REACTION</t>
  </si>
  <si>
    <t xml:space="preserve">Enterprise value</t>
  </si>
  <si>
    <t xml:space="preserve">onsemi market cap change today</t>
  </si>
  <si>
    <t xml:space="preserve">Exchange ratio (ON per SYNA)</t>
  </si>
  <si>
    <t xml:space="preserve">Mkt cap loss / deal EV</t>
  </si>
  <si>
    <t xml:space="preserve">Premium (10-day VWAP)</t>
  </si>
  <si>
    <t xml:space="preserve">Control premium paid</t>
  </si>
  <si>
    <t xml:space="preserve">New ON shares issued (mm)</t>
  </si>
  <si>
    <t xml:space="preserve">Synergy value (perpetuity)</t>
  </si>
  <si>
    <t xml:space="preserve">SYNA holders ownership %</t>
  </si>
  <si>
    <t xml:space="preserve">Net value creation (if synergies real)</t>
  </si>
  <si>
    <t xml:space="preserve">Target synergies (pretax)</t>
  </si>
  <si>
    <t xml:space="preserve">SYNA termination fee</t>
  </si>
  <si>
    <t xml:space="preserve">VERDICT</t>
  </si>
  <si>
    <t xml:space="preserve">ON reverse termination fee</t>
  </si>
  <si>
    <t xml:space="preserve">Crash is roughly half deal-skepticism, half unrelated sector beta. EPS accretion is fixed and positive but synergy-dependent. China SAMR is the binding regulatory risk and the reason for the mid-2027 close and the $320M reverse breakup fee. On EPS math and the cheaper post-crash multiple it is defensible; on strategic drift and execution it is not de-risked. Stance: Hold.</t>
  </si>
  <si>
    <t xml:space="preserve">MULTIPLES PAID (announcement)</t>
  </si>
  <si>
    <t xml:space="preserve">EV / Revenue</t>
  </si>
  <si>
    <t xml:space="preserve">EV / EBITDA</t>
  </si>
  <si>
    <t xml:space="preserve">P/E (non-GAAP)</t>
  </si>
  <si>
    <t xml:space="preserve">ACCRETION / (DILUTION), non-GAAP EPS</t>
  </si>
  <si>
    <t xml:space="preserve">No synergies</t>
  </si>
  <si>
    <t xml:space="preserve">Year 1 (50% synergies)</t>
  </si>
  <si>
    <t xml:space="preserve">Full run-rate synergies</t>
  </si>
  <si>
    <t xml:space="preserve">Tabs: Summary | Assumptions (inputs) | Standalone | Deal &amp; Accretion | Sensitivity | Value Creation</t>
  </si>
  <si>
    <t xml:space="preserve">onsemi (ON) / Synaptics (SYNA)  -  Deal Model Assumptions</t>
  </si>
  <si>
    <t xml:space="preserve">All figures $ in millions unless noted.  Blue = input.  Announced 6/25/2026.  Share counts estimated pending S-4/proxy.</t>
  </si>
  <si>
    <t xml:space="preserve">ONSEMI (ON) STANDALONE  -  FY2026E</t>
  </si>
  <si>
    <t xml:space="preserve">ON Revenue ($mm)</t>
  </si>
  <si>
    <t xml:space="preserve">Est. Q1'26 actual $1,513M + Q2'26 guide mid $1,585M, modest H2 recovery</t>
  </si>
  <si>
    <t xml:space="preserve">ON Non-GAAP gross margin (%)</t>
  </si>
  <si>
    <t xml:space="preserve">Source: onsemi Q1'26 release, 5/4/2026</t>
  </si>
  <si>
    <t xml:space="preserve">ON Non-GAAP operating expenses ($mm)</t>
  </si>
  <si>
    <t xml:space="preserve">Est. ~$295-300M/qtr run-rate</t>
  </si>
  <si>
    <t xml:space="preserve">ON Net interest &amp; other ($mm)</t>
  </si>
  <si>
    <t xml:space="preserve">Estimate</t>
  </si>
  <si>
    <t xml:space="preserve">ON Non-GAAP tax rate (%)</t>
  </si>
  <si>
    <t xml:space="preserve">ON Diluted shares (mm)</t>
  </si>
  <si>
    <t xml:space="preserve">Source: onsemi Q1'26 non-GAAP diluted share count</t>
  </si>
  <si>
    <t xml:space="preserve">ON share price - announcement ($)</t>
  </si>
  <si>
    <t xml:space="preserve">Close Thu 6/25/2026</t>
  </si>
  <si>
    <t xml:space="preserve">ON share price - current ($)</t>
  </si>
  <si>
    <t xml:space="preserve">Intraday 6/26/2026</t>
  </si>
  <si>
    <t xml:space="preserve">SYNAPTICS (SYNA) STANDALONE  -  FY2026E</t>
  </si>
  <si>
    <t xml:space="preserve">SYNA Revenue ($mm)</t>
  </si>
  <si>
    <t xml:space="preserve">Q1 $292.5 + Q2 est ~$291 + Q3 $294.2 + Q4 guide $305</t>
  </si>
  <si>
    <t xml:space="preserve">SYNA Non-GAAP gross margin (%)</t>
  </si>
  <si>
    <t xml:space="preserve">Source: SYNA Q3 FY26 release, 5/7/2026</t>
  </si>
  <si>
    <t xml:space="preserve">SYNA Non-GAAP operating expenses ($mm)</t>
  </si>
  <si>
    <t xml:space="preserve">~$105M/qtr (Q4 guide $105M)</t>
  </si>
  <si>
    <t xml:space="preserve">SYNA Net interest &amp; other ($mm)</t>
  </si>
  <si>
    <t xml:space="preserve">Est. (net of $837M debt / $404M cash)</t>
  </si>
  <si>
    <t xml:space="preserve">SYNA Non-GAAP tax rate (%)</t>
  </si>
  <si>
    <t xml:space="preserve">Calibrated to ~$176M run-rate non-GAAP NI</t>
  </si>
  <si>
    <t xml:space="preserve">SYNA D&amp;A ($mm)</t>
  </si>
  <si>
    <t xml:space="preserve">Estimate, for EBITDA</t>
  </si>
  <si>
    <t xml:space="preserve">SYNA Diluted shares (mm)</t>
  </si>
  <si>
    <t xml:space="preserve">Implied from Q3 $44.1M NI / $1.09 EPS</t>
  </si>
  <si>
    <t xml:space="preserve">SYNA share price - announcement ($)</t>
  </si>
  <si>
    <t xml:space="preserve">SYNA Cash ($mm)</t>
  </si>
  <si>
    <t xml:space="preserve">Source: SYNA balance sheet 3/28/2026</t>
  </si>
  <si>
    <t xml:space="preserve">SYNA Debt ($mm)</t>
  </si>
  <si>
    <t xml:space="preserve">Exchange ratio (ON shares per SYNA)</t>
  </si>
  <si>
    <t xml:space="preserve">Source: merger agreement, 6/25/2026</t>
  </si>
  <si>
    <t xml:space="preserve">Premium to 10-day VWAP (%)</t>
  </si>
  <si>
    <t xml:space="preserve">Stated in joint press release</t>
  </si>
  <si>
    <t xml:space="preserve">Synergies - pretax run-rate ($mm)</t>
  </si>
  <si>
    <t xml:space="preserve">Company target; cost/revenue split not disclosed</t>
  </si>
  <si>
    <t xml:space="preserve">Synergy phase-in - Year 1 (%)</t>
  </si>
  <si>
    <t xml:space="preserve">Assumption (full by ~18-24 mo.)</t>
  </si>
  <si>
    <t xml:space="preserve">Synergy tax rate (%)</t>
  </si>
  <si>
    <t xml:space="preserve">Assumption</t>
  </si>
  <si>
    <t xml:space="preserve">VALUE-CREATION INPUTS</t>
  </si>
  <si>
    <t xml:space="preserve">Discount rate (%)</t>
  </si>
  <si>
    <t xml:space="preserve">Assumption for synergy capitalization</t>
  </si>
  <si>
    <t xml:space="preserve">Synergy perpetuity growth (%)</t>
  </si>
  <si>
    <t xml:space="preserve">Standalone Operating Models  -  FY2026E Non-GAAP</t>
  </si>
  <si>
    <t xml:space="preserve">$ in millions except per-share</t>
  </si>
  <si>
    <t xml:space="preserve">onsemi</t>
  </si>
  <si>
    <t xml:space="preserve">Synaptics</t>
  </si>
  <si>
    <t xml:space="preserve">Revenue</t>
  </si>
  <si>
    <t xml:space="preserve">Gross profit</t>
  </si>
  <si>
    <t xml:space="preserve">  Gross margin %</t>
  </si>
  <si>
    <t xml:space="preserve">Operating expenses</t>
  </si>
  <si>
    <t xml:space="preserve">Operating income</t>
  </si>
  <si>
    <t xml:space="preserve">  Operating margin %</t>
  </si>
  <si>
    <t xml:space="preserve">Net interest &amp; other</t>
  </si>
  <si>
    <t xml:space="preserve">Pretax income</t>
  </si>
  <si>
    <t xml:space="preserve">Taxes</t>
  </si>
  <si>
    <t xml:space="preserve">Non-GAAP net income</t>
  </si>
  <si>
    <t xml:space="preserve">Diluted shares (mm)</t>
  </si>
  <si>
    <t xml:space="preserve">Non-GAAP EPS</t>
  </si>
  <si>
    <t xml:space="preserve">Memo: EBITDA</t>
  </si>
  <si>
    <t xml:space="preserve">ON EBITDA = op income (D&amp;A not modeled separately)</t>
  </si>
  <si>
    <t xml:space="preserve">Implied P/E at announcement px</t>
  </si>
  <si>
    <t xml:space="preserve">Deal Structure, Consideration &amp; Accretion / Dilution</t>
  </si>
  <si>
    <t xml:space="preserve">$ in millions except per-share and ratios</t>
  </si>
  <si>
    <t xml:space="preserve">CONSIDERATION</t>
  </si>
  <si>
    <t xml:space="preserve">Announcement</t>
  </si>
  <si>
    <t xml:space="preserve">Current px</t>
  </si>
  <si>
    <t xml:space="preserve">KEY POINT</t>
  </si>
  <si>
    <t xml:space="preserve">New onsemi shares issued (mm)</t>
  </si>
  <si>
    <t xml:space="preserve">The exchange ratio is fixed at 1.350, so shares issued do not move with onsemi's price. EPS accretion is price-independent: the crash does not change the +/- on EPS.</t>
  </si>
  <si>
    <t xml:space="preserve">Equity value to Synaptics</t>
  </si>
  <si>
    <t xml:space="preserve">(+) Net debt assumed</t>
  </si>
  <si>
    <t xml:space="preserve">MULTIPLES PAID</t>
  </si>
  <si>
    <t xml:space="preserve">What the price DID change: the multiple onsemi pays. ~5.9x sales at announcement vs ~4.7x post-crash. The drop made the deal cheaper for onsemi while leaving accretion intact.</t>
  </si>
  <si>
    <t xml:space="preserve">Equity value / non-GAAP NI (P/E)</t>
  </si>
  <si>
    <t xml:space="preserve">Premium to SYNA spot close</t>
  </si>
  <si>
    <t xml:space="preserve">Stated premium to 10-day VWAP</t>
  </si>
  <si>
    <t xml:space="preserve">PRO FORMA OWNERSHIP</t>
  </si>
  <si>
    <t xml:space="preserve">onsemi existing shares (mm)</t>
  </si>
  <si>
    <t xml:space="preserve">New shares to Synaptics (mm)</t>
  </si>
  <si>
    <t xml:space="preserve">Total pro forma shares (mm)</t>
  </si>
  <si>
    <t xml:space="preserve">  onsemi holders %</t>
  </si>
  <si>
    <t xml:space="preserve">  Synaptics holders %</t>
  </si>
  <si>
    <t xml:space="preserve">ACCRETION / (DILUTION)  -  illustrative full-year, non-GAAP</t>
  </si>
  <si>
    <t xml:space="preserve">Accretion lives on synergies. Strip them out and the deal is ~+3% EPS while handing over 12% of the company. The case rests on $200M of synergies not split between cost and revenue.</t>
  </si>
  <si>
    <t xml:space="preserve">Year 1 (50%)</t>
  </si>
  <si>
    <t xml:space="preserve">Full run-rate</t>
  </si>
  <si>
    <t xml:space="preserve">onsemi standalone net income</t>
  </si>
  <si>
    <t xml:space="preserve">(+) Synaptics net income</t>
  </si>
  <si>
    <t xml:space="preserve">(+) After-tax synergies</t>
  </si>
  <si>
    <t xml:space="preserve">Combined net income</t>
  </si>
  <si>
    <t xml:space="preserve">Pro forma shares (mm)</t>
  </si>
  <si>
    <t xml:space="preserve">Pro forma non-GAAP EPS</t>
  </si>
  <si>
    <t xml:space="preserve">onsemi standalone EPS</t>
  </si>
  <si>
    <t xml:space="preserve">Accretion / (dilution) $</t>
  </si>
  <si>
    <t xml:space="preserve">Accretion / (dilution) %</t>
  </si>
  <si>
    <t xml:space="preserve">Sensitivity Tables</t>
  </si>
  <si>
    <t xml:space="preserve">Full-year EPS accretion / (dilution) %   -   synergy realization (rows) x exchange ratio (cols)</t>
  </si>
  <si>
    <t xml:space="preserve">Synergy \ Ex-ratio</t>
  </si>
  <si>
    <t xml:space="preserve">What onsemi pays vs its share price  (fixed 1.350 ratio)</t>
  </si>
  <si>
    <t xml:space="preserve">onsemi price</t>
  </si>
  <si>
    <t xml:space="preserve">Equity value</t>
  </si>
  <si>
    <t xml:space="preserve">EV/Revenue</t>
  </si>
  <si>
    <t xml:space="preserve">EV/EBITDA</t>
  </si>
  <si>
    <t xml:space="preserve">Prem to SYNA spot</t>
  </si>
  <si>
    <t xml:space="preserve">Highlighted: current price $92.86 and announcement close $118.74.</t>
  </si>
  <si>
    <t xml:space="preserve">Value Creation &amp; Market Reaction</t>
  </si>
  <si>
    <t xml:space="preserve">$ in millions</t>
  </si>
  <si>
    <t xml:space="preserve">PREMIUM vs SYNERGY VALUE</t>
  </si>
  <si>
    <t xml:space="preserve">READ</t>
  </si>
  <si>
    <t xml:space="preserve">Offer equity value (announcement)</t>
  </si>
  <si>
    <t xml:space="preserve">•  If the $200M synergies are real and fully captured, capitalized value exceeds the control premium, so the deal creates value on paper.</t>
  </si>
  <si>
    <t xml:space="preserve">SYNA undisturbed equity (10-day VWAP basis)</t>
  </si>
  <si>
    <t xml:space="preserve">•  The market disagrees. onsemi shed roughly the entire deal value and more in market cap, far above the premium paid.</t>
  </si>
  <si>
    <t xml:space="preserve">After-tax synergy run-rate</t>
  </si>
  <si>
    <t xml:space="preserve">Synergy value (perpetuity, disc - growth)</t>
  </si>
  <si>
    <t xml:space="preserve">Net value creation (synergy value - premium)</t>
  </si>
  <si>
    <t xml:space="preserve">•  That gap is the market de-rating onsemi for strategic drift into edge compute, plus a same-day semis selloff (KOSPI halted, SK Hynix HBM scare, hawkish Fed) that is not deal-related.</t>
  </si>
  <si>
    <t xml:space="preserve">MARKET REACTION (today)</t>
  </si>
  <si>
    <t xml:space="preserve">onsemi market cap at announcement close</t>
  </si>
  <si>
    <t xml:space="preserve">•  Synergy value is highly sensitive to the discount rate and to whether the $200M is cost (credible) or revenue (speculative). Treat the perpetuity as an upper bound.</t>
  </si>
  <si>
    <t xml:space="preserve">onsemi market cap at current price</t>
  </si>
  <si>
    <t xml:space="preserve">Market cap change</t>
  </si>
  <si>
    <t xml:space="preserve">Deal enterprise value (announcement)</t>
  </si>
  <si>
    <t xml:space="preserve">•  Share counts are estimates pending the S-4/proxy. Refresh diluted shares, SYNA net debt, and consensus NI when filed.</t>
  </si>
  <si>
    <t xml:space="preserve">Mkt cap loss / premium paid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</si>
</sst>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00"/>
    <numFmt numFmtId="167" formatCode="0.0\x;\(0.0&quot;x)&quot;;\-"/>
    <numFmt numFmtId="168" formatCode="0.0%;\(0.0%\);\-"/>
    <numFmt numFmtId="169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D4" s="3" t="s">
        <v>3</v>
      </c>
      <c r="E4" s="3"/>
    </row>
    <row r="5" customFormat="false" ht="15" hidden="false" customHeight="false" outlineLevel="0" collapsed="false">
      <c r="A5" s="4" t="s">
        <v>4</v>
      </c>
      <c r="B5" s="5" t="n">
        <f aca="false">'Deal &amp; Accretion'!C8</f>
        <v>6924.4095</v>
      </c>
      <c r="D5" s="4" t="s">
        <v>5</v>
      </c>
      <c r="E5" s="5" t="n">
        <f aca="false">'Value Creation'!B16</f>
        <v>-10196.72</v>
      </c>
    </row>
    <row r="6" customFormat="false" ht="15" hidden="false" customHeight="false" outlineLevel="0" collapsed="false">
      <c r="A6" s="4" t="s">
        <v>6</v>
      </c>
      <c r="B6" s="6" t="n">
        <f aca="false">Assumptions!$B$25</f>
        <v>1.35</v>
      </c>
      <c r="D6" s="4" t="s">
        <v>7</v>
      </c>
      <c r="E6" s="7" t="n">
        <f aca="false">'Value Creation'!B19</f>
        <v>1.47257610919747</v>
      </c>
    </row>
    <row r="7" customFormat="false" ht="15" hidden="false" customHeight="false" outlineLevel="0" collapsed="false">
      <c r="A7" s="4" t="s">
        <v>8</v>
      </c>
      <c r="B7" s="8" t="n">
        <f aca="false">Assumptions!$B$26</f>
        <v>0.19</v>
      </c>
      <c r="D7" s="4" t="s">
        <v>9</v>
      </c>
      <c r="E7" s="5" t="n">
        <f aca="false">'Value Creation'!B7</f>
        <v>1036.55529831933</v>
      </c>
    </row>
    <row r="8" customFormat="false" ht="15" hidden="false" customHeight="false" outlineLevel="0" collapsed="false">
      <c r="A8" s="4" t="s">
        <v>10</v>
      </c>
      <c r="B8" s="5" t="n">
        <f aca="false">'Deal &amp; Accretion'!B5</f>
        <v>54.675</v>
      </c>
      <c r="D8" s="4" t="s">
        <v>11</v>
      </c>
      <c r="E8" s="5" t="n">
        <f aca="false">'Value Creation'!B10</f>
        <v>2100</v>
      </c>
    </row>
    <row r="9" customFormat="false" ht="15" hidden="false" customHeight="false" outlineLevel="0" collapsed="false">
      <c r="A9" s="4" t="s">
        <v>12</v>
      </c>
      <c r="B9" s="9" t="n">
        <f aca="false">'Deal &amp; Accretion'!B22</f>
        <v>0.121858806485764</v>
      </c>
      <c r="D9" s="10" t="s">
        <v>13</v>
      </c>
      <c r="E9" s="11" t="n">
        <f aca="false">'Value Creation'!B11</f>
        <v>1063.44470168067</v>
      </c>
    </row>
    <row r="10" customFormat="false" ht="15" hidden="false" customHeight="false" outlineLevel="0" collapsed="false">
      <c r="A10" s="4" t="s">
        <v>14</v>
      </c>
      <c r="B10" s="12" t="n">
        <f aca="false">Assumptions!$B$27</f>
        <v>200</v>
      </c>
    </row>
    <row r="11" customFormat="false" ht="15" hidden="false" customHeight="false" outlineLevel="0" collapsed="false">
      <c r="A11" s="4" t="s">
        <v>15</v>
      </c>
      <c r="B11" s="12" t="n">
        <v>235</v>
      </c>
      <c r="D11" s="3" t="s">
        <v>16</v>
      </c>
      <c r="E11" s="3"/>
    </row>
    <row r="12" customFormat="false" ht="15" hidden="false" customHeight="true" outlineLevel="0" collapsed="false">
      <c r="A12" s="4" t="s">
        <v>17</v>
      </c>
      <c r="B12" s="12" t="n">
        <v>320</v>
      </c>
      <c r="D12" s="13" t="s">
        <v>18</v>
      </c>
      <c r="E12" s="13"/>
    </row>
    <row r="13" customFormat="false" ht="15" hidden="false" customHeight="false" outlineLevel="0" collapsed="false">
      <c r="D13" s="13"/>
      <c r="E13" s="13"/>
    </row>
    <row r="14" customFormat="false" ht="15" hidden="false" customHeight="false" outlineLevel="0" collapsed="false">
      <c r="A14" s="3" t="s">
        <v>19</v>
      </c>
      <c r="B14" s="3"/>
      <c r="D14" s="13"/>
      <c r="E14" s="13"/>
    </row>
    <row r="15" customFormat="false" ht="15" hidden="false" customHeight="false" outlineLevel="0" collapsed="false">
      <c r="A15" s="4" t="s">
        <v>20</v>
      </c>
      <c r="B15" s="7" t="n">
        <f aca="false">'Deal &amp; Accretion'!C11</f>
        <v>5.85326246830093</v>
      </c>
      <c r="D15" s="13"/>
      <c r="E15" s="13"/>
    </row>
    <row r="16" customFormat="false" ht="15" hidden="false" customHeight="false" outlineLevel="0" collapsed="false">
      <c r="A16" s="4" t="s">
        <v>21</v>
      </c>
      <c r="B16" s="7" t="n">
        <f aca="false">'Deal &amp; Accretion'!C12</f>
        <v>26.7260911350584</v>
      </c>
      <c r="D16" s="13"/>
      <c r="E16" s="13"/>
    </row>
    <row r="17" customFormat="false" ht="15" hidden="false" customHeight="false" outlineLevel="0" collapsed="false">
      <c r="A17" s="4" t="s">
        <v>22</v>
      </c>
      <c r="B17" s="7" t="n">
        <f aca="false">'Deal &amp; Accretion'!C13</f>
        <v>36.9605625152434</v>
      </c>
      <c r="D17" s="13"/>
      <c r="E17" s="13"/>
    </row>
    <row r="18" customFormat="false" ht="15" hidden="false" customHeight="false" outlineLevel="0" collapsed="false">
      <c r="D18" s="13"/>
      <c r="E18" s="13"/>
    </row>
    <row r="19" customFormat="false" ht="15" hidden="false" customHeight="false" outlineLevel="0" collapsed="false">
      <c r="A19" s="3" t="s">
        <v>23</v>
      </c>
      <c r="B19" s="3"/>
      <c r="D19" s="13"/>
      <c r="E19" s="13"/>
    </row>
    <row r="20" customFormat="false" ht="15" hidden="false" customHeight="false" outlineLevel="0" collapsed="false">
      <c r="A20" s="4" t="s">
        <v>24</v>
      </c>
      <c r="B20" s="9" t="n">
        <f aca="false">'Deal &amp; Accretion'!B34</f>
        <v>0.0213187526991858</v>
      </c>
      <c r="D20" s="13"/>
      <c r="E20" s="13"/>
    </row>
    <row r="21" customFormat="false" ht="15" hidden="false" customHeight="false" outlineLevel="0" collapsed="false">
      <c r="A21" s="4" t="s">
        <v>25</v>
      </c>
      <c r="B21" s="9" t="n">
        <f aca="false">'Deal &amp; Accretion'!C34</f>
        <v>0.0897898009264166</v>
      </c>
    </row>
    <row r="22" customFormat="false" ht="15" hidden="false" customHeight="false" outlineLevel="0" collapsed="false">
      <c r="A22" s="10" t="s">
        <v>26</v>
      </c>
      <c r="B22" s="14" t="n">
        <f aca="false">'Deal &amp; Accretion'!D34</f>
        <v>0.158260849153648</v>
      </c>
    </row>
    <row r="24" customFormat="false" ht="15" hidden="false" customHeight="false" outlineLevel="0" collapsed="false">
      <c r="A24" s="15" t="s">
        <v>27</v>
      </c>
    </row>
  </sheetData>
  <mergeCells count="7">
    <mergeCell ref="A1:E1"/>
    <mergeCell ref="A4:B4"/>
    <mergeCell ref="D4:E4"/>
    <mergeCell ref="D11:E11"/>
    <mergeCell ref="D12:E20"/>
    <mergeCell ref="A14:B14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28</v>
      </c>
      <c r="B1" s="1"/>
      <c r="C1" s="1"/>
      <c r="D1" s="1"/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3" t="s">
        <v>30</v>
      </c>
      <c r="B4" s="3"/>
      <c r="C4" s="3"/>
      <c r="D4" s="3"/>
    </row>
    <row r="5" customFormat="false" ht="15" hidden="false" customHeight="false" outlineLevel="0" collapsed="false">
      <c r="A5" s="4" t="s">
        <v>31</v>
      </c>
      <c r="B5" s="16" t="n">
        <v>6500</v>
      </c>
      <c r="D5" s="15" t="s">
        <v>32</v>
      </c>
    </row>
    <row r="6" customFormat="false" ht="15" hidden="false" customHeight="false" outlineLevel="0" collapsed="false">
      <c r="A6" s="4" t="s">
        <v>33</v>
      </c>
      <c r="B6" s="17" t="n">
        <v>0.385</v>
      </c>
      <c r="D6" s="15" t="s">
        <v>34</v>
      </c>
    </row>
    <row r="7" customFormat="false" ht="15" hidden="false" customHeight="false" outlineLevel="0" collapsed="false">
      <c r="A7" s="4" t="s">
        <v>35</v>
      </c>
      <c r="B7" s="16" t="n">
        <v>1200</v>
      </c>
      <c r="D7" s="15" t="s">
        <v>36</v>
      </c>
    </row>
    <row r="8" customFormat="false" ht="15" hidden="false" customHeight="false" outlineLevel="0" collapsed="false">
      <c r="A8" s="4" t="s">
        <v>37</v>
      </c>
      <c r="B8" s="16" t="n">
        <v>-20</v>
      </c>
      <c r="D8" s="15" t="s">
        <v>38</v>
      </c>
    </row>
    <row r="9" customFormat="false" ht="15" hidden="false" customHeight="false" outlineLevel="0" collapsed="false">
      <c r="A9" s="4" t="s">
        <v>39</v>
      </c>
      <c r="B9" s="17" t="n">
        <v>0.16</v>
      </c>
      <c r="D9" s="15" t="s">
        <v>38</v>
      </c>
    </row>
    <row r="10" customFormat="false" ht="15" hidden="false" customHeight="false" outlineLevel="0" collapsed="false">
      <c r="A10" s="4" t="s">
        <v>40</v>
      </c>
      <c r="B10" s="16" t="n">
        <v>394</v>
      </c>
      <c r="D10" s="15" t="s">
        <v>41</v>
      </c>
    </row>
    <row r="11" customFormat="false" ht="15" hidden="false" customHeight="false" outlineLevel="0" collapsed="false">
      <c r="A11" s="4" t="s">
        <v>42</v>
      </c>
      <c r="B11" s="18" t="n">
        <v>118.74</v>
      </c>
      <c r="D11" s="15" t="s">
        <v>43</v>
      </c>
    </row>
    <row r="12" customFormat="false" ht="15" hidden="false" customHeight="false" outlineLevel="0" collapsed="false">
      <c r="A12" s="4" t="s">
        <v>44</v>
      </c>
      <c r="B12" s="18" t="n">
        <v>92.86</v>
      </c>
      <c r="D12" s="15" t="s">
        <v>45</v>
      </c>
    </row>
    <row r="13" customFormat="false" ht="15" hidden="false" customHeight="false" outlineLevel="0" collapsed="false">
      <c r="A13" s="3" t="s">
        <v>46</v>
      </c>
      <c r="B13" s="3"/>
      <c r="C13" s="3"/>
      <c r="D13" s="3"/>
    </row>
    <row r="14" customFormat="false" ht="15" hidden="false" customHeight="false" outlineLevel="0" collapsed="false">
      <c r="A14" s="4" t="s">
        <v>47</v>
      </c>
      <c r="B14" s="16" t="n">
        <v>1183</v>
      </c>
      <c r="D14" s="15" t="s">
        <v>48</v>
      </c>
    </row>
    <row r="15" customFormat="false" ht="15" hidden="false" customHeight="false" outlineLevel="0" collapsed="false">
      <c r="A15" s="4" t="s">
        <v>49</v>
      </c>
      <c r="B15" s="17" t="n">
        <v>0.536</v>
      </c>
      <c r="D15" s="15" t="s">
        <v>50</v>
      </c>
    </row>
    <row r="16" customFormat="false" ht="15" hidden="false" customHeight="false" outlineLevel="0" collapsed="false">
      <c r="A16" s="4" t="s">
        <v>51</v>
      </c>
      <c r="B16" s="16" t="n">
        <v>420</v>
      </c>
      <c r="D16" s="15" t="s">
        <v>52</v>
      </c>
    </row>
    <row r="17" customFormat="false" ht="15" hidden="false" customHeight="false" outlineLevel="0" collapsed="false">
      <c r="A17" s="4" t="s">
        <v>53</v>
      </c>
      <c r="B17" s="16" t="n">
        <v>-20</v>
      </c>
      <c r="D17" s="15" t="s">
        <v>54</v>
      </c>
    </row>
    <row r="18" customFormat="false" ht="15" hidden="false" customHeight="false" outlineLevel="0" collapsed="false">
      <c r="A18" s="4" t="s">
        <v>55</v>
      </c>
      <c r="B18" s="17" t="n">
        <v>0.095</v>
      </c>
      <c r="D18" s="15" t="s">
        <v>56</v>
      </c>
    </row>
    <row r="19" customFormat="false" ht="15" hidden="false" customHeight="false" outlineLevel="0" collapsed="false">
      <c r="A19" s="4" t="s">
        <v>57</v>
      </c>
      <c r="B19" s="16" t="n">
        <v>45</v>
      </c>
      <c r="D19" s="15" t="s">
        <v>58</v>
      </c>
    </row>
    <row r="20" customFormat="false" ht="15" hidden="false" customHeight="false" outlineLevel="0" collapsed="false">
      <c r="A20" s="4" t="s">
        <v>59</v>
      </c>
      <c r="B20" s="16" t="n">
        <v>40.5</v>
      </c>
      <c r="D20" s="15" t="s">
        <v>60</v>
      </c>
    </row>
    <row r="21" customFormat="false" ht="15" hidden="false" customHeight="false" outlineLevel="0" collapsed="false">
      <c r="A21" s="4" t="s">
        <v>61</v>
      </c>
      <c r="B21" s="18" t="n">
        <v>125.62</v>
      </c>
      <c r="D21" s="15" t="s">
        <v>43</v>
      </c>
    </row>
    <row r="22" customFormat="false" ht="15" hidden="false" customHeight="false" outlineLevel="0" collapsed="false">
      <c r="A22" s="4" t="s">
        <v>62</v>
      </c>
      <c r="B22" s="16" t="n">
        <v>404.4</v>
      </c>
      <c r="D22" s="15" t="s">
        <v>63</v>
      </c>
    </row>
    <row r="23" customFormat="false" ht="15" hidden="false" customHeight="false" outlineLevel="0" collapsed="false">
      <c r="A23" s="4" t="s">
        <v>64</v>
      </c>
      <c r="B23" s="16" t="n">
        <v>836.7</v>
      </c>
      <c r="D23" s="15" t="s">
        <v>63</v>
      </c>
    </row>
    <row r="24" customFormat="false" ht="15" hidden="false" customHeight="false" outlineLevel="0" collapsed="false">
      <c r="A24" s="3" t="s">
        <v>2</v>
      </c>
      <c r="B24" s="3"/>
      <c r="C24" s="3"/>
      <c r="D24" s="3"/>
    </row>
    <row r="25" customFormat="false" ht="15" hidden="false" customHeight="false" outlineLevel="0" collapsed="false">
      <c r="A25" s="4" t="s">
        <v>65</v>
      </c>
      <c r="B25" s="16" t="n">
        <v>1.35</v>
      </c>
      <c r="D25" s="15" t="s">
        <v>66</v>
      </c>
    </row>
    <row r="26" customFormat="false" ht="15" hidden="false" customHeight="false" outlineLevel="0" collapsed="false">
      <c r="A26" s="4" t="s">
        <v>67</v>
      </c>
      <c r="B26" s="17" t="n">
        <v>0.19</v>
      </c>
      <c r="D26" s="15" t="s">
        <v>68</v>
      </c>
    </row>
    <row r="27" customFormat="false" ht="15" hidden="false" customHeight="false" outlineLevel="0" collapsed="false">
      <c r="A27" s="4" t="s">
        <v>69</v>
      </c>
      <c r="B27" s="16" t="n">
        <v>200</v>
      </c>
      <c r="D27" s="15" t="s">
        <v>70</v>
      </c>
    </row>
    <row r="28" customFormat="false" ht="15" hidden="false" customHeight="false" outlineLevel="0" collapsed="false">
      <c r="A28" s="4" t="s">
        <v>71</v>
      </c>
      <c r="B28" s="17" t="n">
        <v>0.5</v>
      </c>
      <c r="D28" s="15" t="s">
        <v>72</v>
      </c>
    </row>
    <row r="29" customFormat="false" ht="15" hidden="false" customHeight="false" outlineLevel="0" collapsed="false">
      <c r="A29" s="4" t="s">
        <v>73</v>
      </c>
      <c r="B29" s="17" t="n">
        <v>0.16</v>
      </c>
      <c r="D29" s="15" t="s">
        <v>74</v>
      </c>
    </row>
    <row r="30" customFormat="false" ht="15" hidden="false" customHeight="false" outlineLevel="0" collapsed="false">
      <c r="A30" s="3" t="s">
        <v>75</v>
      </c>
      <c r="B30" s="3"/>
      <c r="C30" s="3"/>
      <c r="D30" s="3"/>
    </row>
    <row r="31" customFormat="false" ht="15" hidden="false" customHeight="false" outlineLevel="0" collapsed="false">
      <c r="A31" s="4" t="s">
        <v>76</v>
      </c>
      <c r="B31" s="17" t="n">
        <v>0.1</v>
      </c>
      <c r="D31" s="15" t="s">
        <v>77</v>
      </c>
    </row>
    <row r="32" customFormat="false" ht="15" hidden="false" customHeight="false" outlineLevel="0" collapsed="false">
      <c r="A32" s="4" t="s">
        <v>78</v>
      </c>
      <c r="B32" s="17" t="n">
        <v>0.02</v>
      </c>
      <c r="D32" s="15" t="s">
        <v>74</v>
      </c>
    </row>
  </sheetData>
  <mergeCells count="5">
    <mergeCell ref="A1:D1"/>
    <mergeCell ref="A4:D4"/>
    <mergeCell ref="A13:D13"/>
    <mergeCell ref="A24:D24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" t="s">
        <v>79</v>
      </c>
      <c r="B1" s="1"/>
      <c r="C1" s="1"/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19"/>
      <c r="B3" s="20" t="s">
        <v>81</v>
      </c>
      <c r="C3" s="20" t="s">
        <v>82</v>
      </c>
    </row>
    <row r="4" customFormat="false" ht="15" hidden="false" customHeight="false" outlineLevel="0" collapsed="false">
      <c r="A4" s="4" t="s">
        <v>83</v>
      </c>
      <c r="B4" s="12" t="n">
        <f aca="false">Assumptions!$B$5</f>
        <v>6500</v>
      </c>
      <c r="C4" s="12" t="n">
        <f aca="false">Assumptions!$B$14</f>
        <v>1183</v>
      </c>
    </row>
    <row r="5" customFormat="false" ht="15" hidden="false" customHeight="false" outlineLevel="0" collapsed="false">
      <c r="A5" s="4" t="s">
        <v>84</v>
      </c>
      <c r="B5" s="5" t="n">
        <f aca="false">B4*Assumptions!$B$6</f>
        <v>2502.5</v>
      </c>
      <c r="C5" s="5" t="n">
        <f aca="false">C4*Assumptions!$B$15</f>
        <v>634.088</v>
      </c>
    </row>
    <row r="6" customFormat="false" ht="15" hidden="false" customHeight="false" outlineLevel="0" collapsed="false">
      <c r="A6" s="4" t="s">
        <v>85</v>
      </c>
      <c r="B6" s="9" t="n">
        <f aca="false">B5/B4</f>
        <v>0.385</v>
      </c>
      <c r="C6" s="9" t="n">
        <f aca="false">C5/C4</f>
        <v>0.536</v>
      </c>
    </row>
    <row r="7" customFormat="false" ht="15" hidden="false" customHeight="false" outlineLevel="0" collapsed="false">
      <c r="A7" s="4" t="s">
        <v>86</v>
      </c>
      <c r="B7" s="12" t="n">
        <f aca="false">Assumptions!$B$7</f>
        <v>1200</v>
      </c>
      <c r="C7" s="12" t="n">
        <f aca="false">Assumptions!$B$16</f>
        <v>420</v>
      </c>
    </row>
    <row r="8" customFormat="false" ht="15" hidden="false" customHeight="false" outlineLevel="0" collapsed="false">
      <c r="A8" s="10" t="s">
        <v>87</v>
      </c>
      <c r="B8" s="11" t="n">
        <f aca="false">B5-B7</f>
        <v>1302.5</v>
      </c>
      <c r="C8" s="11" t="n">
        <f aca="false">C5-C7</f>
        <v>214.088</v>
      </c>
    </row>
    <row r="9" customFormat="false" ht="15" hidden="false" customHeight="false" outlineLevel="0" collapsed="false">
      <c r="A9" s="4" t="s">
        <v>88</v>
      </c>
      <c r="B9" s="9" t="n">
        <f aca="false">B8/B4</f>
        <v>0.200384615384615</v>
      </c>
      <c r="C9" s="9" t="n">
        <f aca="false">C8/C4</f>
        <v>0.180970414201184</v>
      </c>
    </row>
    <row r="10" customFormat="false" ht="15" hidden="false" customHeight="false" outlineLevel="0" collapsed="false">
      <c r="A10" s="4" t="s">
        <v>89</v>
      </c>
      <c r="B10" s="12" t="n">
        <f aca="false">Assumptions!$B$8</f>
        <v>-20</v>
      </c>
      <c r="C10" s="12" t="n">
        <f aca="false">Assumptions!$B$17</f>
        <v>-20</v>
      </c>
    </row>
    <row r="11" customFormat="false" ht="15" hidden="false" customHeight="false" outlineLevel="0" collapsed="false">
      <c r="A11" s="4" t="s">
        <v>90</v>
      </c>
      <c r="B11" s="5" t="n">
        <f aca="false">B8+B10</f>
        <v>1282.5</v>
      </c>
      <c r="C11" s="5" t="n">
        <f aca="false">C8+C10</f>
        <v>194.088</v>
      </c>
    </row>
    <row r="12" customFormat="false" ht="15" hidden="false" customHeight="false" outlineLevel="0" collapsed="false">
      <c r="A12" s="4" t="s">
        <v>91</v>
      </c>
      <c r="B12" s="5" t="n">
        <f aca="false">-B11*Assumptions!$B$9</f>
        <v>-205.2</v>
      </c>
      <c r="C12" s="5" t="n">
        <f aca="false">-C11*Assumptions!$B$18</f>
        <v>-18.43836</v>
      </c>
    </row>
    <row r="13" customFormat="false" ht="15" hidden="false" customHeight="false" outlineLevel="0" collapsed="false">
      <c r="A13" s="10" t="s">
        <v>92</v>
      </c>
      <c r="B13" s="11" t="n">
        <f aca="false">B11+B12</f>
        <v>1077.3</v>
      </c>
      <c r="C13" s="11" t="n">
        <f aca="false">C11+C12</f>
        <v>175.64964</v>
      </c>
    </row>
    <row r="14" customFormat="false" ht="15" hidden="false" customHeight="false" outlineLevel="0" collapsed="false">
      <c r="A14" s="4" t="s">
        <v>93</v>
      </c>
      <c r="B14" s="12" t="n">
        <f aca="false">Assumptions!$B$10</f>
        <v>394</v>
      </c>
      <c r="C14" s="12" t="n">
        <f aca="false">Assumptions!$B$20</f>
        <v>40.5</v>
      </c>
    </row>
    <row r="15" customFormat="false" ht="15" hidden="false" customHeight="false" outlineLevel="0" collapsed="false">
      <c r="A15" s="10" t="s">
        <v>94</v>
      </c>
      <c r="B15" s="21" t="n">
        <f aca="false">B13/B14</f>
        <v>2.73426395939086</v>
      </c>
      <c r="C15" s="21" t="n">
        <f aca="false">C13/C14</f>
        <v>4.33702814814815</v>
      </c>
    </row>
    <row r="16" customFormat="false" ht="15" hidden="false" customHeight="false" outlineLevel="0" collapsed="false">
      <c r="A16" s="4" t="s">
        <v>95</v>
      </c>
      <c r="B16" s="5" t="n">
        <f aca="false">B8</f>
        <v>1302.5</v>
      </c>
      <c r="C16" s="5" t="n">
        <f aca="false">C8+Assumptions!$B$19</f>
        <v>259.088</v>
      </c>
      <c r="D16" s="15" t="s">
        <v>96</v>
      </c>
    </row>
    <row r="17" customFormat="false" ht="15" hidden="false" customHeight="false" outlineLevel="0" collapsed="false">
      <c r="A17" s="4" t="s">
        <v>97</v>
      </c>
      <c r="B17" s="7" t="n">
        <f aca="false">Assumptions!$B$11/B15</f>
        <v>43.4266778056252</v>
      </c>
      <c r="C17" s="7" t="n">
        <f aca="false">Assumptions!$B$21/C15</f>
        <v>28.9645341715474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4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98</v>
      </c>
      <c r="B1" s="1"/>
      <c r="C1" s="1"/>
      <c r="D1" s="1"/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  <c r="B4" s="3"/>
      <c r="C4" s="22" t="s">
        <v>101</v>
      </c>
      <c r="D4" s="22" t="s">
        <v>102</v>
      </c>
      <c r="F4" s="23" t="s">
        <v>103</v>
      </c>
    </row>
    <row r="5" customFormat="false" ht="15" hidden="false" customHeight="true" outlineLevel="0" collapsed="false">
      <c r="A5" s="4" t="s">
        <v>104</v>
      </c>
      <c r="B5" s="5" t="n">
        <f aca="false">Assumptions!$B$20*Assumptions!$B$25</f>
        <v>54.675</v>
      </c>
      <c r="F5" s="13" t="s">
        <v>105</v>
      </c>
    </row>
    <row r="6" customFormat="false" ht="15" hidden="false" customHeight="false" outlineLevel="0" collapsed="false">
      <c r="A6" s="4" t="s">
        <v>106</v>
      </c>
      <c r="C6" s="5" t="n">
        <f aca="false">B5*Assumptions!$B$11</f>
        <v>6492.1095</v>
      </c>
      <c r="D6" s="5" t="n">
        <f aca="false">B5*Assumptions!$B$12</f>
        <v>5077.1205</v>
      </c>
      <c r="F6" s="13"/>
    </row>
    <row r="7" customFormat="false" ht="15" hidden="false" customHeight="false" outlineLevel="0" collapsed="false">
      <c r="A7" s="4" t="s">
        <v>107</v>
      </c>
      <c r="C7" s="5" t="n">
        <f aca="false">Assumptions!$B$23-Assumptions!$B$22</f>
        <v>432.3</v>
      </c>
      <c r="D7" s="5" t="n">
        <f aca="false">Assumptions!$B$23-Assumptions!$B$22</f>
        <v>432.3</v>
      </c>
      <c r="F7" s="13"/>
    </row>
    <row r="8" customFormat="false" ht="15" hidden="false" customHeight="false" outlineLevel="0" collapsed="false">
      <c r="A8" s="10" t="s">
        <v>4</v>
      </c>
      <c r="C8" s="11" t="n">
        <f aca="false">C6+C7</f>
        <v>6924.4095</v>
      </c>
      <c r="D8" s="11" t="n">
        <f aca="false">D6+D7</f>
        <v>5509.4205</v>
      </c>
      <c r="F8" s="13"/>
    </row>
    <row r="9" customFormat="false" ht="15" hidden="false" customHeight="false" outlineLevel="0" collapsed="false">
      <c r="F9" s="13"/>
    </row>
    <row r="10" customFormat="false" ht="15" hidden="false" customHeight="false" outlineLevel="0" collapsed="false">
      <c r="A10" s="3" t="s">
        <v>108</v>
      </c>
      <c r="B10" s="3"/>
      <c r="C10" s="22" t="s">
        <v>101</v>
      </c>
      <c r="D10" s="22" t="s">
        <v>102</v>
      </c>
    </row>
    <row r="11" customFormat="false" ht="15" hidden="false" customHeight="true" outlineLevel="0" collapsed="false">
      <c r="A11" s="4" t="s">
        <v>20</v>
      </c>
      <c r="C11" s="7" t="n">
        <f aca="false">C8/Assumptions!$B$14</f>
        <v>5.85326246830093</v>
      </c>
      <c r="D11" s="7" t="n">
        <f aca="false">D8/Assumptions!$B$14</f>
        <v>4.65716018596788</v>
      </c>
      <c r="F11" s="13" t="s">
        <v>109</v>
      </c>
    </row>
    <row r="12" customFormat="false" ht="15" hidden="false" customHeight="false" outlineLevel="0" collapsed="false">
      <c r="A12" s="4" t="s">
        <v>21</v>
      </c>
      <c r="C12" s="7" t="n">
        <f aca="false">C8/Standalone!C16</f>
        <v>26.7260911350584</v>
      </c>
      <c r="D12" s="7" t="n">
        <f aca="false">D8/Standalone!C16</f>
        <v>21.2646687611931</v>
      </c>
      <c r="F12" s="13"/>
    </row>
    <row r="13" customFormat="false" ht="15" hidden="false" customHeight="false" outlineLevel="0" collapsed="false">
      <c r="A13" s="4" t="s">
        <v>110</v>
      </c>
      <c r="C13" s="7" t="n">
        <f aca="false">C6/Standalone!C13</f>
        <v>36.9605625152434</v>
      </c>
      <c r="D13" s="7" t="n">
        <f aca="false">D6/Standalone!C13</f>
        <v>28.9048158595714</v>
      </c>
      <c r="F13" s="13"/>
    </row>
    <row r="14" customFormat="false" ht="15" hidden="false" customHeight="false" outlineLevel="0" collapsed="false">
      <c r="A14" s="4" t="s">
        <v>111</v>
      </c>
      <c r="C14" s="9" t="n">
        <f aca="false">C6/(Assumptions!$B$21*Assumptions!$B$20)-1</f>
        <v>0.27606272886483</v>
      </c>
      <c r="D14" s="9" t="n">
        <f aca="false">D6/(Assumptions!$B$21*Assumptions!$B$20)-1</f>
        <v>-0.00206177360292958</v>
      </c>
      <c r="F14" s="13"/>
    </row>
    <row r="15" customFormat="false" ht="15" hidden="false" customHeight="false" outlineLevel="0" collapsed="false">
      <c r="A15" s="4" t="s">
        <v>112</v>
      </c>
      <c r="C15" s="9" t="n">
        <f aca="false">Assumptions!$B$26</f>
        <v>0.19</v>
      </c>
      <c r="F15" s="13"/>
    </row>
    <row r="17" customFormat="false" ht="15" hidden="false" customHeight="false" outlineLevel="0" collapsed="false">
      <c r="A17" s="3" t="s">
        <v>113</v>
      </c>
      <c r="B17" s="3"/>
      <c r="C17" s="3"/>
      <c r="D17" s="3"/>
    </row>
    <row r="18" customFormat="false" ht="15" hidden="false" customHeight="false" outlineLevel="0" collapsed="false">
      <c r="A18" s="4" t="s">
        <v>114</v>
      </c>
      <c r="B18" s="12" t="n">
        <f aca="false">Assumptions!$B$10</f>
        <v>394</v>
      </c>
    </row>
    <row r="19" customFormat="false" ht="15" hidden="false" customHeight="false" outlineLevel="0" collapsed="false">
      <c r="A19" s="4" t="s">
        <v>115</v>
      </c>
      <c r="B19" s="5" t="n">
        <f aca="false">B5</f>
        <v>54.675</v>
      </c>
    </row>
    <row r="20" customFormat="false" ht="15" hidden="false" customHeight="false" outlineLevel="0" collapsed="false">
      <c r="A20" s="10" t="s">
        <v>116</v>
      </c>
      <c r="B20" s="11" t="n">
        <f aca="false">B18+B19</f>
        <v>448.675</v>
      </c>
    </row>
    <row r="21" customFormat="false" ht="15" hidden="false" customHeight="false" outlineLevel="0" collapsed="false">
      <c r="A21" s="4" t="s">
        <v>117</v>
      </c>
      <c r="B21" s="9" t="n">
        <f aca="false">B18/B20</f>
        <v>0.878141193514236</v>
      </c>
    </row>
    <row r="22" customFormat="false" ht="15" hidden="false" customHeight="false" outlineLevel="0" collapsed="false">
      <c r="A22" s="4" t="s">
        <v>118</v>
      </c>
      <c r="B22" s="9" t="n">
        <f aca="false">B19/B20</f>
        <v>0.121858806485764</v>
      </c>
    </row>
    <row r="24" customFormat="false" ht="15" hidden="false" customHeight="true" outlineLevel="0" collapsed="false">
      <c r="A24" s="3" t="s">
        <v>119</v>
      </c>
      <c r="B24" s="3"/>
      <c r="C24" s="3"/>
      <c r="D24" s="3"/>
      <c r="F24" s="13" t="s">
        <v>120</v>
      </c>
    </row>
    <row r="25" customFormat="false" ht="15" hidden="false" customHeight="false" outlineLevel="0" collapsed="false">
      <c r="A25" s="19"/>
      <c r="B25" s="22" t="s">
        <v>24</v>
      </c>
      <c r="C25" s="22" t="s">
        <v>121</v>
      </c>
      <c r="D25" s="22" t="s">
        <v>122</v>
      </c>
      <c r="F25" s="13"/>
    </row>
    <row r="26" customFormat="false" ht="15" hidden="false" customHeight="false" outlineLevel="0" collapsed="false">
      <c r="A26" s="4" t="s">
        <v>123</v>
      </c>
      <c r="B26" s="5" t="n">
        <f aca="false">Standalone!B13</f>
        <v>1077.3</v>
      </c>
      <c r="C26" s="5" t="n">
        <f aca="false">Standalone!B13</f>
        <v>1077.3</v>
      </c>
      <c r="D26" s="5" t="n">
        <f aca="false">Standalone!B13</f>
        <v>1077.3</v>
      </c>
      <c r="F26" s="13"/>
    </row>
    <row r="27" customFormat="false" ht="15" hidden="false" customHeight="false" outlineLevel="0" collapsed="false">
      <c r="A27" s="4" t="s">
        <v>124</v>
      </c>
      <c r="B27" s="5" t="n">
        <f aca="false">Standalone!C13</f>
        <v>175.64964</v>
      </c>
      <c r="C27" s="5" t="n">
        <f aca="false">Standalone!C13</f>
        <v>175.64964</v>
      </c>
      <c r="D27" s="5" t="n">
        <f aca="false">Standalone!C13</f>
        <v>175.64964</v>
      </c>
      <c r="F27" s="13"/>
    </row>
    <row r="28" customFormat="false" ht="15" hidden="false" customHeight="false" outlineLevel="0" collapsed="false">
      <c r="A28" s="4" t="s">
        <v>125</v>
      </c>
      <c r="B28" s="5" t="n">
        <f aca="false">Assumptions!$B$27*0*(1-Assumptions!$B$29)</f>
        <v>0</v>
      </c>
      <c r="C28" s="5" t="n">
        <f aca="false">Assumptions!$B$27*Assumptions!$B$28*(1-Assumptions!$B$29)</f>
        <v>84</v>
      </c>
      <c r="D28" s="5" t="n">
        <f aca="false">Assumptions!$B$27*1*(1-Assumptions!$B$29)</f>
        <v>168</v>
      </c>
      <c r="F28" s="13"/>
    </row>
    <row r="29" customFormat="false" ht="15" hidden="false" customHeight="false" outlineLevel="0" collapsed="false">
      <c r="A29" s="10" t="s">
        <v>126</v>
      </c>
      <c r="B29" s="11" t="n">
        <f aca="false">SUM(B26:B28)</f>
        <v>1252.94964</v>
      </c>
      <c r="C29" s="11" t="n">
        <f aca="false">SUM(C26:C28)</f>
        <v>1336.94964</v>
      </c>
      <c r="D29" s="11" t="n">
        <f aca="false">SUM(D26:D28)</f>
        <v>1420.94964</v>
      </c>
      <c r="F29" s="13"/>
    </row>
    <row r="30" customFormat="false" ht="15" hidden="false" customHeight="false" outlineLevel="0" collapsed="false">
      <c r="A30" s="4" t="s">
        <v>127</v>
      </c>
      <c r="B30" s="5" t="n">
        <f aca="false">$B$20</f>
        <v>448.675</v>
      </c>
      <c r="C30" s="5" t="n">
        <f aca="false">$B$20</f>
        <v>448.675</v>
      </c>
      <c r="D30" s="5" t="n">
        <f aca="false">$B$20</f>
        <v>448.675</v>
      </c>
      <c r="F30" s="13"/>
    </row>
    <row r="31" customFormat="false" ht="15" hidden="false" customHeight="false" outlineLevel="0" collapsed="false">
      <c r="A31" s="10" t="s">
        <v>128</v>
      </c>
      <c r="B31" s="21" t="n">
        <f aca="false">B29/B30</f>
        <v>2.79255505655541</v>
      </c>
      <c r="C31" s="21" t="n">
        <f aca="false">C29/C30</f>
        <v>2.97977297598484</v>
      </c>
      <c r="D31" s="21" t="n">
        <f aca="false">D29/D30</f>
        <v>3.16699089541428</v>
      </c>
    </row>
    <row r="32" customFormat="false" ht="15" hidden="false" customHeight="false" outlineLevel="0" collapsed="false">
      <c r="A32" s="4" t="s">
        <v>129</v>
      </c>
      <c r="B32" s="24" t="n">
        <f aca="false">Standalone!B15</f>
        <v>2.73426395939086</v>
      </c>
      <c r="C32" s="24" t="n">
        <f aca="false">Standalone!B15</f>
        <v>2.73426395939086</v>
      </c>
      <c r="D32" s="24" t="n">
        <f aca="false">Standalone!B15</f>
        <v>2.73426395939086</v>
      </c>
    </row>
    <row r="33" customFormat="false" ht="15" hidden="false" customHeight="false" outlineLevel="0" collapsed="false">
      <c r="A33" s="4" t="s">
        <v>130</v>
      </c>
      <c r="B33" s="24" t="n">
        <f aca="false">B31-B32</f>
        <v>0.0582910971645507</v>
      </c>
      <c r="C33" s="24" t="n">
        <f aca="false">C31-C32</f>
        <v>0.245509016593982</v>
      </c>
      <c r="D33" s="24" t="n">
        <f aca="false">D31-D32</f>
        <v>0.432726936023413</v>
      </c>
    </row>
    <row r="34" customFormat="false" ht="15" hidden="false" customHeight="false" outlineLevel="0" collapsed="false">
      <c r="A34" s="10" t="s">
        <v>131</v>
      </c>
      <c r="B34" s="14" t="n">
        <f aca="false">B31/B32-1</f>
        <v>0.0213187526991858</v>
      </c>
      <c r="C34" s="14" t="n">
        <f aca="false">C31/C32-1</f>
        <v>0.0897898009264166</v>
      </c>
      <c r="D34" s="14" t="n">
        <f aca="false">D31/D32-1</f>
        <v>0.158260849153648</v>
      </c>
    </row>
  </sheetData>
  <mergeCells count="8">
    <mergeCell ref="A1:D1"/>
    <mergeCell ref="A4:B4"/>
    <mergeCell ref="F5:F9"/>
    <mergeCell ref="A10:B10"/>
    <mergeCell ref="F11:F15"/>
    <mergeCell ref="A17:D17"/>
    <mergeCell ref="A24:D24"/>
    <mergeCell ref="F24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132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133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5" t="s">
        <v>134</v>
      </c>
      <c r="B4" s="26" t="n">
        <v>1.25</v>
      </c>
      <c r="C4" s="26" t="n">
        <v>1.3</v>
      </c>
      <c r="D4" s="26" t="n">
        <v>1.35</v>
      </c>
      <c r="E4" s="26" t="n">
        <v>1.4</v>
      </c>
      <c r="F4" s="26" t="n">
        <v>1.45</v>
      </c>
    </row>
    <row r="5" customFormat="false" ht="15" hidden="false" customHeight="false" outlineLevel="0" collapsed="false">
      <c r="A5" s="27" t="n">
        <v>0</v>
      </c>
      <c r="B5" s="28" t="n">
        <f aca="false">((Standalone!$B$13+Standalone!$C$13+Assumptions!$B$27*$A$5*(1-Assumptions!$B$29))/(Assumptions!$B$10+Assumptions!$B$20*$B$4))/Standalone!$B$15-1</f>
        <v>0.0306217404943654</v>
      </c>
      <c r="C5" s="28" t="n">
        <f aca="false">((Standalone!$B$13+Standalone!$C$13+Assumptions!$B$27*$A$5*(1-Assumptions!$B$29))/(Assumptions!$B$10+Assumptions!$B$20*$C$4))/Standalone!$B$15-1</f>
        <v>0.0259491578804596</v>
      </c>
      <c r="D5" s="28" t="n">
        <f aca="false">((Standalone!$B$13+Standalone!$C$13+Assumptions!$B$27*$A$5*(1-Assumptions!$B$29))/(Assumptions!$B$10+Assumptions!$B$20*$D$4))/Standalone!$B$15-1</f>
        <v>0.0213187526991858</v>
      </c>
      <c r="E5" s="28" t="n">
        <f aca="false">((Standalone!$B$13+Standalone!$C$13+Assumptions!$B$27*$A$5*(1-Assumptions!$B$29))/(Assumptions!$B$10+Assumptions!$B$20*$E$4))/Standalone!$B$15-1</f>
        <v>0.0167299564395544</v>
      </c>
      <c r="F5" s="28" t="n">
        <f aca="false">((Standalone!$B$13+Standalone!$C$13+Assumptions!$B$27*$A$5*(1-Assumptions!$B$29))/(Assumptions!$B$10+Assumptions!$B$20*$F$4))/Standalone!$B$15-1</f>
        <v>0.0121822107621785</v>
      </c>
    </row>
    <row r="6" customFormat="false" ht="15" hidden="false" customHeight="false" outlineLevel="0" collapsed="false">
      <c r="A6" s="27" t="n">
        <v>0.25</v>
      </c>
      <c r="B6" s="28" t="n">
        <f aca="false">((Standalone!$B$13+Standalone!$C$13+Assumptions!$B$27*$A$6*(1-Assumptions!$B$29))/(Assumptions!$B$10+Assumptions!$B$20*$B$4))/Standalone!$B$15-1</f>
        <v>0.0651691091346274</v>
      </c>
      <c r="C6" s="28" t="n">
        <f aca="false">((Standalone!$B$13+Standalone!$C$13+Assumptions!$B$27*$A$6*(1-Assumptions!$B$29))/(Assumptions!$B$10+Assumptions!$B$20*$C$4))/Standalone!$B$15-1</f>
        <v>0.0603398973446405</v>
      </c>
      <c r="D6" s="28" t="n">
        <f aca="false">((Standalone!$B$13+Standalone!$C$13+Assumptions!$B$27*$A$6*(1-Assumptions!$B$29))/(Assumptions!$B$10+Assumptions!$B$20*$D$4))/Standalone!$B$15-1</f>
        <v>0.0555542768128012</v>
      </c>
      <c r="E6" s="28" t="n">
        <f aca="false">((Standalone!$B$13+Standalone!$C$13+Assumptions!$B$27*$A$6*(1-Assumptions!$B$29))/(Assumptions!$B$10+Assumptions!$B$20*$E$4))/Standalone!$B$15-1</f>
        <v>0.0508116599711197</v>
      </c>
      <c r="F6" s="28" t="n">
        <f aca="false">((Standalone!$B$13+Standalone!$C$13+Assumptions!$B$27*$A$6*(1-Assumptions!$B$29))/(Assumptions!$B$10+Assumptions!$B$20*$F$4))/Standalone!$B$15-1</f>
        <v>0.0461114697641696</v>
      </c>
    </row>
    <row r="7" customFormat="false" ht="15" hidden="false" customHeight="false" outlineLevel="0" collapsed="false">
      <c r="A7" s="27" t="n">
        <v>0.5</v>
      </c>
      <c r="B7" s="28" t="n">
        <f aca="false">((Standalone!$B$13+Standalone!$C$13+Assumptions!$B$27*$A$7*(1-Assumptions!$B$29))/(Assumptions!$B$10+Assumptions!$B$20*$B$4))/Standalone!$B$15-1</f>
        <v>0.0997164777748891</v>
      </c>
      <c r="C7" s="28" t="n">
        <f aca="false">((Standalone!$B$13+Standalone!$C$13+Assumptions!$B$27*$A$7*(1-Assumptions!$B$29))/(Assumptions!$B$10+Assumptions!$B$20*$C$4))/Standalone!$B$15-1</f>
        <v>0.0947306368088214</v>
      </c>
      <c r="D7" s="29" t="n">
        <f aca="false">((Standalone!$B$13+Standalone!$C$13+Assumptions!$B$27*$A$7*(1-Assumptions!$B$29))/(Assumptions!$B$10+Assumptions!$B$20*$D$4))/Standalone!$B$15-1</f>
        <v>0.0897898009264166</v>
      </c>
      <c r="E7" s="28" t="n">
        <f aca="false">((Standalone!$B$13+Standalone!$C$13+Assumptions!$B$27*$A$7*(1-Assumptions!$B$29))/(Assumptions!$B$10+Assumptions!$B$20*$E$4))/Standalone!$B$15-1</f>
        <v>0.084893363502685</v>
      </c>
      <c r="F7" s="28" t="n">
        <f aca="false">((Standalone!$B$13+Standalone!$C$13+Assumptions!$B$27*$A$7*(1-Assumptions!$B$29))/(Assumptions!$B$10+Assumptions!$B$20*$F$4))/Standalone!$B$15-1</f>
        <v>0.0800407287661606</v>
      </c>
    </row>
    <row r="8" customFormat="false" ht="15" hidden="false" customHeight="false" outlineLevel="0" collapsed="false">
      <c r="A8" s="27" t="n">
        <v>0.75</v>
      </c>
      <c r="B8" s="28" t="n">
        <f aca="false">((Standalone!$B$13+Standalone!$C$13+Assumptions!$B$27*$A$8*(1-Assumptions!$B$29))/(Assumptions!$B$10+Assumptions!$B$20*$B$4))/Standalone!$B$15-1</f>
        <v>0.134263846415151</v>
      </c>
      <c r="C8" s="28" t="n">
        <f aca="false">((Standalone!$B$13+Standalone!$C$13+Assumptions!$B$27*$A$8*(1-Assumptions!$B$29))/(Assumptions!$B$10+Assumptions!$B$20*$C$4))/Standalone!$B$15-1</f>
        <v>0.129121376273002</v>
      </c>
      <c r="D8" s="28" t="n">
        <f aca="false">((Standalone!$B$13+Standalone!$C$13+Assumptions!$B$27*$A$8*(1-Assumptions!$B$29))/(Assumptions!$B$10+Assumptions!$B$20*$D$4))/Standalone!$B$15-1</f>
        <v>0.124025325040032</v>
      </c>
      <c r="E8" s="28" t="n">
        <f aca="false">((Standalone!$B$13+Standalone!$C$13+Assumptions!$B$27*$A$8*(1-Assumptions!$B$29))/(Assumptions!$B$10+Assumptions!$B$20*$E$4))/Standalone!$B$15-1</f>
        <v>0.11897506703425</v>
      </c>
      <c r="F8" s="28" t="n">
        <f aca="false">((Standalone!$B$13+Standalone!$C$13+Assumptions!$B$27*$A$8*(1-Assumptions!$B$29))/(Assumptions!$B$10+Assumptions!$B$20*$F$4))/Standalone!$B$15-1</f>
        <v>0.113969987768152</v>
      </c>
    </row>
    <row r="9" customFormat="false" ht="15" hidden="false" customHeight="false" outlineLevel="0" collapsed="false">
      <c r="A9" s="27" t="n">
        <v>1</v>
      </c>
      <c r="B9" s="28" t="n">
        <f aca="false">((Standalone!$B$13+Standalone!$C$13+Assumptions!$B$27*$A$9*(1-Assumptions!$B$29))/(Assumptions!$B$10+Assumptions!$B$20*$B$4))/Standalone!$B$15-1</f>
        <v>0.168811215055413</v>
      </c>
      <c r="C9" s="28" t="n">
        <f aca="false">((Standalone!$B$13+Standalone!$C$13+Assumptions!$B$27*$A$9*(1-Assumptions!$B$29))/(Assumptions!$B$10+Assumptions!$B$20*$C$4))/Standalone!$B$15-1</f>
        <v>0.163512115737183</v>
      </c>
      <c r="D9" s="28" t="n">
        <f aca="false">((Standalone!$B$13+Standalone!$C$13+Assumptions!$B$27*$A$9*(1-Assumptions!$B$29))/(Assumptions!$B$10+Assumptions!$B$20*$D$4))/Standalone!$B$15-1</f>
        <v>0.158260849153648</v>
      </c>
      <c r="E9" s="28" t="n">
        <f aca="false">((Standalone!$B$13+Standalone!$C$13+Assumptions!$B$27*$A$9*(1-Assumptions!$B$29))/(Assumptions!$B$10+Assumptions!$B$20*$E$4))/Standalone!$B$15-1</f>
        <v>0.153056770565815</v>
      </c>
      <c r="F9" s="28" t="n">
        <f aca="false">((Standalone!$B$13+Standalone!$C$13+Assumptions!$B$27*$A$9*(1-Assumptions!$B$29))/(Assumptions!$B$10+Assumptions!$B$20*$F$4))/Standalone!$B$15-1</f>
        <v>0.147899246770143</v>
      </c>
    </row>
    <row r="12" customFormat="false" ht="15" hidden="false" customHeight="false" outlineLevel="0" collapsed="false">
      <c r="A12" s="3" t="s">
        <v>135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25" t="s">
        <v>136</v>
      </c>
      <c r="B13" s="25" t="s">
        <v>137</v>
      </c>
      <c r="C13" s="25" t="s">
        <v>4</v>
      </c>
      <c r="D13" s="25" t="s">
        <v>138</v>
      </c>
      <c r="E13" s="25" t="s">
        <v>139</v>
      </c>
      <c r="F13" s="25" t="s">
        <v>140</v>
      </c>
    </row>
    <row r="14" customFormat="false" ht="15" hidden="false" customHeight="false" outlineLevel="0" collapsed="false">
      <c r="A14" s="30" t="n">
        <v>70</v>
      </c>
      <c r="B14" s="31" t="n">
        <f aca="false">Assumptions!$B$20*Assumptions!$B$25*$A14</f>
        <v>3827.25</v>
      </c>
      <c r="C14" s="31" t="n">
        <f aca="false">B14+(Assumptions!$B$23-Assumptions!$B$22)</f>
        <v>4259.55</v>
      </c>
      <c r="D14" s="32" t="n">
        <f aca="false">C14/Assumptions!$B$14</f>
        <v>3.60063398140321</v>
      </c>
      <c r="E14" s="32" t="n">
        <f aca="false">C14/Standalone!$C$16</f>
        <v>16.4405530167356</v>
      </c>
      <c r="F14" s="28" t="n">
        <f aca="false">B14/(Assumptions!$B$21*Assumptions!$B$20)-1</f>
        <v>-0.247731252985193</v>
      </c>
    </row>
    <row r="15" customFormat="false" ht="15" hidden="false" customHeight="false" outlineLevel="0" collapsed="false">
      <c r="A15" s="30" t="n">
        <v>80</v>
      </c>
      <c r="B15" s="31" t="n">
        <f aca="false">Assumptions!$B$20*Assumptions!$B$25*$A15</f>
        <v>4374</v>
      </c>
      <c r="C15" s="31" t="n">
        <f aca="false">B15+(Assumptions!$B$23-Assumptions!$B$22)</f>
        <v>4806.3</v>
      </c>
      <c r="D15" s="32" t="n">
        <f aca="false">C15/Assumptions!$B$14</f>
        <v>4.06280642434489</v>
      </c>
      <c r="E15" s="32" t="n">
        <f aca="false">C15/Standalone!$C$16</f>
        <v>18.5508398690792</v>
      </c>
      <c r="F15" s="28" t="n">
        <f aca="false">B15/(Assumptions!$B$21*Assumptions!$B$20)-1</f>
        <v>-0.140264289125935</v>
      </c>
    </row>
    <row r="16" customFormat="false" ht="15" hidden="false" customHeight="false" outlineLevel="0" collapsed="false">
      <c r="A16" s="33" t="n">
        <v>92.86</v>
      </c>
      <c r="B16" s="31" t="n">
        <f aca="false">Assumptions!$B$20*Assumptions!$B$25*$A16</f>
        <v>5077.1205</v>
      </c>
      <c r="C16" s="31" t="n">
        <f aca="false">B16+(Assumptions!$B$23-Assumptions!$B$22)</f>
        <v>5509.4205</v>
      </c>
      <c r="D16" s="32" t="n">
        <f aca="false">C16/Assumptions!$B$14</f>
        <v>4.65716018596788</v>
      </c>
      <c r="E16" s="32" t="n">
        <f aca="false">C16/Standalone!$C$16</f>
        <v>21.2646687611931</v>
      </c>
      <c r="F16" s="28" t="n">
        <f aca="false">B16/(Assumptions!$B$21*Assumptions!$B$20)-1</f>
        <v>-0.00206177360292958</v>
      </c>
    </row>
    <row r="17" customFormat="false" ht="15" hidden="false" customHeight="false" outlineLevel="0" collapsed="false">
      <c r="A17" s="30" t="n">
        <v>100</v>
      </c>
      <c r="B17" s="31" t="n">
        <f aca="false">Assumptions!$B$20*Assumptions!$B$25*$A17</f>
        <v>5467.5</v>
      </c>
      <c r="C17" s="31" t="n">
        <f aca="false">B17+(Assumptions!$B$23-Assumptions!$B$22)</f>
        <v>5899.8</v>
      </c>
      <c r="D17" s="32" t="n">
        <f aca="false">C17/Assumptions!$B$14</f>
        <v>4.98715131022823</v>
      </c>
      <c r="E17" s="32" t="n">
        <f aca="false">C17/Standalone!$C$16</f>
        <v>22.7714135737664</v>
      </c>
      <c r="F17" s="28" t="n">
        <f aca="false">B17/(Assumptions!$B$21*Assumptions!$B$20)-1</f>
        <v>0.0746696385925807</v>
      </c>
    </row>
    <row r="18" customFormat="false" ht="15" hidden="false" customHeight="false" outlineLevel="0" collapsed="false">
      <c r="A18" s="30" t="n">
        <v>118.74</v>
      </c>
      <c r="B18" s="31" t="n">
        <f aca="false">Assumptions!$B$20*Assumptions!$B$25*$A18</f>
        <v>6492.1095</v>
      </c>
      <c r="C18" s="31" t="n">
        <f aca="false">B18+(Assumptions!$B$23-Assumptions!$B$22)</f>
        <v>6924.4095</v>
      </c>
      <c r="D18" s="32" t="n">
        <f aca="false">C18/Assumptions!$B$14</f>
        <v>5.85326246830093</v>
      </c>
      <c r="E18" s="32" t="n">
        <f aca="false">C18/Standalone!$C$16</f>
        <v>26.7260911350584</v>
      </c>
      <c r="F18" s="28" t="n">
        <f aca="false">B18/(Assumptions!$B$21*Assumptions!$B$20)-1</f>
        <v>0.27606272886483</v>
      </c>
    </row>
    <row r="19" customFormat="false" ht="15" hidden="false" customHeight="false" outlineLevel="0" collapsed="false">
      <c r="A19" s="30" t="n">
        <v>130</v>
      </c>
      <c r="B19" s="31" t="n">
        <f aca="false">Assumptions!$B$20*Assumptions!$B$25*$A19</f>
        <v>7107.75</v>
      </c>
      <c r="C19" s="31" t="n">
        <f aca="false">B19+(Assumptions!$B$23-Assumptions!$B$22)</f>
        <v>7540.05</v>
      </c>
      <c r="D19" s="32" t="n">
        <f aca="false">C19/Assumptions!$B$14</f>
        <v>6.37366863905326</v>
      </c>
      <c r="E19" s="32" t="n">
        <f aca="false">C19/Standalone!$C$16</f>
        <v>29.1022741307973</v>
      </c>
      <c r="F19" s="28" t="n">
        <f aca="false">B19/(Assumptions!$B$21*Assumptions!$B$20)-1</f>
        <v>0.397070530170355</v>
      </c>
    </row>
    <row r="21" customFormat="false" ht="15" hidden="false" customHeight="false" outlineLevel="0" collapsed="false">
      <c r="A21" s="15" t="s">
        <v>141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4"/>
    <col collapsed="false" customWidth="true" hidden="false" outlineLevel="0" max="4" min="4" style="0" width="54"/>
  </cols>
  <sheetData>
    <row r="1" customFormat="false" ht="15" hidden="false" customHeight="false" outlineLevel="0" collapsed="false">
      <c r="A1" s="1" t="s">
        <v>142</v>
      </c>
      <c r="B1" s="1"/>
      <c r="C1" s="1"/>
      <c r="D1" s="1"/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3" t="s">
        <v>144</v>
      </c>
      <c r="B4" s="3"/>
      <c r="D4" s="23" t="s">
        <v>145</v>
      </c>
    </row>
    <row r="5" customFormat="false" ht="15" hidden="false" customHeight="true" outlineLevel="0" collapsed="false">
      <c r="A5" s="4" t="s">
        <v>146</v>
      </c>
      <c r="B5" s="5" t="n">
        <f aca="false">'Deal &amp; Accretion'!C6</f>
        <v>6492.1095</v>
      </c>
      <c r="D5" s="13" t="s">
        <v>147</v>
      </c>
    </row>
    <row r="6" customFormat="false" ht="15" hidden="false" customHeight="false" outlineLevel="0" collapsed="false">
      <c r="A6" s="4" t="s">
        <v>148</v>
      </c>
      <c r="B6" s="5" t="n">
        <f aca="false">B5/(1+Assumptions!$B$26)</f>
        <v>5455.55420168067</v>
      </c>
      <c r="D6" s="13"/>
    </row>
    <row r="7" customFormat="false" ht="15" hidden="false" customHeight="false" outlineLevel="0" collapsed="false">
      <c r="A7" s="10" t="s">
        <v>9</v>
      </c>
      <c r="B7" s="11" t="n">
        <f aca="false">B5-B6</f>
        <v>1036.55529831933</v>
      </c>
      <c r="D7" s="13"/>
    </row>
    <row r="8" customFormat="false" ht="15" hidden="false" customHeight="true" outlineLevel="0" collapsed="false">
      <c r="D8" s="13" t="s">
        <v>149</v>
      </c>
    </row>
    <row r="9" customFormat="false" ht="15" hidden="false" customHeight="false" outlineLevel="0" collapsed="false">
      <c r="A9" s="4" t="s">
        <v>150</v>
      </c>
      <c r="B9" s="5" t="n">
        <f aca="false">Assumptions!$B$27*(1-Assumptions!$B$29)</f>
        <v>168</v>
      </c>
      <c r="D9" s="13"/>
    </row>
    <row r="10" customFormat="false" ht="15" hidden="false" customHeight="false" outlineLevel="0" collapsed="false">
      <c r="A10" s="4" t="s">
        <v>151</v>
      </c>
      <c r="B10" s="5" t="n">
        <f aca="false">B9/(Assumptions!$B$31-Assumptions!$B$32)</f>
        <v>2100</v>
      </c>
      <c r="D10" s="13"/>
    </row>
    <row r="11" customFormat="false" ht="15" hidden="false" customHeight="true" outlineLevel="0" collapsed="false">
      <c r="A11" s="10" t="s">
        <v>152</v>
      </c>
      <c r="B11" s="11" t="n">
        <f aca="false">B10-B7</f>
        <v>1063.44470168067</v>
      </c>
      <c r="D11" s="13" t="s">
        <v>153</v>
      </c>
    </row>
    <row r="12" customFormat="false" ht="15" hidden="false" customHeight="false" outlineLevel="0" collapsed="false">
      <c r="D12" s="13"/>
    </row>
    <row r="13" customFormat="false" ht="15" hidden="false" customHeight="false" outlineLevel="0" collapsed="false">
      <c r="A13" s="3" t="s">
        <v>154</v>
      </c>
      <c r="B13" s="3"/>
      <c r="D13" s="13"/>
    </row>
    <row r="14" customFormat="false" ht="15" hidden="false" customHeight="true" outlineLevel="0" collapsed="false">
      <c r="A14" s="4" t="s">
        <v>155</v>
      </c>
      <c r="B14" s="5" t="n">
        <f aca="false">Assumptions!$B$11*Assumptions!$B$10</f>
        <v>46783.56</v>
      </c>
      <c r="D14" s="13" t="s">
        <v>156</v>
      </c>
    </row>
    <row r="15" customFormat="false" ht="15" hidden="false" customHeight="false" outlineLevel="0" collapsed="false">
      <c r="A15" s="4" t="s">
        <v>157</v>
      </c>
      <c r="B15" s="5" t="n">
        <f aca="false">Assumptions!$B$12*Assumptions!$B$10</f>
        <v>36586.84</v>
      </c>
      <c r="D15" s="13"/>
    </row>
    <row r="16" customFormat="false" ht="15" hidden="false" customHeight="false" outlineLevel="0" collapsed="false">
      <c r="A16" s="10" t="s">
        <v>158</v>
      </c>
      <c r="B16" s="11" t="n">
        <f aca="false">B15-B14</f>
        <v>-10196.72</v>
      </c>
      <c r="D16" s="13"/>
    </row>
    <row r="17" customFormat="false" ht="15" hidden="false" customHeight="true" outlineLevel="0" collapsed="false">
      <c r="A17" s="4" t="s">
        <v>159</v>
      </c>
      <c r="B17" s="5" t="n">
        <f aca="false">'Deal &amp; Accretion'!C8</f>
        <v>6924.4095</v>
      </c>
      <c r="D17" s="13" t="s">
        <v>160</v>
      </c>
    </row>
    <row r="18" customFormat="false" ht="15" hidden="false" customHeight="false" outlineLevel="0" collapsed="false">
      <c r="A18" s="4" t="s">
        <v>9</v>
      </c>
      <c r="B18" s="5" t="n">
        <f aca="false">B7</f>
        <v>1036.55529831933</v>
      </c>
      <c r="D18" s="13"/>
    </row>
    <row r="19" customFormat="false" ht="15" hidden="false" customHeight="false" outlineLevel="0" collapsed="false">
      <c r="A19" s="4" t="s">
        <v>7</v>
      </c>
      <c r="B19" s="7" t="n">
        <f aca="false">-B16/B17</f>
        <v>1.47257610919747</v>
      </c>
      <c r="D19" s="13"/>
    </row>
    <row r="20" customFormat="false" ht="15" hidden="false" customHeight="false" outlineLevel="0" collapsed="false">
      <c r="A20" s="4" t="s">
        <v>161</v>
      </c>
      <c r="B20" s="7" t="n">
        <f aca="false">-B16/B18</f>
        <v>9.83712110345968</v>
      </c>
    </row>
  </sheetData>
  <mergeCells count="8">
    <mergeCell ref="A1:D1"/>
    <mergeCell ref="A4:B4"/>
    <mergeCell ref="D5:D7"/>
    <mergeCell ref="D8:D10"/>
    <mergeCell ref="D11:D13"/>
    <mergeCell ref="A13:B13"/>
    <mergeCell ref="D14:D16"/>
    <mergeCell ref="D17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2026-06-26T18:30:04Z</dcterms:created>
  <dc:creator>openpyxl</dc:creator>
  <dc:description/>
  <dc:language>en-US</dc:language>
  <cp:lastModifiedBy/>
  <dcterms:modified xsi:type="dcterms:W3CDTF">2026-06-26T18:30:04Z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