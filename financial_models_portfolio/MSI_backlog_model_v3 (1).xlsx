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ommy\Downloads\"/>
    </mc:Choice>
  </mc:AlternateContent>
  <xr:revisionPtr revIDLastSave="0" documentId="13_ncr:1_{DCDBFFE8-BD28-4383-9A5A-A6E558ACCCDB}" xr6:coauthVersionLast="47" xr6:coauthVersionMax="47" xr10:uidLastSave="{00000000-0000-0000-0000-000000000000}"/>
  <bookViews>
    <workbookView xWindow="-30" yWindow="165" windowWidth="28800" windowHeight="14040" tabRatio="500" activeTab="1" xr2:uid="{00000000-000D-0000-FFFF-FFFF00000000}"/>
  </bookViews>
  <sheets>
    <sheet name="Assumptions" sheetId="1" r:id="rId1"/>
    <sheet name="Model" sheetId="2" r:id="rId2"/>
    <sheet name="NonGAAP" sheetId="3" r:id="rId3"/>
    <sheet name="Calibration" sheetId="4" r:id="rId4"/>
    <sheet name="TieOut-Bridge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5" i="2" l="1"/>
  <c r="B56" i="2"/>
  <c r="H53" i="2"/>
  <c r="I53" i="2"/>
  <c r="J53" i="2"/>
  <c r="K53" i="2"/>
  <c r="G53" i="2"/>
  <c r="H52" i="2"/>
  <c r="I52" i="2"/>
  <c r="J52" i="2"/>
  <c r="K52" i="2"/>
  <c r="G52" i="2"/>
  <c r="C5" i="5"/>
  <c r="C4" i="5"/>
  <c r="D5" i="4"/>
  <c r="D4" i="4"/>
  <c r="F8" i="3"/>
  <c r="E8" i="3"/>
  <c r="D8" i="3"/>
  <c r="C8" i="3"/>
  <c r="B8" i="3"/>
  <c r="F7" i="3"/>
  <c r="E7" i="3"/>
  <c r="D7" i="3"/>
  <c r="C7" i="3"/>
  <c r="B7" i="3"/>
  <c r="F6" i="3"/>
  <c r="E6" i="3"/>
  <c r="D6" i="3"/>
  <c r="C6" i="3"/>
  <c r="B6" i="3"/>
  <c r="F50" i="2"/>
  <c r="E50" i="2"/>
  <c r="D50" i="2"/>
  <c r="C50" i="2"/>
  <c r="B50" i="2"/>
  <c r="F48" i="2"/>
  <c r="E48" i="2"/>
  <c r="D48" i="2"/>
  <c r="C48" i="2"/>
  <c r="B48" i="2"/>
  <c r="K46" i="2"/>
  <c r="J46" i="2"/>
  <c r="I46" i="2"/>
  <c r="H46" i="2"/>
  <c r="G46" i="2"/>
  <c r="G44" i="2"/>
  <c r="K43" i="2"/>
  <c r="J43" i="2"/>
  <c r="I43" i="2"/>
  <c r="H43" i="2"/>
  <c r="G43" i="2"/>
  <c r="K37" i="2"/>
  <c r="J37" i="2"/>
  <c r="I37" i="2"/>
  <c r="H37" i="2"/>
  <c r="G37" i="2"/>
  <c r="K35" i="2"/>
  <c r="J35" i="2"/>
  <c r="I35" i="2"/>
  <c r="H35" i="2"/>
  <c r="G35" i="2"/>
  <c r="K32" i="2"/>
  <c r="J32" i="2"/>
  <c r="I32" i="2"/>
  <c r="H32" i="2"/>
  <c r="G32" i="2"/>
  <c r="F31" i="2"/>
  <c r="E31" i="2"/>
  <c r="D31" i="2"/>
  <c r="C31" i="2"/>
  <c r="B31" i="2"/>
  <c r="K29" i="2"/>
  <c r="J29" i="2"/>
  <c r="I29" i="2"/>
  <c r="H29" i="2"/>
  <c r="G29" i="2"/>
  <c r="K28" i="2"/>
  <c r="J28" i="2"/>
  <c r="I28" i="2"/>
  <c r="H28" i="2"/>
  <c r="G28" i="2"/>
  <c r="F27" i="2"/>
  <c r="F26" i="2"/>
  <c r="F25" i="2"/>
  <c r="F24" i="2"/>
  <c r="E24" i="2"/>
  <c r="D24" i="2"/>
  <c r="F18" i="2"/>
  <c r="E18" i="2"/>
  <c r="D18" i="2"/>
  <c r="C18" i="2"/>
  <c r="K16" i="2"/>
  <c r="J16" i="2"/>
  <c r="I16" i="2"/>
  <c r="H16" i="2"/>
  <c r="G16" i="2"/>
  <c r="G8" i="2"/>
  <c r="G7" i="2"/>
  <c r="G6" i="2"/>
  <c r="G5" i="2"/>
  <c r="B59" i="2" l="1"/>
  <c r="B62" i="2"/>
  <c r="D5" i="5"/>
  <c r="G47" i="2"/>
  <c r="G45" i="2"/>
  <c r="G13" i="2"/>
  <c r="G12" i="2"/>
  <c r="G10" i="2"/>
  <c r="G9" i="2"/>
  <c r="H5" i="2"/>
  <c r="H6" i="2"/>
  <c r="C6" i="5"/>
  <c r="D6" i="5" s="1"/>
  <c r="D4" i="5"/>
  <c r="B63" i="2" l="1"/>
  <c r="B64" i="2" s="1"/>
  <c r="B66" i="2" s="1"/>
  <c r="B13" i="3"/>
  <c r="C14" i="5"/>
  <c r="D14" i="5" s="1"/>
  <c r="G14" i="2"/>
  <c r="G26" i="2" s="1"/>
  <c r="G23" i="2"/>
  <c r="H8" i="2" s="1"/>
  <c r="G11" i="2"/>
  <c r="G22" i="2"/>
  <c r="G15" i="2"/>
  <c r="C7" i="5"/>
  <c r="D7" i="5" s="1"/>
  <c r="I5" i="2"/>
  <c r="H10" i="2"/>
  <c r="I6" i="2"/>
  <c r="H13" i="2"/>
  <c r="H12" i="2" l="1"/>
  <c r="H14" i="2" s="1"/>
  <c r="H26" i="2" s="1"/>
  <c r="G17" i="2"/>
  <c r="G25" i="2"/>
  <c r="G30" i="2"/>
  <c r="G24" i="2"/>
  <c r="G27" i="2" s="1"/>
  <c r="H7" i="2"/>
  <c r="J5" i="2"/>
  <c r="I10" i="2"/>
  <c r="J6" i="2"/>
  <c r="I13" i="2"/>
  <c r="G18" i="2" l="1"/>
  <c r="G38" i="2"/>
  <c r="B5" i="3" s="1"/>
  <c r="B9" i="3" s="1"/>
  <c r="G39" i="2"/>
  <c r="G41" i="2"/>
  <c r="C12" i="5"/>
  <c r="D12" i="5" s="1"/>
  <c r="G31" i="2"/>
  <c r="G33" i="2"/>
  <c r="H9" i="2"/>
  <c r="H11" i="2" s="1"/>
  <c r="H22" i="2"/>
  <c r="K5" i="2"/>
  <c r="J10" i="2"/>
  <c r="K6" i="2"/>
  <c r="J13" i="2"/>
  <c r="H23" i="2"/>
  <c r="I8" i="2" s="1"/>
  <c r="B10" i="3" l="1"/>
  <c r="B11" i="3"/>
  <c r="G34" i="2"/>
  <c r="G36" i="2"/>
  <c r="H25" i="2"/>
  <c r="H17" i="2"/>
  <c r="H30" i="2"/>
  <c r="H24" i="2"/>
  <c r="H27" i="2" s="1"/>
  <c r="I7" i="2"/>
  <c r="K10" i="2"/>
  <c r="K13" i="2"/>
  <c r="I12" i="2"/>
  <c r="I14" i="2" s="1"/>
  <c r="I26" i="2" s="1"/>
  <c r="B4" i="3" l="1"/>
  <c r="B12" i="3" s="1"/>
  <c r="B14" i="3" s="1"/>
  <c r="G40" i="2"/>
  <c r="G42" i="2" s="1"/>
  <c r="G50" i="2" s="1"/>
  <c r="G48" i="2"/>
  <c r="H38" i="2"/>
  <c r="C5" i="3" s="1"/>
  <c r="C9" i="3" s="1"/>
  <c r="H39" i="2"/>
  <c r="H41" i="2"/>
  <c r="H18" i="2"/>
  <c r="H31" i="2"/>
  <c r="H33" i="2"/>
  <c r="I9" i="2"/>
  <c r="I11" i="2" s="1"/>
  <c r="I22" i="2"/>
  <c r="I23" i="2"/>
  <c r="J8" i="2" s="1"/>
  <c r="B16" i="3" l="1"/>
  <c r="B18" i="3" s="1"/>
  <c r="C13" i="5"/>
  <c r="D13" i="5" s="1"/>
  <c r="G49" i="2"/>
  <c r="B15" i="3"/>
  <c r="H44" i="2"/>
  <c r="H45" i="2" s="1"/>
  <c r="H47" i="2" s="1"/>
  <c r="C10" i="3"/>
  <c r="H34" i="2"/>
  <c r="H36" i="2"/>
  <c r="I25" i="2"/>
  <c r="I17" i="2"/>
  <c r="I30" i="2"/>
  <c r="I24" i="2"/>
  <c r="I27" i="2" s="1"/>
  <c r="J7" i="2"/>
  <c r="J12" i="2"/>
  <c r="J14" i="2" s="1"/>
  <c r="J26" i="2" s="1"/>
  <c r="C13" i="3" l="1"/>
  <c r="H48" i="2"/>
  <c r="C4" i="3"/>
  <c r="H40" i="2"/>
  <c r="H42" i="2" s="1"/>
  <c r="H50" i="2" s="1"/>
  <c r="I38" i="2"/>
  <c r="D5" i="3" s="1"/>
  <c r="D9" i="3" s="1"/>
  <c r="I39" i="2"/>
  <c r="I41" i="2"/>
  <c r="I18" i="2"/>
  <c r="I31" i="2"/>
  <c r="I33" i="2"/>
  <c r="J9" i="2"/>
  <c r="J11" i="2" s="1"/>
  <c r="J22" i="2"/>
  <c r="J23" i="2"/>
  <c r="K8" i="2" s="1"/>
  <c r="C11" i="3"/>
  <c r="C15" i="3" l="1"/>
  <c r="I44" i="2"/>
  <c r="I45" i="2" s="1"/>
  <c r="I47" i="2" s="1"/>
  <c r="D10" i="3"/>
  <c r="D11" i="3"/>
  <c r="I34" i="2"/>
  <c r="I36" i="2"/>
  <c r="J25" i="2"/>
  <c r="J17" i="2"/>
  <c r="J30" i="2"/>
  <c r="J24" i="2"/>
  <c r="J27" i="2" s="1"/>
  <c r="K7" i="2"/>
  <c r="K12" i="2"/>
  <c r="K14" i="2" s="1"/>
  <c r="K26" i="2" s="1"/>
  <c r="C12" i="3"/>
  <c r="C14" i="3" s="1"/>
  <c r="D13" i="3" l="1"/>
  <c r="I48" i="2"/>
  <c r="D4" i="3"/>
  <c r="D12" i="3" s="1"/>
  <c r="I40" i="2"/>
  <c r="I42" i="2" s="1"/>
  <c r="I50" i="2" s="1"/>
  <c r="J18" i="2"/>
  <c r="J38" i="2"/>
  <c r="E5" i="3" s="1"/>
  <c r="E9" i="3" s="1"/>
  <c r="J39" i="2"/>
  <c r="J41" i="2"/>
  <c r="J31" i="2"/>
  <c r="J33" i="2"/>
  <c r="K9" i="2"/>
  <c r="K11" i="2" s="1"/>
  <c r="K22" i="2"/>
  <c r="H49" i="2"/>
  <c r="C16" i="3"/>
  <c r="K23" i="2"/>
  <c r="D15" i="3" l="1"/>
  <c r="J44" i="2"/>
  <c r="J45" i="2" s="1"/>
  <c r="J47" i="2" s="1"/>
  <c r="E10" i="3"/>
  <c r="E11" i="3"/>
  <c r="J34" i="2"/>
  <c r="J36" i="2"/>
  <c r="K25" i="2"/>
  <c r="K17" i="2"/>
  <c r="K30" i="2"/>
  <c r="D14" i="3"/>
  <c r="K24" i="2"/>
  <c r="K27" i="2" s="1"/>
  <c r="E13" i="3" l="1"/>
  <c r="J48" i="2"/>
  <c r="E4" i="3"/>
  <c r="E12" i="3" s="1"/>
  <c r="J40" i="2"/>
  <c r="J42" i="2" s="1"/>
  <c r="J50" i="2" s="1"/>
  <c r="K38" i="2"/>
  <c r="F5" i="3" s="1"/>
  <c r="F9" i="3" s="1"/>
  <c r="K39" i="2"/>
  <c r="K41" i="2"/>
  <c r="K18" i="2"/>
  <c r="K31" i="2"/>
  <c r="K33" i="2"/>
  <c r="I49" i="2"/>
  <c r="D16" i="3"/>
  <c r="E15" i="3" l="1"/>
  <c r="K44" i="2"/>
  <c r="K45" i="2" s="1"/>
  <c r="K47" i="2" s="1"/>
  <c r="F13" i="3" s="1"/>
  <c r="F10" i="3"/>
  <c r="F11" i="3"/>
  <c r="K34" i="2"/>
  <c r="E14" i="3"/>
  <c r="J49" i="2" l="1"/>
  <c r="E16" i="3"/>
  <c r="K36" i="2"/>
  <c r="F4" i="3" l="1"/>
  <c r="F12" i="3" s="1"/>
  <c r="F14" i="3" s="1"/>
  <c r="K48" i="2"/>
  <c r="F15" i="3" s="1"/>
  <c r="K40" i="2"/>
  <c r="K42" i="2" s="1"/>
  <c r="K50" i="2" s="1"/>
  <c r="F16" i="3" l="1"/>
  <c r="K4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4" authorId="0" shapeId="0" xr:uid="{00000000-0006-0000-0000-000001000000}">
      <text>
        <r>
          <rPr>
            <sz val="10"/>
            <rFont val="Arial"/>
            <family val="2"/>
          </rPr>
          <t>Reason: Filed FY2025 P&amp;SI ending backlog.</t>
        </r>
      </text>
    </comment>
    <comment ref="A5" authorId="0" shapeId="0" xr:uid="{00000000-0006-0000-0000-000002000000}">
      <text>
        <r>
          <rPr>
            <sz val="10"/>
            <rFont val="Arial"/>
            <family val="2"/>
          </rPr>
          <t>Reason: Filed FY2025 S&amp;S ending backlog.</t>
        </r>
      </text>
    </comment>
    <comment ref="A6" authorId="0" shapeId="0" xr:uid="{00000000-0006-0000-0000-000003000000}">
      <text>
        <r>
          <rPr>
            <sz val="10"/>
            <rFont val="Arial"/>
            <family val="2"/>
          </rPr>
          <t>Reason: 7,253 + (3,812 - 4,135).</t>
        </r>
      </text>
    </comment>
    <comment ref="A7" authorId="0" shapeId="0" xr:uid="{00000000-0006-0000-0000-000004000000}">
      <text>
        <r>
          <rPr>
            <sz val="10"/>
            <rFont val="Arial"/>
            <family val="2"/>
          </rPr>
          <t>Reason: 4,429 + (11,930 - 10,562).</t>
        </r>
      </text>
    </comment>
    <comment ref="A8" authorId="0" shapeId="0" xr:uid="{00000000-0006-0000-0000-000005000000}">
      <text>
        <r>
          <rPr>
            <sz val="10"/>
            <rFont val="Arial"/>
            <family val="2"/>
          </rPr>
          <t>Reason: Hard control total for 2026 beginning-backlog revenue.</t>
        </r>
      </text>
    </comment>
    <comment ref="A9" authorId="0" shapeId="0" xr:uid="{00000000-0006-0000-0000-000006000000}">
      <text>
        <r>
          <rPr>
            <sz val="10"/>
            <rFont val="Arial"/>
            <family val="2"/>
          </rPr>
          <t>Reason: Allocation method: historical_mix scaled to disclosed control for 2026; unscaled disclosed 57% thereafter.</t>
        </r>
      </text>
    </comment>
    <comment ref="A10" authorId="0" shapeId="0" xr:uid="{00000000-0006-0000-0000-000007000000}">
      <text>
        <r>
          <rPr>
            <sz val="10"/>
            <rFont val="Arial"/>
            <family val="2"/>
          </rPr>
          <t>Reason: Allocation method: historical_mix scaled to disclosed control for 2026; unscaled disclosed 24% thereafter.</t>
        </r>
      </text>
    </comment>
    <comment ref="A11" authorId="0" shapeId="0" xr:uid="{00000000-0006-0000-0000-000008000000}">
      <text>
        <r>
          <rPr>
            <sz val="10"/>
            <rFont val="Arial"/>
            <family val="2"/>
          </rPr>
          <t>Reason: Silvus annualization and federal funding in 2026, then replacement-cycle cadence.</t>
        </r>
      </text>
    </comment>
    <comment ref="A12" authorId="0" shapeId="0" xr:uid="{00000000-0006-0000-0000-000009000000}">
      <text>
        <r>
          <rPr>
            <sz val="10"/>
            <rFont val="Arial"/>
            <family val="2"/>
          </rPr>
          <t>Reason: Multi-year renewals and command center demand, decaying.</t>
        </r>
      </text>
    </comment>
    <comment ref="A13" authorId="0" shapeId="0" xr:uid="{00000000-0006-0000-0000-00000A000000}">
      <text>
        <r>
          <rPr>
            <sz val="10"/>
            <rFont val="Arial"/>
            <family val="2"/>
          </rPr>
          <t>Reason: Calibrated value used only in the calibration year; reverts to the historically derived rate (3.9pts lower) thereafter.</t>
        </r>
      </text>
    </comment>
    <comment ref="A14" authorId="0" shapeId="0" xr:uid="{00000000-0006-0000-0000-00000B000000}">
      <text>
        <r>
          <rPr>
            <sz val="10"/>
            <rFont val="Arial"/>
            <family val="2"/>
          </rPr>
          <t>Reason: Calibrated value within 3.1pts of the historical derivation; reverts thereafter.</t>
        </r>
      </text>
    </comment>
    <comment ref="A15" authorId="0" shapeId="0" xr:uid="{00000000-0006-0000-0000-00000C000000}">
      <text>
        <r>
          <rPr>
            <sz val="10"/>
            <rFont val="Arial"/>
            <family val="2"/>
          </rPr>
          <t>Reason: Layer from 2027; $185M base grown ~30% decaying.</t>
        </r>
      </text>
    </comment>
    <comment ref="A16" authorId="0" shapeId="0" xr:uid="{00000000-0006-0000-0000-00000D000000}">
      <text>
        <r>
          <rPr>
            <sz val="10"/>
            <rFont val="Arial"/>
            <family val="2"/>
          </rPr>
          <t>Reason: Unproven; graded Possible until deal-model, comparable-set, or post-integration segment evidence exists.</t>
        </r>
      </text>
    </comment>
    <comment ref="A17" authorId="0" shapeId="0" xr:uid="{00000000-0006-0000-0000-00000E000000}">
      <text>
        <r>
          <rPr>
            <sz val="10"/>
            <rFont val="Arial"/>
            <family val="2"/>
          </rPr>
          <t>Reason: Two years flat; near-flat path.</t>
        </r>
      </text>
    </comment>
    <comment ref="A18" authorId="0" shapeId="0" xr:uid="{00000000-0006-0000-0000-00000F000000}">
      <text>
        <r>
          <rPr>
            <sz val="10"/>
            <rFont val="Arial"/>
            <family val="2"/>
          </rPr>
          <t>Reason: Mix and leverage extend disclosed expansion at decaying rate.</t>
        </r>
      </text>
    </comment>
    <comment ref="A19" authorId="0" shapeId="0" xr:uid="{00000000-0006-0000-0000-000010000000}">
      <text>
        <r>
          <rPr>
            <sz val="10"/>
            <rFont val="Arial"/>
            <family val="2"/>
          </rPr>
          <t>Reason: Q4 exit run-rate plus D-Fend carry from 2027.</t>
        </r>
      </text>
    </comment>
    <comment ref="A20" authorId="0" shapeId="0" xr:uid="{00000000-0006-0000-0000-000011000000}">
      <text>
        <r>
          <rPr>
            <sz val="10"/>
            <rFont val="Arial"/>
            <family val="2"/>
          </rPr>
          <t>Reason: Disclosed rates bracket the path.</t>
        </r>
      </text>
    </comment>
    <comment ref="A21" authorId="0" shapeId="0" xr:uid="{00000000-0006-0000-0000-000012000000}">
      <text>
        <r>
          <rPr>
            <sz val="10"/>
            <rFont val="Arial"/>
            <family val="2"/>
          </rPr>
          <t>Reason: Held flat.</t>
        </r>
      </text>
    </comment>
    <comment ref="A22" authorId="0" shapeId="0" xr:uid="{00000000-0006-0000-0000-000013000000}">
      <text>
        <r>
          <rPr>
            <sz val="10"/>
            <rFont val="Arial"/>
            <family val="2"/>
          </rPr>
          <t>Reason: Post-Silvus run-rate, plus ~$75M D-Fend amortization from 2027, then roll-off.</t>
        </r>
      </text>
    </comment>
    <comment ref="A23" authorId="0" shapeId="0" xr:uid="{00000000-0006-0000-0000-000014000000}">
      <text>
        <r>
          <rPr>
            <sz val="10"/>
            <rFont val="Arial"/>
            <family val="2"/>
          </rPr>
          <t>Reason: Amortization split of D&amp;A used for the non-GAAP bridge; depreciation held ~$190M.</t>
        </r>
      </text>
    </comment>
    <comment ref="A24" authorId="0" shapeId="0" xr:uid="{00000000-0006-0000-0000-000015000000}">
      <text>
        <r>
          <rPr>
            <sz val="10"/>
            <rFont val="Arial"/>
            <family val="2"/>
          </rPr>
          <t>Reason: Tight band.</t>
        </r>
      </text>
    </comment>
    <comment ref="A25" authorId="0" shapeId="0" xr:uid="{00000000-0006-0000-0000-000016000000}">
      <text>
        <r>
          <rPr>
            <sz val="10"/>
            <rFont val="Arial"/>
            <family val="2"/>
          </rPr>
          <t>Reason: Realized Q1 gain enters the non-GAAP bridge; no further collections forecast.</t>
        </r>
      </text>
    </comment>
    <comment ref="A26" authorId="0" shapeId="0" xr:uid="{00000000-0006-0000-0000-000017000000}">
      <text>
        <r>
          <rPr>
            <sz val="10"/>
            <rFont val="Arial"/>
            <family val="2"/>
          </rPr>
          <t>Reason: Non-GAAP bridge component; small and Low confidence.</t>
        </r>
      </text>
    </comment>
    <comment ref="A27" authorId="0" shapeId="0" xr:uid="{00000000-0006-0000-0000-000018000000}">
      <text>
        <r>
          <rPr>
            <sz val="10"/>
            <rFont val="Arial"/>
            <family val="2"/>
          </rPr>
          <t>Reason: Conservative end of observed range.</t>
        </r>
      </text>
    </comment>
    <comment ref="A28" authorId="0" shapeId="0" xr:uid="{00000000-0006-0000-0000-000019000000}">
      <text>
        <r>
          <rPr>
            <sz val="10"/>
            <rFont val="Arial"/>
            <family val="2"/>
          </rPr>
          <t>Reason: Stable intensity.</t>
        </r>
      </text>
    </comment>
    <comment ref="A29" authorId="0" shapeId="0" xr:uid="{00000000-0006-0000-0000-00001A000000}">
      <text>
        <r>
          <rPr>
            <sz val="10"/>
            <rFont val="Arial"/>
            <family val="2"/>
          </rPr>
          <t>Reason: Buyback bridge launch point.</t>
        </r>
      </text>
    </comment>
    <comment ref="A30" authorId="0" shapeId="0" xr:uid="{00000000-0006-0000-0000-00001B000000}">
      <text>
        <r>
          <rPr>
            <sz val="10"/>
            <rFont val="Arial"/>
            <family val="2"/>
          </rPr>
          <t>Reason: Continues FY2025 pace, &gt;2x covered by FCF.</t>
        </r>
      </text>
    </comment>
    <comment ref="A31" authorId="0" shapeId="0" xr:uid="{00000000-0006-0000-0000-00001C000000}">
      <text>
        <r>
          <rPr>
            <sz val="10"/>
            <rFont val="Arial"/>
            <family val="2"/>
          </rPr>
          <t>Reason: Valuation-tied repurchase price: price_t = multiple x prior-year modeled GAAP EPS; multiple held, Low confidence, stressed.</t>
        </r>
      </text>
    </comment>
    <comment ref="A32" authorId="0" shapeId="0" xr:uid="{00000000-0006-0000-0000-00001D000000}">
      <text>
        <r>
          <rPr>
            <sz val="10"/>
            <rFont val="Arial"/>
            <family val="2"/>
          </rPr>
          <t>Reason: Derived issuance offset.</t>
        </r>
      </text>
    </comment>
  </commentList>
</comments>
</file>

<file path=xl/sharedStrings.xml><?xml version="1.0" encoding="utf-8"?>
<sst xmlns="http://schemas.openxmlformats.org/spreadsheetml/2006/main" count="314" uniqueCount="213">
  <si>
    <t>MSI v3 Assumptions ($mm unless noted). Blue = inputs. Yellow = Low confidence. Orange = CALIBRATION_ONLY (2026 only; reverts to historical rate after).</t>
  </si>
  <si>
    <t>Variable</t>
  </si>
  <si>
    <t>2026</t>
  </si>
  <si>
    <t>2027</t>
  </si>
  <si>
    <t>2028</t>
  </si>
  <si>
    <t>2029</t>
  </si>
  <si>
    <t>2030</t>
  </si>
  <si>
    <t>Confidence</t>
  </si>
  <si>
    <t>Status</t>
  </si>
  <si>
    <t>Damodaran</t>
  </si>
  <si>
    <t>Source</t>
  </si>
  <si>
    <t>psi_beginning_backlog</t>
  </si>
  <si>
    <t>High</t>
  </si>
  <si>
    <t>Confirmed</t>
  </si>
  <si>
    <t>Probable</t>
  </si>
  <si>
    <t>MSI FY2025 Form 10-K (SEC EDGAR, msi-20251231.htm), Item 1 Backlog table</t>
  </si>
  <si>
    <t>ss_beginning_backlog</t>
  </si>
  <si>
    <t>psi_bookings_prior_year</t>
  </si>
  <si>
    <t>MSI FY2025 Form 10-K (SEC EDGAR, msi-20251231.htm) backlog roll-forward identity</t>
  </si>
  <si>
    <t>ss_bookings_prior_year</t>
  </si>
  <si>
    <t>company_2026_backlog_recognition_control</t>
  </si>
  <si>
    <t>MSI FY2025 Form 10-K (SEC EDGAR, msi-20251231.htm) recognition sentence</t>
  </si>
  <si>
    <t>psi_bb_recognition_rate</t>
  </si>
  <si>
    <t>Medium</t>
  </si>
  <si>
    <t>Plausible</t>
  </si>
  <si>
    <t>MSI FY2024 Form 10-K (SEC EDGAR, msi-20241231.htm): '~57% of P&amp;SI segment backlog and ~24% of S&amp;S segment backlog expected to be recognized as revenue during 2025'; 2026 value scales the disclosed 57% by 0.953 so segments sum to the $4.8B FY2025 10-K control</t>
  </si>
  <si>
    <t>ss_bb_recognition_rate</t>
  </si>
  <si>
    <t>MSI FY2024 Form 10-K (SEC EDGAR, msi-20241231.htm): '~57% of P&amp;SI segment backlog and ~24% of S&amp;S segment backlog expected to be recognized as revenue during 2025'; 2026 value scales the disclosed 24% by 0.953 so segments sum to the $4.8B FY2025 10-K control</t>
  </si>
  <si>
    <t>psi_bookings_yoy_change</t>
  </si>
  <si>
    <t>MSI Q4/FY2025 press release, Feb 11, 2026 (record orders +26%; OBBBA) and MSI Q1 2026 press release, May 7, 2026 (Silvus 2026 revenue $750M; record Q1 orders)</t>
  </si>
  <si>
    <t>ss_bookings_yoy_change</t>
  </si>
  <si>
    <t>MSI Q4/FY2025 press release, Feb 11, 2026 (S&amp;S backlog +13%) and MSI Q1 2026 press release, May 7, 2026 (Q1 S&amp;S revenue +18%; record Q1 backlog)</t>
  </si>
  <si>
    <t>psi_same_year_booking_conversion</t>
  </si>
  <si>
    <t>CALIBRATION_ONLY</t>
  </si>
  <si>
    <t>2026: CALIBRATION_ONLY, solved against $12.8B guidance (74.5%). 2027+: 70.6% derived from MSI FY2024 Form 10-K (SEC EDGAR, msi-20241231.htm): '~57% of P&amp;SI segment backlog and ~24% of S&amp;S segment backlog expected to be recognized as revenue during 2025' disclosed 2025 expectation and the filed bookings identity</t>
  </si>
  <si>
    <t>ss_same_year_booking_conversion</t>
  </si>
  <si>
    <t>2026: CALIBRATION_ONLY, solved against $12.8B guidance (35.8%). 2027+: 32.7% derived from MSI FY2024 Form 10-K (SEC EDGAR, msi-20241231.htm): '~57% of P&amp;SI segment backlog and ~24% of S&amp;S segment backlog expected to be recognized as revenue during 2025' disclosed 2025 expectation and the filed bookings identity</t>
  </si>
  <si>
    <t>dfend_revenue</t>
  </si>
  <si>
    <t>Low</t>
  </si>
  <si>
    <t>D-Fend press release, June 1, 2026 ($185M expected FY2026 standalone; 50%+ growth last three years; Q4 2026 close)</t>
  </si>
  <si>
    <t>dfend_operating_margin</t>
  </si>
  <si>
    <t>Possible</t>
  </si>
  <si>
    <t>No disclosure; judgment placeholder near P&amp;SI segment margin; full 10-35% sensitivity table published</t>
  </si>
  <si>
    <t>psi_segment_operating_margin</t>
  </si>
  <si>
    <t>MSI Q4/FY2025 press release, Feb 11, 2026 segment table: 24.3% GAAP FY2024 and FY2025</t>
  </si>
  <si>
    <t>ss_segment_operating_margin</t>
  </si>
  <si>
    <t>MSI Q4/FY2025 press release, Feb 11, 2026 segment table: 25.7% to 27.7% GAAP</t>
  </si>
  <si>
    <t>net_interest_expense</t>
  </si>
  <si>
    <t>MSI Q4/FY2025 press release, Feb 11, 2026 (Q4 run-rate ~$440M; $200M term loan repaid) and D-Fend press release, June 1, 2026 (financing undisclosed, ~5% assumed from 2027, sensitivity-tested)</t>
  </si>
  <si>
    <t>effective_tax_rate</t>
  </si>
  <si>
    <t>MSI Q4/FY2025 press release, Feb 11, 2026 (FY2025 GAAP ETR 23.2%; ~22.5% guided non-GAAP rate)</t>
  </si>
  <si>
    <t>minority_interest_earnings</t>
  </si>
  <si>
    <t>Uploaded statements and Q4 GAAP-2 table ($4-6M, five years)</t>
  </si>
  <si>
    <t>da_expense</t>
  </si>
  <si>
    <t>MSI Q4/FY2025 press release, Feb 11, 2026 (Q4 D&amp;A $143M run-rate; FY2025 intangibles amortization $234M) plus D-Fend amortization estimate from 2027</t>
  </si>
  <si>
    <t>intangible_amortization_within_da</t>
  </si>
  <si>
    <t>MSI Q4/FY2025 press release, Feb 11, 2026 (FY2025: $234M amortization within $425M D&amp;A, Q4 amortization $92M; depreciation ~$190M stable)</t>
  </si>
  <si>
    <t>sbc_pct_of_revenue</t>
  </si>
  <si>
    <t>Uploaded statements ($293M / $11,682M = 2.51%; 2.2-2.5% five-year band)</t>
  </si>
  <si>
    <t>hytera_gain_2026</t>
  </si>
  <si>
    <t>MSI Q1 2026 press release, May 7, 2026 ($40M Hytera payment recognized in Q1 2026, excluded from non-GAAP)</t>
  </si>
  <si>
    <t>acquisition_transaction_costs</t>
  </si>
  <si>
    <t>Judgment: D-Fend and Bell Canada deal fees in 2026; no specific disclosure</t>
  </si>
  <si>
    <t>wc_drag_pct_of_revenue_delta</t>
  </si>
  <si>
    <t>Uploaded statements (~16 cents per incremental dollar FY2025; ~11 cents FY2024)</t>
  </si>
  <si>
    <t>capex_pct_of_revenue</t>
  </si>
  <si>
    <t>Uploaded statements and Q4 release (2.2-2.8% five-year band)</t>
  </si>
  <si>
    <t>share_count_prior_year</t>
  </si>
  <si>
    <t>MSI Q4/FY2025 press release, Feb 11, 2026 GAAP-2 (FY2025 weighted diluted 169.0M)</t>
  </si>
  <si>
    <t>annual_buyback_dollars</t>
  </si>
  <si>
    <t>MSI Q4/FY2025 press release, Feb 11, 2026 ($1,154M FY2025 at $420.21 avg); authorization remaining USER_REQUIRED</t>
  </si>
  <si>
    <t>repurchase_trailing_pe_multiple</t>
  </si>
  <si>
    <t>MSI ~$433 on May 7, 2026 vs FY2025 GAAP EPS $12.75 = ~34x trailing; 33x used</t>
  </si>
  <si>
    <t>annual_issuance_shares</t>
  </si>
  <si>
    <t>FY2025 buyback bridge: diluted fell 1.8M while ~2.7M repurchased, implying ~0.9M issuance</t>
  </si>
  <si>
    <t>Motorola Solutions (MSI) v3 - Decomposed Backlog Model ($mm except per-share). Label: PLAUSIBLE-to-PROBABLE (2026 probable-grade; outer years plausible).</t>
  </si>
  <si>
    <t>Allocation: FY2024 10-K disclosed recognition rates (57% P&amp;SI / 24% S&amp;S) scaled 0.953 to the $4.8B FY2025 10-K control. 2026 conversions CALIBRATION_ONLY; 2027+ revert to historically derived rates.</t>
  </si>
  <si>
    <t>Line item</t>
  </si>
  <si>
    <t>2021</t>
  </si>
  <si>
    <t>2022</t>
  </si>
  <si>
    <t>2023</t>
  </si>
  <si>
    <t>2024</t>
  </si>
  <si>
    <t>2025</t>
  </si>
  <si>
    <t>P&amp;SI bookings</t>
  </si>
  <si>
    <t>S&amp;S bookings</t>
  </si>
  <si>
    <t>P&amp;SI beginning backlog</t>
  </si>
  <si>
    <t>S&amp;S beginning backlog</t>
  </si>
  <si>
    <t>P&amp;SI revenue from beginning backlog</t>
  </si>
  <si>
    <t>P&amp;SI revenue from same-year bookings</t>
  </si>
  <si>
    <t>P&amp;SI revenue</t>
  </si>
  <si>
    <t>S&amp;S revenue from beginning backlog</t>
  </si>
  <si>
    <t>S&amp;S revenue from same-year bookings</t>
  </si>
  <si>
    <t>S&amp;S revenue</t>
  </si>
  <si>
    <t>Beginning-backlog revenue vs $4.8B control</t>
  </si>
  <si>
    <t>Acquisition revenue (D-Fend, from 2027)</t>
  </si>
  <si>
    <t>Total revenue</t>
  </si>
  <si>
    <t>Revenue change YoY</t>
  </si>
  <si>
    <t>Acquired backlog added</t>
  </si>
  <si>
    <t>Cancellations / scope changes</t>
  </si>
  <si>
    <t>FX impact on backlog</t>
  </si>
  <si>
    <t>P&amp;SI ending backlog</t>
  </si>
  <si>
    <t>S&amp;S ending backlog</t>
  </si>
  <si>
    <t>Total ending backlog</t>
  </si>
  <si>
    <t>P&amp;SI book-to-bill</t>
  </si>
  <si>
    <t>S&amp;S book-to-bill</t>
  </si>
  <si>
    <t>Ending backlog / revenue</t>
  </si>
  <si>
    <t>P&amp;SI operating margin</t>
  </si>
  <si>
    <t>S&amp;S operating margin</t>
  </si>
  <si>
    <t>Operating income (GAAP)</t>
  </si>
  <si>
    <t>Operating margin</t>
  </si>
  <si>
    <t>Net interest expense</t>
  </si>
  <si>
    <t>Pretax income</t>
  </si>
  <si>
    <t>Tax expense</t>
  </si>
  <si>
    <t>Noncontrolling interest</t>
  </si>
  <si>
    <t>Net income to common</t>
  </si>
  <si>
    <t>D&amp;A</t>
  </si>
  <si>
    <t>Share-based comp</t>
  </si>
  <si>
    <t>Working capital outflow</t>
  </si>
  <si>
    <t>Operating cash flow</t>
  </si>
  <si>
    <t>Capital expenditures</t>
  </si>
  <si>
    <t>Free cash flow</t>
  </si>
  <si>
    <t>Buyback dollars</t>
  </si>
  <si>
    <t>Avg repurchase price (=PE x prior EPS)</t>
  </si>
  <si>
    <t>Shares repurchased (M)</t>
  </si>
  <si>
    <t>Issuance shares (M)</t>
  </si>
  <si>
    <t>Diluted shares (M)</t>
  </si>
  <si>
    <t>EPS (diluted, GAAP)</t>
  </si>
  <si>
    <t>Non-GAAP EPS (approximate bridge)</t>
  </si>
  <si>
    <t>FCF per share</t>
  </si>
  <si>
    <t>GAAP to Non-GAAP EPS Bridge (approximate: company provides no quantitative forward reconciliation)</t>
  </si>
  <si>
    <t>Line</t>
  </si>
  <si>
    <t>GAAP net income to common</t>
  </si>
  <si>
    <t>+ Share-based compensation</t>
  </si>
  <si>
    <t>+ Intangible amortization</t>
  </si>
  <si>
    <t>+ Acquisition and integration costs (est.)</t>
  </si>
  <si>
    <t>- Hytera legal gains</t>
  </si>
  <si>
    <t>Pretax adjustments</t>
  </si>
  <si>
    <t>Tax effect of adjustments (22.5%)</t>
  </si>
  <si>
    <t>After-tax adjustments</t>
  </si>
  <si>
    <t>Non-GAAP net income</t>
  </si>
  <si>
    <t>Non-GAAP EPS</t>
  </si>
  <si>
    <t>GAAP EPS</t>
  </si>
  <si>
    <t>Non-GAAP EPS (= row 11)</t>
  </si>
  <si>
    <t>Guidance midpoint (2026 only)</t>
  </si>
  <si>
    <t>Variance vs guidance</t>
  </si>
  <si>
    <t>Calibration Variables (isolated per skill patch: solved values are not forecast assumptions)</t>
  </si>
  <si>
    <t>Historical (derived 2025)</t>
  </si>
  <si>
    <t>Calibrated 2026</t>
  </si>
  <si>
    <t>Difference (pts)</t>
  </si>
  <si>
    <t>Evidence grade</t>
  </si>
  <si>
    <t>Use beyond 2026?</t>
  </si>
  <si>
    <t>Post-2026 value</t>
  </si>
  <si>
    <t>P&amp;SI same-year booking conversion</t>
  </si>
  <si>
    <t>Derived from FY2024 10-K disclosed 57% P&amp;SI recognition + filed bookings identity</t>
  </si>
  <si>
    <t>No</t>
  </si>
  <si>
    <t>S&amp;S same-year booking conversion</t>
  </si>
  <si>
    <t>Derived from FY2024 10-K disclosed 24% S&amp;S recognition + filed bookings identity</t>
  </si>
  <si>
    <t>Derivation: 2025 expected BB recognition = disclosed rate x filed 2024 backlog. P&amp;SI: 57% x 4,135 = 2,357. S&amp;S: 24% x 10,562 = 2,535.</t>
  </si>
  <si>
    <t>Same-year conversion = (segment revenue - expected BB recognition) / derived bookings. P&amp;SI: (7,253-2,357)/6,930. S&amp;S: (4,429-2,535)/5,797.</t>
  </si>
  <si>
    <t>The 2026 calibrated values are solved against the raised $12.8B guidance and sit 3.9pts (P&amp;SI) and 3.1pts (S&amp;S) above the historical derivation.</t>
  </si>
  <si>
    <t>Interpretation: hitting 2026 guidance requires modestly above-trend in-year conversion; the model reverts to historical rates from 2027, which produces the small P&amp;SI dip in 2027.</t>
  </si>
  <si>
    <t>Controls, Allocation Bridge, D-Fend Margin Sensitivity</t>
  </si>
  <si>
    <t>FILING TIE-OUTS</t>
  </si>
  <si>
    <t>Filed</t>
  </si>
  <si>
    <t>Model</t>
  </si>
  <si>
    <t>Diff</t>
  </si>
  <si>
    <t>P&amp;SI ending backlog 2025</t>
  </si>
  <si>
    <t>S&amp;S ending backlog 2025</t>
  </si>
  <si>
    <t>Total backlog 2025</t>
  </si>
  <si>
    <t>2026 backlog recognition control</t>
  </si>
  <si>
    <t>RPO total (recorded)</t>
  </si>
  <si>
    <t>n/a</t>
  </si>
  <si>
    <t>RPO next 12 months (recorded)</t>
  </si>
  <si>
    <t>GUIDANCE BRIDGES (May 7, 2026)</t>
  </si>
  <si>
    <t>Guidance</t>
  </si>
  <si>
    <t>Var %</t>
  </si>
  <si>
    <t>2026 revenue</t>
  </si>
  <si>
    <t>2026 non-GAAP EPS (midpoint; approx bridge)</t>
  </si>
  <si>
    <t>2026 diluted shares</t>
  </si>
  <si>
    <t>ALLOCATION BRIDGE: $4.8B control split (2026)</t>
  </si>
  <si>
    <t>Method</t>
  </si>
  <si>
    <t>P&amp;SI BB</t>
  </si>
  <si>
    <t>S&amp;S BB</t>
  </si>
  <si>
    <t>P&amp;SI rev</t>
  </si>
  <si>
    <t>S&amp;S rev</t>
  </si>
  <si>
    <t>Op income</t>
  </si>
  <si>
    <t>EPS</t>
  </si>
  <si>
    <t>A_proportionate_to_backlog</t>
  </si>
  <si>
    <t>proportional</t>
  </si>
  <si>
    <t>B_historical_mix_scaled (model)</t>
  </si>
  <si>
    <t>historical_mix</t>
  </si>
  <si>
    <t>C_service_slower (S&amp;S at 20%)</t>
  </si>
  <si>
    <t>judgment</t>
  </si>
  <si>
    <t>Note: total revenue and EPS nearly invariant across cases; the control pins total BB revenue, so the split moves segment mix, not company earnings.</t>
  </si>
  <si>
    <t>D-FEND MARGIN SENSITIVITY (2030)</t>
  </si>
  <si>
    <t>Margin</t>
  </si>
  <si>
    <t>Net income</t>
  </si>
  <si>
    <t>base</t>
  </si>
  <si>
    <t>Note: full plus/minus 20% sensitivity across all variables is in sensitivity_report.csv.</t>
  </si>
  <si>
    <t>FCFE</t>
  </si>
  <si>
    <t>Disc FCFE</t>
  </si>
  <si>
    <t>MSI</t>
  </si>
  <si>
    <t>MC</t>
  </si>
  <si>
    <t>Cash</t>
  </si>
  <si>
    <t>Debt</t>
  </si>
  <si>
    <t>EV</t>
  </si>
  <si>
    <t>Disc</t>
  </si>
  <si>
    <t>TGR</t>
  </si>
  <si>
    <t>DTV</t>
  </si>
  <si>
    <t xml:space="preserve">EV </t>
  </si>
  <si>
    <t>Equity</t>
  </si>
  <si>
    <t>Share Price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</si>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</sst>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,##0;\(#,##0\);\-"/>
    <numFmt numFmtId="165" formatCode="0.0%"/>
    <numFmt numFmtId="166" formatCode="#,##0.0;\(#,##0.0\);\-"/>
    <numFmt numFmtId="167" formatCode="0.00\x"/>
    <numFmt numFmtId="168" formatCode="\$#,##0.00;&quot;($&quot;#,##0.00\);\-"/>
    <numFmt numFmtId="169" formatCode="_(* #,##0_);_(* \(#,##0\);_(* &quot;-&quot;??_);_(@_)"/>
  </numFmts>
  <fonts count="11" x14ac:knownFonts="1">
    <font>
      <sz val="11"/>
      <color theme="1"/>
      <name val="Calibri"/>
      <family val="2"/>
      <charset val="1"/>
    </font>
    <font>
      <sz val="10"/>
      <name val="Arial"/>
    </font>
    <font>
      <b/>
      <sz val="11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8"/>
      <name val="Arial"/>
      <charset val="1"/>
    </font>
    <font>
      <sz val="10"/>
      <name val="Arial"/>
      <family val="2"/>
    </font>
    <font>
      <sz val="10"/>
      <color rgb="FF008000"/>
      <name val="Arial"/>
      <charset val="1"/>
    </font>
    <font>
      <b/>
      <sz val="10"/>
      <name val="Arial"/>
      <charset val="1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D966"/>
        <bgColor rgb="FFFFFF9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3">
    <xf numFmtId="0" fontId="0" fillId="0" borderId="0"/>
    <xf numFmtId="43" fontId="1" fillId="0" borderId="0" applyBorder="0" applyAlignment="0" applyProtection="0"/>
    <xf numFmtId="9" fontId="1" fillId="0" borderId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164" fontId="5" fillId="0" borderId="0" xfId="0" applyNumberFormat="1" applyFont="1"/>
    <xf numFmtId="0" fontId="6" fillId="0" borderId="0" xfId="0" applyFont="1"/>
    <xf numFmtId="165" fontId="5" fillId="0" borderId="0" xfId="0" applyNumberFormat="1" applyFont="1"/>
    <xf numFmtId="165" fontId="5" fillId="3" borderId="0" xfId="0" applyNumberFormat="1" applyFont="1" applyFill="1"/>
    <xf numFmtId="166" fontId="5" fillId="4" borderId="0" xfId="0" applyNumberFormat="1" applyFont="1" applyFill="1"/>
    <xf numFmtId="164" fontId="5" fillId="4" borderId="0" xfId="0" applyNumberFormat="1" applyFont="1" applyFill="1"/>
    <xf numFmtId="165" fontId="5" fillId="4" borderId="0" xfId="0" applyNumberFormat="1" applyFont="1" applyFill="1"/>
    <xf numFmtId="166" fontId="5" fillId="0" borderId="0" xfId="0" applyNumberFormat="1" applyFont="1"/>
    <xf numFmtId="0" fontId="3" fillId="2" borderId="0" xfId="0" applyFont="1" applyFill="1" applyAlignment="1">
      <alignment horizontal="center"/>
    </xf>
    <xf numFmtId="164" fontId="8" fillId="0" borderId="0" xfId="0" applyNumberFormat="1" applyFont="1"/>
    <xf numFmtId="164" fontId="4" fillId="0" borderId="0" xfId="0" applyNumberFormat="1" applyFont="1"/>
    <xf numFmtId="0" fontId="9" fillId="0" borderId="0" xfId="0" applyFont="1"/>
    <xf numFmtId="0" fontId="9" fillId="0" borderId="1" xfId="0" applyFont="1" applyBorder="1"/>
    <xf numFmtId="164" fontId="5" fillId="0" borderId="1" xfId="0" applyNumberFormat="1" applyFont="1" applyBorder="1"/>
    <xf numFmtId="164" fontId="4" fillId="0" borderId="1" xfId="0" applyNumberFormat="1" applyFont="1" applyBorder="1"/>
    <xf numFmtId="165" fontId="4" fillId="0" borderId="0" xfId="0" applyNumberFormat="1" applyFont="1"/>
    <xf numFmtId="167" fontId="4" fillId="0" borderId="0" xfId="0" applyNumberFormat="1" applyFont="1"/>
    <xf numFmtId="165" fontId="8" fillId="0" borderId="0" xfId="0" applyNumberFormat="1" applyFont="1"/>
    <xf numFmtId="166" fontId="4" fillId="0" borderId="0" xfId="0" applyNumberFormat="1" applyFont="1"/>
    <xf numFmtId="166" fontId="8" fillId="0" borderId="0" xfId="0" applyNumberFormat="1" applyFont="1"/>
    <xf numFmtId="168" fontId="4" fillId="0" borderId="0" xfId="0" applyNumberFormat="1" applyFont="1"/>
    <xf numFmtId="168" fontId="8" fillId="0" borderId="0" xfId="0" applyNumberFormat="1" applyFont="1"/>
    <xf numFmtId="168" fontId="5" fillId="0" borderId="0" xfId="0" applyNumberFormat="1" applyFont="1"/>
    <xf numFmtId="165" fontId="0" fillId="0" borderId="0" xfId="0" applyNumberFormat="1"/>
    <xf numFmtId="165" fontId="4" fillId="3" borderId="0" xfId="0" applyNumberFormat="1" applyFont="1" applyFill="1"/>
    <xf numFmtId="164" fontId="0" fillId="0" borderId="0" xfId="0" applyNumberFormat="1"/>
    <xf numFmtId="168" fontId="0" fillId="0" borderId="0" xfId="0" applyNumberFormat="1"/>
    <xf numFmtId="0" fontId="10" fillId="0" borderId="0" xfId="0" applyFont="1"/>
    <xf numFmtId="169" fontId="1" fillId="0" borderId="0" xfId="1" applyNumberFormat="1"/>
    <xf numFmtId="43" fontId="1" fillId="0" borderId="0" xfId="1"/>
    <xf numFmtId="169" fontId="0" fillId="0" borderId="0" xfId="0" applyNumberFormat="1"/>
    <xf numFmtId="10" fontId="0" fillId="0" borderId="0" xfId="0" applyNumberFormat="1"/>
    <xf numFmtId="43" fontId="0" fillId="0" borderId="0" xfId="0" applyNumberFormat="1"/>
    <xf numFmtId="165" fontId="1" fillId="0" borderId="0" xfId="2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7109375" defaultRowHeight="15" x14ac:dyDescent="0.25"/>
  <cols>
    <col min="1" max="1" width="36" customWidth="1"/>
    <col min="2" max="6" width="11" customWidth="1"/>
    <col min="7" max="7" width="10" customWidth="1"/>
    <col min="8" max="8" width="16" customWidth="1"/>
    <col min="9" max="9" width="10" customWidth="1"/>
    <col min="10" max="10" width="100" customWidth="1"/>
  </cols>
  <sheetData>
    <row r="1" spans="1:10" x14ac:dyDescent="0.25">
      <c r="A1" s="1" t="s">
        <v>0</v>
      </c>
    </row>
    <row r="3" spans="1:1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25">
      <c r="A4" s="3" t="s">
        <v>11</v>
      </c>
      <c r="B4" s="4">
        <v>3812</v>
      </c>
      <c r="G4" s="3" t="s">
        <v>12</v>
      </c>
      <c r="H4" s="3" t="s">
        <v>13</v>
      </c>
      <c r="I4" s="3" t="s">
        <v>14</v>
      </c>
      <c r="J4" s="5" t="s">
        <v>15</v>
      </c>
    </row>
    <row r="5" spans="1:10" x14ac:dyDescent="0.25">
      <c r="A5" s="3" t="s">
        <v>16</v>
      </c>
      <c r="B5" s="4">
        <v>11930</v>
      </c>
      <c r="G5" s="3" t="s">
        <v>12</v>
      </c>
      <c r="H5" s="3" t="s">
        <v>13</v>
      </c>
      <c r="I5" s="3" t="s">
        <v>14</v>
      </c>
      <c r="J5" s="5" t="s">
        <v>15</v>
      </c>
    </row>
    <row r="6" spans="1:10" x14ac:dyDescent="0.25">
      <c r="A6" s="3" t="s">
        <v>17</v>
      </c>
      <c r="B6" s="4">
        <v>6930</v>
      </c>
      <c r="G6" s="3" t="s">
        <v>12</v>
      </c>
      <c r="H6" s="3" t="s">
        <v>13</v>
      </c>
      <c r="I6" s="3" t="s">
        <v>14</v>
      </c>
      <c r="J6" s="5" t="s">
        <v>18</v>
      </c>
    </row>
    <row r="7" spans="1:10" x14ac:dyDescent="0.25">
      <c r="A7" s="3" t="s">
        <v>19</v>
      </c>
      <c r="B7" s="4">
        <v>5797</v>
      </c>
      <c r="G7" s="3" t="s">
        <v>12</v>
      </c>
      <c r="H7" s="3" t="s">
        <v>13</v>
      </c>
      <c r="I7" s="3" t="s">
        <v>14</v>
      </c>
      <c r="J7" s="5" t="s">
        <v>18</v>
      </c>
    </row>
    <row r="8" spans="1:10" x14ac:dyDescent="0.25">
      <c r="A8" s="3" t="s">
        <v>20</v>
      </c>
      <c r="B8" s="4">
        <v>4800</v>
      </c>
      <c r="G8" s="3" t="s">
        <v>12</v>
      </c>
      <c r="H8" s="3" t="s">
        <v>13</v>
      </c>
      <c r="I8" s="3" t="s">
        <v>14</v>
      </c>
      <c r="J8" s="5" t="s">
        <v>21</v>
      </c>
    </row>
    <row r="9" spans="1:10" x14ac:dyDescent="0.25">
      <c r="A9" s="3" t="s">
        <v>22</v>
      </c>
      <c r="B9" s="6">
        <v>0.54330000000000001</v>
      </c>
      <c r="C9" s="6">
        <v>0.56999999999999995</v>
      </c>
      <c r="D9" s="6">
        <v>0.56999999999999995</v>
      </c>
      <c r="E9" s="6">
        <v>0.56999999999999995</v>
      </c>
      <c r="F9" s="6">
        <v>0.56999999999999995</v>
      </c>
      <c r="G9" s="3" t="s">
        <v>23</v>
      </c>
      <c r="H9" s="3" t="s">
        <v>13</v>
      </c>
      <c r="I9" s="3" t="s">
        <v>24</v>
      </c>
      <c r="J9" s="5" t="s">
        <v>25</v>
      </c>
    </row>
    <row r="10" spans="1:10" x14ac:dyDescent="0.25">
      <c r="A10" s="3" t="s">
        <v>26</v>
      </c>
      <c r="B10" s="6">
        <v>0.2288</v>
      </c>
      <c r="C10" s="6">
        <v>0.24</v>
      </c>
      <c r="D10" s="6">
        <v>0.24</v>
      </c>
      <c r="E10" s="6">
        <v>0.24</v>
      </c>
      <c r="F10" s="6">
        <v>0.24</v>
      </c>
      <c r="G10" s="3" t="s">
        <v>23</v>
      </c>
      <c r="H10" s="3" t="s">
        <v>13</v>
      </c>
      <c r="I10" s="3" t="s">
        <v>24</v>
      </c>
      <c r="J10" s="5" t="s">
        <v>27</v>
      </c>
    </row>
    <row r="11" spans="1:10" x14ac:dyDescent="0.25">
      <c r="A11" s="3" t="s">
        <v>28</v>
      </c>
      <c r="B11" s="6">
        <v>0.1</v>
      </c>
      <c r="C11" s="6">
        <v>0.04</v>
      </c>
      <c r="D11" s="6">
        <v>0.04</v>
      </c>
      <c r="E11" s="6">
        <v>0.03</v>
      </c>
      <c r="F11" s="6">
        <v>0.03</v>
      </c>
      <c r="G11" s="3" t="s">
        <v>23</v>
      </c>
      <c r="H11" s="3" t="s">
        <v>13</v>
      </c>
      <c r="I11" s="3" t="s">
        <v>24</v>
      </c>
      <c r="J11" s="5" t="s">
        <v>29</v>
      </c>
    </row>
    <row r="12" spans="1:10" x14ac:dyDescent="0.25">
      <c r="A12" s="3" t="s">
        <v>30</v>
      </c>
      <c r="B12" s="6">
        <v>0.12</v>
      </c>
      <c r="C12" s="6">
        <v>0.1</v>
      </c>
      <c r="D12" s="6">
        <v>0.08</v>
      </c>
      <c r="E12" s="6">
        <v>7.0000000000000007E-2</v>
      </c>
      <c r="F12" s="6">
        <v>0.06</v>
      </c>
      <c r="G12" s="3" t="s">
        <v>23</v>
      </c>
      <c r="H12" s="3" t="s">
        <v>13</v>
      </c>
      <c r="I12" s="3" t="s">
        <v>24</v>
      </c>
      <c r="J12" s="5" t="s">
        <v>31</v>
      </c>
    </row>
    <row r="13" spans="1:10" x14ac:dyDescent="0.25">
      <c r="A13" s="3" t="s">
        <v>32</v>
      </c>
      <c r="B13" s="7">
        <v>0.745</v>
      </c>
      <c r="C13" s="6">
        <v>0.70650000000000002</v>
      </c>
      <c r="D13" s="6">
        <v>0.70650000000000002</v>
      </c>
      <c r="E13" s="6">
        <v>0.70650000000000002</v>
      </c>
      <c r="F13" s="6">
        <v>0.70650000000000002</v>
      </c>
      <c r="G13" s="3" t="s">
        <v>23</v>
      </c>
      <c r="H13" s="3" t="s">
        <v>33</v>
      </c>
      <c r="I13" s="3" t="s">
        <v>24</v>
      </c>
      <c r="J13" s="5" t="s">
        <v>34</v>
      </c>
    </row>
    <row r="14" spans="1:10" x14ac:dyDescent="0.25">
      <c r="A14" s="3" t="s">
        <v>35</v>
      </c>
      <c r="B14" s="7">
        <v>0.35749999999999998</v>
      </c>
      <c r="C14" s="6">
        <v>0.32669999999999999</v>
      </c>
      <c r="D14" s="6">
        <v>0.32669999999999999</v>
      </c>
      <c r="E14" s="6">
        <v>0.32669999999999999</v>
      </c>
      <c r="F14" s="6">
        <v>0.32669999999999999</v>
      </c>
      <c r="G14" s="3" t="s">
        <v>23</v>
      </c>
      <c r="H14" s="3" t="s">
        <v>33</v>
      </c>
      <c r="I14" s="3" t="s">
        <v>24</v>
      </c>
      <c r="J14" s="5" t="s">
        <v>36</v>
      </c>
    </row>
    <row r="15" spans="1:10" x14ac:dyDescent="0.25">
      <c r="A15" s="3" t="s">
        <v>37</v>
      </c>
      <c r="B15" s="8">
        <v>0</v>
      </c>
      <c r="C15" s="9">
        <v>240</v>
      </c>
      <c r="D15" s="9">
        <v>310</v>
      </c>
      <c r="E15" s="9">
        <v>390</v>
      </c>
      <c r="F15" s="9">
        <v>470</v>
      </c>
      <c r="G15" s="3" t="s">
        <v>38</v>
      </c>
      <c r="H15" s="3" t="s">
        <v>13</v>
      </c>
      <c r="I15" s="3" t="s">
        <v>24</v>
      </c>
      <c r="J15" s="5" t="s">
        <v>39</v>
      </c>
    </row>
    <row r="16" spans="1:10" x14ac:dyDescent="0.25">
      <c r="A16" s="3" t="s">
        <v>40</v>
      </c>
      <c r="B16" s="10">
        <v>0.25</v>
      </c>
      <c r="C16" s="10">
        <v>0.25</v>
      </c>
      <c r="D16" s="10">
        <v>0.25</v>
      </c>
      <c r="E16" s="10">
        <v>0.25</v>
      </c>
      <c r="F16" s="10">
        <v>0.25</v>
      </c>
      <c r="G16" s="3" t="s">
        <v>38</v>
      </c>
      <c r="H16" s="3" t="s">
        <v>13</v>
      </c>
      <c r="I16" s="3" t="s">
        <v>41</v>
      </c>
      <c r="J16" s="5" t="s">
        <v>42</v>
      </c>
    </row>
    <row r="17" spans="1:10" x14ac:dyDescent="0.25">
      <c r="A17" s="3" t="s">
        <v>43</v>
      </c>
      <c r="B17" s="6">
        <v>0.24299999999999999</v>
      </c>
      <c r="C17" s="6">
        <v>0.245</v>
      </c>
      <c r="D17" s="6">
        <v>0.247</v>
      </c>
      <c r="E17" s="6">
        <v>0.248</v>
      </c>
      <c r="F17" s="6">
        <v>0.249</v>
      </c>
      <c r="G17" s="3" t="s">
        <v>12</v>
      </c>
      <c r="H17" s="3" t="s">
        <v>13</v>
      </c>
      <c r="I17" s="3" t="s">
        <v>14</v>
      </c>
      <c r="J17" s="5" t="s">
        <v>44</v>
      </c>
    </row>
    <row r="18" spans="1:10" x14ac:dyDescent="0.25">
      <c r="A18" s="3" t="s">
        <v>45</v>
      </c>
      <c r="B18" s="6">
        <v>0.28499999999999998</v>
      </c>
      <c r="C18" s="6">
        <v>0.29199999999999998</v>
      </c>
      <c r="D18" s="6">
        <v>0.29799999999999999</v>
      </c>
      <c r="E18" s="6">
        <v>0.30299999999999999</v>
      </c>
      <c r="F18" s="6">
        <v>0.307</v>
      </c>
      <c r="G18" s="3" t="s">
        <v>23</v>
      </c>
      <c r="H18" s="3" t="s">
        <v>13</v>
      </c>
      <c r="I18" s="3" t="s">
        <v>24</v>
      </c>
      <c r="J18" s="5" t="s">
        <v>46</v>
      </c>
    </row>
    <row r="19" spans="1:10" x14ac:dyDescent="0.25">
      <c r="A19" s="3" t="s">
        <v>47</v>
      </c>
      <c r="B19" s="4">
        <v>430</v>
      </c>
      <c r="C19" s="4">
        <v>490</v>
      </c>
      <c r="D19" s="4">
        <v>475</v>
      </c>
      <c r="E19" s="4">
        <v>460</v>
      </c>
      <c r="F19" s="4">
        <v>445</v>
      </c>
      <c r="G19" s="3" t="s">
        <v>23</v>
      </c>
      <c r="H19" s="3" t="s">
        <v>13</v>
      </c>
      <c r="I19" s="3" t="s">
        <v>24</v>
      </c>
      <c r="J19" s="5" t="s">
        <v>48</v>
      </c>
    </row>
    <row r="20" spans="1:10" x14ac:dyDescent="0.25">
      <c r="A20" s="3" t="s">
        <v>49</v>
      </c>
      <c r="B20" s="6">
        <v>0.22500000000000001</v>
      </c>
      <c r="C20" s="6">
        <v>0.23</v>
      </c>
      <c r="D20" s="6">
        <v>0.23</v>
      </c>
      <c r="E20" s="6">
        <v>0.23</v>
      </c>
      <c r="F20" s="6">
        <v>0.23</v>
      </c>
      <c r="G20" s="3" t="s">
        <v>23</v>
      </c>
      <c r="H20" s="3" t="s">
        <v>13</v>
      </c>
      <c r="I20" s="3" t="s">
        <v>14</v>
      </c>
      <c r="J20" s="5" t="s">
        <v>50</v>
      </c>
    </row>
    <row r="21" spans="1:10" x14ac:dyDescent="0.25">
      <c r="A21" s="3" t="s">
        <v>51</v>
      </c>
      <c r="B21" s="11">
        <v>6</v>
      </c>
      <c r="C21" s="11">
        <v>6</v>
      </c>
      <c r="D21" s="11">
        <v>6</v>
      </c>
      <c r="E21" s="11">
        <v>6</v>
      </c>
      <c r="F21" s="11">
        <v>6</v>
      </c>
      <c r="G21" s="3" t="s">
        <v>12</v>
      </c>
      <c r="H21" s="3" t="s">
        <v>13</v>
      </c>
      <c r="I21" s="3" t="s">
        <v>14</v>
      </c>
      <c r="J21" s="5" t="s">
        <v>52</v>
      </c>
    </row>
    <row r="22" spans="1:10" x14ac:dyDescent="0.25">
      <c r="A22" s="3" t="s">
        <v>53</v>
      </c>
      <c r="B22" s="4">
        <v>570</v>
      </c>
      <c r="C22" s="4">
        <v>645</v>
      </c>
      <c r="D22" s="4">
        <v>605</v>
      </c>
      <c r="E22" s="4">
        <v>570</v>
      </c>
      <c r="F22" s="4">
        <v>540</v>
      </c>
      <c r="G22" s="3" t="s">
        <v>23</v>
      </c>
      <c r="H22" s="3" t="s">
        <v>13</v>
      </c>
      <c r="I22" s="3" t="s">
        <v>24</v>
      </c>
      <c r="J22" s="5" t="s">
        <v>54</v>
      </c>
    </row>
    <row r="23" spans="1:10" x14ac:dyDescent="0.25">
      <c r="A23" s="3" t="s">
        <v>55</v>
      </c>
      <c r="B23" s="4">
        <v>380</v>
      </c>
      <c r="C23" s="4">
        <v>455</v>
      </c>
      <c r="D23" s="4">
        <v>420</v>
      </c>
      <c r="E23" s="4">
        <v>390</v>
      </c>
      <c r="F23" s="4">
        <v>365</v>
      </c>
      <c r="G23" s="3" t="s">
        <v>23</v>
      </c>
      <c r="H23" s="3" t="s">
        <v>13</v>
      </c>
      <c r="I23" s="3" t="s">
        <v>24</v>
      </c>
      <c r="J23" s="5" t="s">
        <v>56</v>
      </c>
    </row>
    <row r="24" spans="1:10" x14ac:dyDescent="0.25">
      <c r="A24" s="3" t="s">
        <v>57</v>
      </c>
      <c r="B24" s="6">
        <v>2.5000000000000001E-2</v>
      </c>
      <c r="C24" s="6">
        <v>2.5000000000000001E-2</v>
      </c>
      <c r="D24" s="6">
        <v>2.5000000000000001E-2</v>
      </c>
      <c r="E24" s="6">
        <v>2.5000000000000001E-2</v>
      </c>
      <c r="F24" s="6">
        <v>2.5000000000000001E-2</v>
      </c>
      <c r="G24" s="3" t="s">
        <v>12</v>
      </c>
      <c r="H24" s="3" t="s">
        <v>13</v>
      </c>
      <c r="I24" s="3" t="s">
        <v>14</v>
      </c>
      <c r="J24" s="5" t="s">
        <v>58</v>
      </c>
    </row>
    <row r="25" spans="1:10" x14ac:dyDescent="0.25">
      <c r="A25" s="3" t="s">
        <v>59</v>
      </c>
      <c r="B25" s="11">
        <v>40</v>
      </c>
      <c r="C25" s="11">
        <v>0</v>
      </c>
      <c r="D25" s="11">
        <v>0</v>
      </c>
      <c r="E25" s="11">
        <v>0</v>
      </c>
      <c r="F25" s="11">
        <v>0</v>
      </c>
      <c r="G25" s="3" t="s">
        <v>12</v>
      </c>
      <c r="H25" s="3" t="s">
        <v>13</v>
      </c>
      <c r="I25" s="3" t="s">
        <v>14</v>
      </c>
      <c r="J25" s="5" t="s">
        <v>60</v>
      </c>
    </row>
    <row r="26" spans="1:10" x14ac:dyDescent="0.25">
      <c r="A26" s="3" t="s">
        <v>61</v>
      </c>
      <c r="B26" s="8">
        <v>40</v>
      </c>
      <c r="C26" s="8">
        <v>20</v>
      </c>
      <c r="D26" s="8">
        <v>10</v>
      </c>
      <c r="E26" s="8">
        <v>10</v>
      </c>
      <c r="F26" s="8">
        <v>10</v>
      </c>
      <c r="G26" s="3" t="s">
        <v>38</v>
      </c>
      <c r="H26" s="3" t="s">
        <v>13</v>
      </c>
      <c r="I26" s="3" t="s">
        <v>41</v>
      </c>
      <c r="J26" s="5" t="s">
        <v>62</v>
      </c>
    </row>
    <row r="27" spans="1:10" x14ac:dyDescent="0.25">
      <c r="A27" s="3" t="s">
        <v>63</v>
      </c>
      <c r="B27" s="6">
        <v>0.15</v>
      </c>
      <c r="C27" s="6">
        <v>0.15</v>
      </c>
      <c r="D27" s="6">
        <v>0.15</v>
      </c>
      <c r="E27" s="6">
        <v>0.15</v>
      </c>
      <c r="F27" s="6">
        <v>0.15</v>
      </c>
      <c r="G27" s="3" t="s">
        <v>23</v>
      </c>
      <c r="H27" s="3" t="s">
        <v>13</v>
      </c>
      <c r="I27" s="3" t="s">
        <v>24</v>
      </c>
      <c r="J27" s="5" t="s">
        <v>64</v>
      </c>
    </row>
    <row r="28" spans="1:10" x14ac:dyDescent="0.25">
      <c r="A28" s="3" t="s">
        <v>65</v>
      </c>
      <c r="B28" s="6">
        <v>2.3E-2</v>
      </c>
      <c r="C28" s="6">
        <v>2.3E-2</v>
      </c>
      <c r="D28" s="6">
        <v>2.3E-2</v>
      </c>
      <c r="E28" s="6">
        <v>2.3E-2</v>
      </c>
      <c r="F28" s="6">
        <v>2.3E-2</v>
      </c>
      <c r="G28" s="3" t="s">
        <v>12</v>
      </c>
      <c r="H28" s="3" t="s">
        <v>13</v>
      </c>
      <c r="I28" s="3" t="s">
        <v>14</v>
      </c>
      <c r="J28" s="5" t="s">
        <v>66</v>
      </c>
    </row>
    <row r="29" spans="1:10" x14ac:dyDescent="0.25">
      <c r="A29" s="3" t="s">
        <v>67</v>
      </c>
      <c r="B29" s="11">
        <v>169</v>
      </c>
      <c r="G29" s="3" t="s">
        <v>12</v>
      </c>
      <c r="H29" s="3" t="s">
        <v>13</v>
      </c>
      <c r="I29" s="3" t="s">
        <v>14</v>
      </c>
      <c r="J29" s="5" t="s">
        <v>68</v>
      </c>
    </row>
    <row r="30" spans="1:10" x14ac:dyDescent="0.25">
      <c r="A30" s="3" t="s">
        <v>69</v>
      </c>
      <c r="B30" s="4">
        <v>1200</v>
      </c>
      <c r="C30" s="4">
        <v>1250</v>
      </c>
      <c r="D30" s="4">
        <v>1300</v>
      </c>
      <c r="E30" s="4">
        <v>1350</v>
      </c>
      <c r="F30" s="4">
        <v>1400</v>
      </c>
      <c r="G30" s="3" t="s">
        <v>23</v>
      </c>
      <c r="H30" s="3" t="s">
        <v>13</v>
      </c>
      <c r="I30" s="3" t="s">
        <v>24</v>
      </c>
      <c r="J30" s="5" t="s">
        <v>70</v>
      </c>
    </row>
    <row r="31" spans="1:10" x14ac:dyDescent="0.25">
      <c r="A31" s="3" t="s">
        <v>71</v>
      </c>
      <c r="B31" s="8">
        <v>33</v>
      </c>
      <c r="C31" s="8">
        <v>33</v>
      </c>
      <c r="D31" s="8">
        <v>33</v>
      </c>
      <c r="E31" s="8">
        <v>33</v>
      </c>
      <c r="F31" s="8">
        <v>33</v>
      </c>
      <c r="G31" s="3" t="s">
        <v>38</v>
      </c>
      <c r="H31" s="3" t="s">
        <v>13</v>
      </c>
      <c r="I31" s="3" t="s">
        <v>41</v>
      </c>
      <c r="J31" s="5" t="s">
        <v>72</v>
      </c>
    </row>
    <row r="32" spans="1:10" x14ac:dyDescent="0.25">
      <c r="A32" s="3" t="s">
        <v>73</v>
      </c>
      <c r="B32" s="11">
        <v>0.9</v>
      </c>
      <c r="C32" s="11">
        <v>0.9</v>
      </c>
      <c r="D32" s="11">
        <v>0.9</v>
      </c>
      <c r="E32" s="11">
        <v>0.9</v>
      </c>
      <c r="F32" s="11">
        <v>0.9</v>
      </c>
      <c r="G32" s="3" t="s">
        <v>23</v>
      </c>
      <c r="H32" s="3" t="s">
        <v>13</v>
      </c>
      <c r="I32" s="3" t="s">
        <v>24</v>
      </c>
      <c r="J32" s="5" t="s">
        <v>74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6"/>
  <sheetViews>
    <sheetView tabSelected="1" zoomScaleNormal="100" workbookViewId="0">
      <pane xSplit="1" ySplit="4" topLeftCell="B41" activePane="bottomRight" state="frozen"/>
      <selection pane="topRight" activeCell="B1" sqref="B1"/>
      <selection pane="bottomLeft" activeCell="A5" sqref="A5"/>
      <selection pane="bottomRight" activeCell="I56" sqref="I56"/>
    </sheetView>
  </sheetViews>
  <sheetFormatPr defaultColWidth="8.7109375" defaultRowHeight="15" x14ac:dyDescent="0.25"/>
  <cols>
    <col min="1" max="1" width="40" customWidth="1"/>
    <col min="2" max="11" width="10" customWidth="1"/>
  </cols>
  <sheetData>
    <row r="1" spans="1:11" x14ac:dyDescent="0.25">
      <c r="A1" s="1" t="s">
        <v>75</v>
      </c>
    </row>
    <row r="2" spans="1:11" x14ac:dyDescent="0.25">
      <c r="A2" s="5" t="s">
        <v>76</v>
      </c>
    </row>
    <row r="4" spans="1:11" x14ac:dyDescent="0.25">
      <c r="A4" s="2" t="s">
        <v>77</v>
      </c>
      <c r="B4" s="12" t="s">
        <v>78</v>
      </c>
      <c r="C4" s="12" t="s">
        <v>79</v>
      </c>
      <c r="D4" s="12" t="s">
        <v>80</v>
      </c>
      <c r="E4" s="12" t="s">
        <v>81</v>
      </c>
      <c r="F4" s="12" t="s">
        <v>82</v>
      </c>
      <c r="G4" s="12" t="s">
        <v>2</v>
      </c>
      <c r="H4" s="12" t="s">
        <v>3</v>
      </c>
      <c r="I4" s="12" t="s">
        <v>4</v>
      </c>
      <c r="J4" s="12" t="s">
        <v>5</v>
      </c>
      <c r="K4" s="12" t="s">
        <v>6</v>
      </c>
    </row>
    <row r="5" spans="1:11" x14ac:dyDescent="0.25">
      <c r="A5" s="3" t="s">
        <v>83</v>
      </c>
      <c r="F5" s="4">
        <v>6930</v>
      </c>
      <c r="G5" s="13">
        <f>F5*(1+Assumptions!B11)</f>
        <v>7623.0000000000009</v>
      </c>
      <c r="H5" s="13">
        <f>G5*(1+Assumptions!C11)</f>
        <v>7927.920000000001</v>
      </c>
      <c r="I5" s="13">
        <f>H5*(1+Assumptions!D11)</f>
        <v>8245.0368000000017</v>
      </c>
      <c r="J5" s="13">
        <f>I5*(1+Assumptions!E11)</f>
        <v>8492.3879040000011</v>
      </c>
      <c r="K5" s="13">
        <f>J5*(1+Assumptions!F11)</f>
        <v>8747.1595411200014</v>
      </c>
    </row>
    <row r="6" spans="1:11" x14ac:dyDescent="0.25">
      <c r="A6" s="3" t="s">
        <v>84</v>
      </c>
      <c r="F6" s="4">
        <v>5797</v>
      </c>
      <c r="G6" s="13">
        <f>F6*(1+Assumptions!B12)</f>
        <v>6492.64</v>
      </c>
      <c r="H6" s="13">
        <f>G6*(1+Assumptions!C12)</f>
        <v>7141.9040000000014</v>
      </c>
      <c r="I6" s="13">
        <f>H6*(1+Assumptions!D12)</f>
        <v>7713.2563200000022</v>
      </c>
      <c r="J6" s="13">
        <f>I6*(1+Assumptions!E12)</f>
        <v>8253.1842624000037</v>
      </c>
      <c r="K6" s="13">
        <f>J6*(1+Assumptions!F12)</f>
        <v>8748.3753181440043</v>
      </c>
    </row>
    <row r="7" spans="1:11" x14ac:dyDescent="0.25">
      <c r="A7" s="3" t="s">
        <v>85</v>
      </c>
      <c r="G7" s="13">
        <f>Assumptions!$B$4</f>
        <v>3812</v>
      </c>
      <c r="H7" s="14">
        <f t="shared" ref="H7:K8" si="0">G22</f>
        <v>3684.8053999999993</v>
      </c>
      <c r="I7" s="14">
        <f t="shared" si="0"/>
        <v>3911.3108419999999</v>
      </c>
      <c r="J7" s="14">
        <f t="shared" si="0"/>
        <v>4101.7819628599991</v>
      </c>
      <c r="K7" s="14">
        <f t="shared" si="0"/>
        <v>4256.2820938537989</v>
      </c>
    </row>
    <row r="8" spans="1:11" x14ac:dyDescent="0.25">
      <c r="A8" s="3" t="s">
        <v>86</v>
      </c>
      <c r="G8" s="13">
        <f>Assumptions!$B$5</f>
        <v>11930</v>
      </c>
      <c r="H8" s="14">
        <f t="shared" si="0"/>
        <v>13371.9372</v>
      </c>
      <c r="I8" s="14">
        <f t="shared" si="0"/>
        <v>14971.316235200002</v>
      </c>
      <c r="J8" s="14">
        <f t="shared" si="0"/>
        <v>16571.535819008001</v>
      </c>
      <c r="K8" s="14">
        <f t="shared" si="0"/>
        <v>18151.236186320006</v>
      </c>
    </row>
    <row r="9" spans="1:11" x14ac:dyDescent="0.25">
      <c r="A9" s="3" t="s">
        <v>87</v>
      </c>
      <c r="G9" s="13">
        <f>G7*Assumptions!B9</f>
        <v>2071.0596</v>
      </c>
      <c r="H9" s="13">
        <f>H7*Assumptions!C9</f>
        <v>2100.3390779999995</v>
      </c>
      <c r="I9" s="13">
        <f>I7*Assumptions!D9</f>
        <v>2229.4471799399998</v>
      </c>
      <c r="J9" s="13">
        <f>J7*Assumptions!E9</f>
        <v>2338.0157188301991</v>
      </c>
      <c r="K9" s="13">
        <f>K7*Assumptions!F9</f>
        <v>2426.0807934966651</v>
      </c>
    </row>
    <row r="10" spans="1:11" x14ac:dyDescent="0.25">
      <c r="A10" s="3" t="s">
        <v>88</v>
      </c>
      <c r="G10" s="13">
        <f>G5*Assumptions!B13</f>
        <v>5679.1350000000002</v>
      </c>
      <c r="H10" s="13">
        <f>H5*Assumptions!C13</f>
        <v>5601.0754800000004</v>
      </c>
      <c r="I10" s="13">
        <f>I5*Assumptions!D13</f>
        <v>5825.1184992000017</v>
      </c>
      <c r="J10" s="13">
        <f>J5*Assumptions!E13</f>
        <v>5999.8720541760013</v>
      </c>
      <c r="K10" s="13">
        <f>K5*Assumptions!F13</f>
        <v>6179.8682158012816</v>
      </c>
    </row>
    <row r="11" spans="1:11" x14ac:dyDescent="0.25">
      <c r="A11" s="3" t="s">
        <v>89</v>
      </c>
      <c r="E11" s="4">
        <v>6883</v>
      </c>
      <c r="F11" s="4">
        <v>7253</v>
      </c>
      <c r="G11" s="14">
        <f>G9+G10</f>
        <v>7750.1946000000007</v>
      </c>
      <c r="H11" s="14">
        <f>H9+H10</f>
        <v>7701.4145580000004</v>
      </c>
      <c r="I11" s="14">
        <f>I9+I10</f>
        <v>8054.5656791400015</v>
      </c>
      <c r="J11" s="14">
        <f>J9+J10</f>
        <v>8337.8877730062013</v>
      </c>
      <c r="K11" s="14">
        <f>K9+K10</f>
        <v>8605.9490092979468</v>
      </c>
    </row>
    <row r="12" spans="1:11" x14ac:dyDescent="0.25">
      <c r="A12" s="3" t="s">
        <v>90</v>
      </c>
      <c r="G12" s="13">
        <f>G8*Assumptions!B10</f>
        <v>2729.5839999999998</v>
      </c>
      <c r="H12" s="13">
        <f>H8*Assumptions!C10</f>
        <v>3209.2649280000001</v>
      </c>
      <c r="I12" s="13">
        <f>I8*Assumptions!D10</f>
        <v>3593.1158964480005</v>
      </c>
      <c r="J12" s="13">
        <f>J8*Assumptions!E10</f>
        <v>3977.1685965619199</v>
      </c>
      <c r="K12" s="13">
        <f>K8*Assumptions!F10</f>
        <v>4356.2966847168009</v>
      </c>
    </row>
    <row r="13" spans="1:11" x14ac:dyDescent="0.25">
      <c r="A13" s="3" t="s">
        <v>91</v>
      </c>
      <c r="G13" s="13">
        <f>G6*Assumptions!B14</f>
        <v>2321.1188000000002</v>
      </c>
      <c r="H13" s="13">
        <f>H6*Assumptions!C14</f>
        <v>2333.2600368000003</v>
      </c>
      <c r="I13" s="13">
        <f>I6*Assumptions!D14</f>
        <v>2519.9208397440007</v>
      </c>
      <c r="J13" s="13">
        <f>J6*Assumptions!E14</f>
        <v>2696.3152985260813</v>
      </c>
      <c r="K13" s="13">
        <f>K6*Assumptions!F14</f>
        <v>2858.0942164376461</v>
      </c>
    </row>
    <row r="14" spans="1:11" x14ac:dyDescent="0.25">
      <c r="A14" s="3" t="s">
        <v>92</v>
      </c>
      <c r="E14" s="4">
        <v>3934</v>
      </c>
      <c r="F14" s="4">
        <v>4429</v>
      </c>
      <c r="G14" s="14">
        <f>G12+G13</f>
        <v>5050.7028</v>
      </c>
      <c r="H14" s="14">
        <f>H12+H13</f>
        <v>5542.5249648000008</v>
      </c>
      <c r="I14" s="14">
        <f>I12+I13</f>
        <v>6113.0367361920016</v>
      </c>
      <c r="J14" s="14">
        <f>J12+J13</f>
        <v>6673.4838950880012</v>
      </c>
      <c r="K14" s="14">
        <f>K12+K13</f>
        <v>7214.3909011544474</v>
      </c>
    </row>
    <row r="15" spans="1:11" x14ac:dyDescent="0.25">
      <c r="A15" s="15" t="s">
        <v>93</v>
      </c>
      <c r="G15" s="13">
        <f>G9+G12-Assumptions!$B$8</f>
        <v>0.64359999999942374</v>
      </c>
    </row>
    <row r="16" spans="1:11" x14ac:dyDescent="0.25">
      <c r="A16" s="3" t="s">
        <v>94</v>
      </c>
      <c r="G16" s="13">
        <f>Assumptions!B15</f>
        <v>0</v>
      </c>
      <c r="H16" s="13">
        <f>Assumptions!C15</f>
        <v>240</v>
      </c>
      <c r="I16" s="13">
        <f>Assumptions!D15</f>
        <v>310</v>
      </c>
      <c r="J16" s="13">
        <f>Assumptions!E15</f>
        <v>390</v>
      </c>
      <c r="K16" s="13">
        <f>Assumptions!F15</f>
        <v>470</v>
      </c>
    </row>
    <row r="17" spans="1:11" x14ac:dyDescent="0.25">
      <c r="A17" s="16" t="s">
        <v>95</v>
      </c>
      <c r="B17" s="17">
        <v>8171</v>
      </c>
      <c r="C17" s="17">
        <v>9112</v>
      </c>
      <c r="D17" s="17">
        <v>9978</v>
      </c>
      <c r="E17" s="17">
        <v>10817</v>
      </c>
      <c r="F17" s="17">
        <v>11682</v>
      </c>
      <c r="G17" s="18">
        <f>G11+G14+G16</f>
        <v>12800.897400000002</v>
      </c>
      <c r="H17" s="18">
        <f>H11+H14+H16</f>
        <v>13483.939522800001</v>
      </c>
      <c r="I17" s="18">
        <f>I11+I14+I16</f>
        <v>14477.602415332003</v>
      </c>
      <c r="J17" s="18">
        <f>J11+J14+J16</f>
        <v>15401.371668094202</v>
      </c>
      <c r="K17" s="18">
        <f>K11+K14+K16</f>
        <v>16290.339910452394</v>
      </c>
    </row>
    <row r="18" spans="1:11" x14ac:dyDescent="0.25">
      <c r="A18" s="3" t="s">
        <v>96</v>
      </c>
      <c r="C18" s="19">
        <f t="shared" ref="C18:K18" si="1">C17/B17-1</f>
        <v>0.11516338269489657</v>
      </c>
      <c r="D18" s="19">
        <f t="shared" si="1"/>
        <v>9.503950834064967E-2</v>
      </c>
      <c r="E18" s="19">
        <f t="shared" si="1"/>
        <v>8.4084986971336928E-2</v>
      </c>
      <c r="F18" s="19">
        <f t="shared" si="1"/>
        <v>7.9966719053341961E-2</v>
      </c>
      <c r="G18" s="19">
        <f t="shared" si="1"/>
        <v>9.5779609655880948E-2</v>
      </c>
      <c r="H18" s="19">
        <f t="shared" si="1"/>
        <v>5.3358924882875858E-2</v>
      </c>
      <c r="I18" s="19">
        <f t="shared" si="1"/>
        <v>7.3692327887693088E-2</v>
      </c>
      <c r="J18" s="19">
        <f t="shared" si="1"/>
        <v>6.3806784180225451E-2</v>
      </c>
      <c r="K18" s="19">
        <f t="shared" si="1"/>
        <v>5.772006945328112E-2</v>
      </c>
    </row>
    <row r="19" spans="1:11" x14ac:dyDescent="0.25">
      <c r="A19" s="3" t="s">
        <v>97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</row>
    <row r="20" spans="1:11" x14ac:dyDescent="0.25">
      <c r="A20" s="3" t="s">
        <v>98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</row>
    <row r="21" spans="1:11" x14ac:dyDescent="0.25">
      <c r="A21" s="3" t="s">
        <v>99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</row>
    <row r="22" spans="1:11" x14ac:dyDescent="0.25">
      <c r="A22" s="3" t="s">
        <v>100</v>
      </c>
      <c r="D22" s="4">
        <v>4993</v>
      </c>
      <c r="E22" s="4">
        <v>4135</v>
      </c>
      <c r="F22" s="4">
        <v>3812</v>
      </c>
      <c r="G22" s="14">
        <f>G7+G5+G19-G20+G21-G9-G10</f>
        <v>3684.8053999999993</v>
      </c>
      <c r="H22" s="14">
        <f>H7+H5+H19-H20+H21-H9-H10</f>
        <v>3911.3108419999999</v>
      </c>
      <c r="I22" s="14">
        <f>I7+I5+I19-I20+I21-I9-I10</f>
        <v>4101.7819628599991</v>
      </c>
      <c r="J22" s="14">
        <f>J7+J5+J19-J20+J21-J9-J10</f>
        <v>4256.2820938537989</v>
      </c>
      <c r="K22" s="14">
        <f>K7+K5+K19-K20+K21-K9-K10</f>
        <v>4397.4926256758536</v>
      </c>
    </row>
    <row r="23" spans="1:11" x14ac:dyDescent="0.25">
      <c r="A23" s="3" t="s">
        <v>101</v>
      </c>
      <c r="D23" s="4">
        <v>9266</v>
      </c>
      <c r="E23" s="4">
        <v>10562</v>
      </c>
      <c r="F23" s="4">
        <v>11930</v>
      </c>
      <c r="G23" s="14">
        <f>G8+G6-G12-G13</f>
        <v>13371.9372</v>
      </c>
      <c r="H23" s="14">
        <f>H8+H6-H12-H13</f>
        <v>14971.316235200002</v>
      </c>
      <c r="I23" s="14">
        <f>I8+I6-I12-I13</f>
        <v>16571.535819008001</v>
      </c>
      <c r="J23" s="14">
        <f>J8+J6-J12-J13</f>
        <v>18151.236186320006</v>
      </c>
      <c r="K23" s="14">
        <f>K8+K6-K12-K13</f>
        <v>19685.220603309564</v>
      </c>
    </row>
    <row r="24" spans="1:11" x14ac:dyDescent="0.25">
      <c r="A24" s="15" t="s">
        <v>102</v>
      </c>
      <c r="D24" s="14">
        <f t="shared" ref="D24:K24" si="2">D22+D23</f>
        <v>14259</v>
      </c>
      <c r="E24" s="14">
        <f t="shared" si="2"/>
        <v>14697</v>
      </c>
      <c r="F24" s="14">
        <f t="shared" si="2"/>
        <v>15742</v>
      </c>
      <c r="G24" s="14">
        <f t="shared" si="2"/>
        <v>17056.742599999998</v>
      </c>
      <c r="H24" s="14">
        <f t="shared" si="2"/>
        <v>18882.627077200003</v>
      </c>
      <c r="I24" s="14">
        <f t="shared" si="2"/>
        <v>20673.317781867998</v>
      </c>
      <c r="J24" s="14">
        <f t="shared" si="2"/>
        <v>22407.518280173805</v>
      </c>
      <c r="K24" s="14">
        <f t="shared" si="2"/>
        <v>24082.71322898542</v>
      </c>
    </row>
    <row r="25" spans="1:11" x14ac:dyDescent="0.25">
      <c r="A25" s="3" t="s">
        <v>103</v>
      </c>
      <c r="F25" s="20">
        <f t="shared" ref="F25:K25" si="3">F5/F11</f>
        <v>0.95546670343306217</v>
      </c>
      <c r="G25" s="20">
        <f t="shared" si="3"/>
        <v>0.98358820564324934</v>
      </c>
      <c r="H25" s="20">
        <f t="shared" si="3"/>
        <v>1.0294108881289494</v>
      </c>
      <c r="I25" s="20">
        <f t="shared" si="3"/>
        <v>1.0236475967106817</v>
      </c>
      <c r="J25" s="20">
        <f t="shared" si="3"/>
        <v>1.0185298885281224</v>
      </c>
      <c r="K25" s="20">
        <f t="shared" si="3"/>
        <v>1.0164084787940864</v>
      </c>
    </row>
    <row r="26" spans="1:11" x14ac:dyDescent="0.25">
      <c r="A26" s="3" t="s">
        <v>104</v>
      </c>
      <c r="F26" s="20">
        <f t="shared" ref="F26:K26" si="4">F6/F14</f>
        <v>1.3088733348385639</v>
      </c>
      <c r="G26" s="20">
        <f t="shared" si="4"/>
        <v>1.28549238731687</v>
      </c>
      <c r="H26" s="20">
        <f t="shared" si="4"/>
        <v>1.2885650575067302</v>
      </c>
      <c r="I26" s="20">
        <f t="shared" si="4"/>
        <v>1.2617716288753773</v>
      </c>
      <c r="J26" s="20">
        <f t="shared" si="4"/>
        <v>1.2367129961120813</v>
      </c>
      <c r="K26" s="20">
        <f t="shared" si="4"/>
        <v>1.2126284031468393</v>
      </c>
    </row>
    <row r="27" spans="1:11" x14ac:dyDescent="0.25">
      <c r="A27" s="3" t="s">
        <v>105</v>
      </c>
      <c r="F27" s="20">
        <f t="shared" ref="F27:K27" si="5">F24/F17</f>
        <v>1.3475432288991611</v>
      </c>
      <c r="G27" s="20">
        <f t="shared" si="5"/>
        <v>1.3324645973648688</v>
      </c>
      <c r="H27" s="20">
        <f t="shared" si="5"/>
        <v>1.400379098799083</v>
      </c>
      <c r="I27" s="20">
        <f t="shared" si="5"/>
        <v>1.4279517553248069</v>
      </c>
      <c r="J27" s="20">
        <f t="shared" si="5"/>
        <v>1.4549040671873195</v>
      </c>
      <c r="K27" s="20">
        <f t="shared" si="5"/>
        <v>1.4783431997961685</v>
      </c>
    </row>
    <row r="28" spans="1:11" x14ac:dyDescent="0.25">
      <c r="A28" s="3" t="s">
        <v>106</v>
      </c>
      <c r="G28" s="21">
        <f>Assumptions!B17</f>
        <v>0.24299999999999999</v>
      </c>
      <c r="H28" s="21">
        <f>Assumptions!C17</f>
        <v>0.245</v>
      </c>
      <c r="I28" s="21">
        <f>Assumptions!D17</f>
        <v>0.247</v>
      </c>
      <c r="J28" s="21">
        <f>Assumptions!E17</f>
        <v>0.248</v>
      </c>
      <c r="K28" s="21">
        <f>Assumptions!F17</f>
        <v>0.249</v>
      </c>
    </row>
    <row r="29" spans="1:11" x14ac:dyDescent="0.25">
      <c r="A29" s="3" t="s">
        <v>107</v>
      </c>
      <c r="G29" s="21">
        <f>Assumptions!B18</f>
        <v>0.28499999999999998</v>
      </c>
      <c r="H29" s="21">
        <f>Assumptions!C18</f>
        <v>0.29199999999999998</v>
      </c>
      <c r="I29" s="21">
        <f>Assumptions!D18</f>
        <v>0.29799999999999999</v>
      </c>
      <c r="J29" s="21">
        <f>Assumptions!E18</f>
        <v>0.30299999999999999</v>
      </c>
      <c r="K29" s="21">
        <f>Assumptions!F18</f>
        <v>0.307</v>
      </c>
    </row>
    <row r="30" spans="1:11" x14ac:dyDescent="0.25">
      <c r="A30" s="15" t="s">
        <v>108</v>
      </c>
      <c r="B30" s="4">
        <v>1667</v>
      </c>
      <c r="C30" s="4">
        <v>1661</v>
      </c>
      <c r="D30" s="4">
        <v>2294</v>
      </c>
      <c r="E30" s="4">
        <v>2688</v>
      </c>
      <c r="F30" s="4">
        <v>2988</v>
      </c>
      <c r="G30" s="14">
        <f>G11*G28+G14*G29+G16*Assumptions!B16</f>
        <v>3322.7475857999998</v>
      </c>
      <c r="H30" s="14">
        <f>H11*H28+H14*H29+H16*Assumptions!C16</f>
        <v>3565.2638564316003</v>
      </c>
      <c r="I30" s="14">
        <f>I11*I28+I14*I29+I16*Assumptions!D16</f>
        <v>3888.6626701327968</v>
      </c>
      <c r="J30" s="14">
        <f>J11*J28+J14*J29+J16*Assumptions!E16</f>
        <v>4187.3617879172016</v>
      </c>
      <c r="K30" s="14">
        <f>K11*K28+K14*K29+K16*Assumptions!F16</f>
        <v>4475.1993099696047</v>
      </c>
    </row>
    <row r="31" spans="1:11" x14ac:dyDescent="0.25">
      <c r="A31" s="3" t="s">
        <v>109</v>
      </c>
      <c r="B31" s="19">
        <f t="shared" ref="B31:K31" si="6">B30/B17</f>
        <v>0.20401419654877004</v>
      </c>
      <c r="C31" s="19">
        <f t="shared" si="6"/>
        <v>0.18228709394205445</v>
      </c>
      <c r="D31" s="19">
        <f t="shared" si="6"/>
        <v>0.22990579274403689</v>
      </c>
      <c r="E31" s="19">
        <f t="shared" si="6"/>
        <v>0.24849773504668576</v>
      </c>
      <c r="F31" s="19">
        <f t="shared" si="6"/>
        <v>0.25577812018489987</v>
      </c>
      <c r="G31" s="19">
        <f t="shared" si="6"/>
        <v>0.25957145674802451</v>
      </c>
      <c r="H31" s="19">
        <f t="shared" si="6"/>
        <v>0.26440817614192746</v>
      </c>
      <c r="I31" s="19">
        <f t="shared" si="6"/>
        <v>0.26859852609397833</v>
      </c>
      <c r="J31" s="19">
        <f t="shared" si="6"/>
        <v>0.2718823932151333</v>
      </c>
      <c r="K31" s="19">
        <f t="shared" si="6"/>
        <v>0.27471491292199351</v>
      </c>
    </row>
    <row r="32" spans="1:11" x14ac:dyDescent="0.25">
      <c r="A32" s="3" t="s">
        <v>110</v>
      </c>
      <c r="B32" s="4">
        <v>208</v>
      </c>
      <c r="C32" s="4">
        <v>226</v>
      </c>
      <c r="D32" s="4">
        <v>216</v>
      </c>
      <c r="E32" s="4">
        <v>227</v>
      </c>
      <c r="F32" s="4">
        <v>302</v>
      </c>
      <c r="G32" s="13">
        <f>Assumptions!B19</f>
        <v>430</v>
      </c>
      <c r="H32" s="13">
        <f>Assumptions!C19</f>
        <v>490</v>
      </c>
      <c r="I32" s="13">
        <f>Assumptions!D19</f>
        <v>475</v>
      </c>
      <c r="J32" s="13">
        <f>Assumptions!E19</f>
        <v>460</v>
      </c>
      <c r="K32" s="13">
        <f>Assumptions!F19</f>
        <v>445</v>
      </c>
    </row>
    <row r="33" spans="1:11" x14ac:dyDescent="0.25">
      <c r="A33" s="3" t="s">
        <v>111</v>
      </c>
      <c r="G33" s="14">
        <f>G30-G32</f>
        <v>2892.7475857999998</v>
      </c>
      <c r="H33" s="14">
        <f>H30-H32</f>
        <v>3075.2638564316003</v>
      </c>
      <c r="I33" s="14">
        <f>I30-I32</f>
        <v>3413.6626701327968</v>
      </c>
      <c r="J33" s="14">
        <f>J30-J32</f>
        <v>3727.3617879172016</v>
      </c>
      <c r="K33" s="14">
        <f>K30-K32</f>
        <v>4030.1993099696047</v>
      </c>
    </row>
    <row r="34" spans="1:11" x14ac:dyDescent="0.25">
      <c r="A34" s="3" t="s">
        <v>112</v>
      </c>
      <c r="B34" s="4">
        <v>302</v>
      </c>
      <c r="C34" s="4">
        <v>148</v>
      </c>
      <c r="D34" s="4">
        <v>432</v>
      </c>
      <c r="E34" s="4">
        <v>390</v>
      </c>
      <c r="F34" s="4">
        <v>652</v>
      </c>
      <c r="G34" s="13">
        <f>G33*Assumptions!B20</f>
        <v>650.868206805</v>
      </c>
      <c r="H34" s="13">
        <f>H33*Assumptions!C20</f>
        <v>707.3106869792681</v>
      </c>
      <c r="I34" s="13">
        <f>I33*Assumptions!D20</f>
        <v>785.14241413054333</v>
      </c>
      <c r="J34" s="13">
        <f>J33*Assumptions!E20</f>
        <v>857.29321122095644</v>
      </c>
      <c r="K34" s="13">
        <f>K33*Assumptions!F20</f>
        <v>926.94584129300915</v>
      </c>
    </row>
    <row r="35" spans="1:11" x14ac:dyDescent="0.25">
      <c r="A35" s="3" t="s">
        <v>113</v>
      </c>
      <c r="B35" s="4">
        <v>5</v>
      </c>
      <c r="C35" s="4">
        <v>4</v>
      </c>
      <c r="D35" s="4">
        <v>5</v>
      </c>
      <c r="E35" s="4">
        <v>5</v>
      </c>
      <c r="F35" s="4">
        <v>6</v>
      </c>
      <c r="G35" s="13">
        <f>Assumptions!B21</f>
        <v>6</v>
      </c>
      <c r="H35" s="13">
        <f>Assumptions!C21</f>
        <v>6</v>
      </c>
      <c r="I35" s="13">
        <f>Assumptions!D21</f>
        <v>6</v>
      </c>
      <c r="J35" s="13">
        <f>Assumptions!E21</f>
        <v>6</v>
      </c>
      <c r="K35" s="13">
        <f>Assumptions!F21</f>
        <v>6</v>
      </c>
    </row>
    <row r="36" spans="1:11" x14ac:dyDescent="0.25">
      <c r="A36" s="16" t="s">
        <v>114</v>
      </c>
      <c r="B36" s="17">
        <v>1245</v>
      </c>
      <c r="C36" s="17">
        <v>1363</v>
      </c>
      <c r="D36" s="17">
        <v>1709</v>
      </c>
      <c r="E36" s="17">
        <v>1577</v>
      </c>
      <c r="F36" s="17">
        <v>2154</v>
      </c>
      <c r="G36" s="18">
        <f>G33-G34-G35</f>
        <v>2235.8793789949996</v>
      </c>
      <c r="H36" s="18">
        <f>H33-H34-H35</f>
        <v>2361.9531694523321</v>
      </c>
      <c r="I36" s="18">
        <f>I33-I34-I35</f>
        <v>2622.5202560022535</v>
      </c>
      <c r="J36" s="18">
        <f>J33-J34-J35</f>
        <v>2864.0685766962451</v>
      </c>
      <c r="K36" s="18">
        <f>K33-K34-K35</f>
        <v>3097.2534686765957</v>
      </c>
    </row>
    <row r="37" spans="1:11" x14ac:dyDescent="0.25">
      <c r="A37" s="3" t="s">
        <v>115</v>
      </c>
      <c r="B37" s="4">
        <v>438</v>
      </c>
      <c r="C37" s="4">
        <v>440</v>
      </c>
      <c r="D37" s="4">
        <v>356</v>
      </c>
      <c r="E37" s="4">
        <v>336</v>
      </c>
      <c r="F37" s="4">
        <v>425</v>
      </c>
      <c r="G37" s="13">
        <f>Assumptions!B22</f>
        <v>570</v>
      </c>
      <c r="H37" s="13">
        <f>Assumptions!C22</f>
        <v>645</v>
      </c>
      <c r="I37" s="13">
        <f>Assumptions!D22</f>
        <v>605</v>
      </c>
      <c r="J37" s="13">
        <f>Assumptions!E22</f>
        <v>570</v>
      </c>
      <c r="K37" s="13">
        <f>Assumptions!F22</f>
        <v>540</v>
      </c>
    </row>
    <row r="38" spans="1:11" x14ac:dyDescent="0.25">
      <c r="A38" s="3" t="s">
        <v>116</v>
      </c>
      <c r="B38" s="4">
        <v>129</v>
      </c>
      <c r="C38" s="4">
        <v>172</v>
      </c>
      <c r="D38" s="4">
        <v>212</v>
      </c>
      <c r="E38" s="4">
        <v>243</v>
      </c>
      <c r="F38" s="4">
        <v>293</v>
      </c>
      <c r="G38" s="13">
        <f>G17*Assumptions!B24</f>
        <v>320.02243500000009</v>
      </c>
      <c r="H38" s="13">
        <f>H17*Assumptions!C24</f>
        <v>337.09848807000003</v>
      </c>
      <c r="I38" s="13">
        <f>I17*Assumptions!D24</f>
        <v>361.94006038330008</v>
      </c>
      <c r="J38" s="13">
        <f>J17*Assumptions!E24</f>
        <v>385.03429170235506</v>
      </c>
      <c r="K38" s="13">
        <f>K17*Assumptions!F24</f>
        <v>407.25849776130985</v>
      </c>
    </row>
    <row r="39" spans="1:11" x14ac:dyDescent="0.25">
      <c r="A39" s="3" t="s">
        <v>117</v>
      </c>
      <c r="G39" s="13">
        <f>(G17-F17)*Assumptions!B27</f>
        <v>167.83461000000025</v>
      </c>
      <c r="H39" s="13">
        <f>(H17-G17)*Assumptions!C27</f>
        <v>102.45631841999993</v>
      </c>
      <c r="I39" s="13">
        <f>(I17-H17)*Assumptions!D27</f>
        <v>149.04943387980029</v>
      </c>
      <c r="J39" s="13">
        <f>(J17-I17)*Assumptions!E27</f>
        <v>138.56538791432976</v>
      </c>
      <c r="K39" s="13">
        <f>(K17-J17)*Assumptions!F27</f>
        <v>133.34523635372889</v>
      </c>
    </row>
    <row r="40" spans="1:11" x14ac:dyDescent="0.25">
      <c r="A40" s="15" t="s">
        <v>118</v>
      </c>
      <c r="B40" s="4">
        <v>1837</v>
      </c>
      <c r="C40" s="4">
        <v>1823</v>
      </c>
      <c r="D40" s="4">
        <v>2044</v>
      </c>
      <c r="E40" s="4">
        <v>2391</v>
      </c>
      <c r="F40" s="4">
        <v>2837</v>
      </c>
      <c r="G40" s="14">
        <f>G36+G35+G37+G38-G39</f>
        <v>2964.0672039949991</v>
      </c>
      <c r="H40" s="14">
        <f>H36+H35+H37+H38-H39</f>
        <v>3247.5953391023318</v>
      </c>
      <c r="I40" s="14">
        <f>I36+I35+I37+I38-I39</f>
        <v>3446.4108825057533</v>
      </c>
      <c r="J40" s="14">
        <f>J36+J35+J37+J38-J39</f>
        <v>3686.5374804842704</v>
      </c>
      <c r="K40" s="14">
        <f>K36+K35+K37+K38-K39</f>
        <v>3917.1667300841764</v>
      </c>
    </row>
    <row r="41" spans="1:11" x14ac:dyDescent="0.25">
      <c r="A41" s="3" t="s">
        <v>119</v>
      </c>
      <c r="B41" s="4">
        <v>243</v>
      </c>
      <c r="C41" s="4">
        <v>256</v>
      </c>
      <c r="D41" s="4">
        <v>253</v>
      </c>
      <c r="E41" s="4">
        <v>257</v>
      </c>
      <c r="F41" s="4">
        <v>265</v>
      </c>
      <c r="G41" s="13">
        <f>G17*Assumptions!B28</f>
        <v>294.42064020000004</v>
      </c>
      <c r="H41" s="13">
        <f>H17*Assumptions!C28</f>
        <v>310.13060902440003</v>
      </c>
      <c r="I41" s="13">
        <f>I17*Assumptions!D28</f>
        <v>332.98485555263608</v>
      </c>
      <c r="J41" s="13">
        <f>J17*Assumptions!E28</f>
        <v>354.23154836616663</v>
      </c>
      <c r="K41" s="13">
        <f>K17*Assumptions!F28</f>
        <v>374.67781794040508</v>
      </c>
    </row>
    <row r="42" spans="1:11" x14ac:dyDescent="0.25">
      <c r="A42" s="16" t="s">
        <v>120</v>
      </c>
      <c r="B42" s="17">
        <v>1594</v>
      </c>
      <c r="C42" s="17">
        <v>1567</v>
      </c>
      <c r="D42" s="17">
        <v>1791</v>
      </c>
      <c r="E42" s="17">
        <v>2134</v>
      </c>
      <c r="F42" s="17">
        <v>2572</v>
      </c>
      <c r="G42" s="18">
        <f>G40-G41</f>
        <v>2669.6465637949991</v>
      </c>
      <c r="H42" s="18">
        <f>H40-H41</f>
        <v>2937.4647300779316</v>
      </c>
      <c r="I42" s="18">
        <f>I40-I41</f>
        <v>3113.4260269531173</v>
      </c>
      <c r="J42" s="18">
        <f>J40-J41</f>
        <v>3332.3059321181036</v>
      </c>
      <c r="K42" s="18">
        <f>K40-K41</f>
        <v>3542.4889121437714</v>
      </c>
    </row>
    <row r="43" spans="1:11" x14ac:dyDescent="0.25">
      <c r="A43" s="3" t="s">
        <v>121</v>
      </c>
      <c r="B43" s="4">
        <v>528</v>
      </c>
      <c r="C43" s="4">
        <v>836</v>
      </c>
      <c r="D43" s="4">
        <v>804</v>
      </c>
      <c r="E43" s="4">
        <v>247</v>
      </c>
      <c r="F43" s="4">
        <v>1154</v>
      </c>
      <c r="G43" s="13">
        <f>Assumptions!B30</f>
        <v>1200</v>
      </c>
      <c r="H43" s="13">
        <f>Assumptions!C30</f>
        <v>1250</v>
      </c>
      <c r="I43" s="13">
        <f>Assumptions!D30</f>
        <v>1300</v>
      </c>
      <c r="J43" s="13">
        <f>Assumptions!E30</f>
        <v>1350</v>
      </c>
      <c r="K43" s="13">
        <f>Assumptions!F30</f>
        <v>1400</v>
      </c>
    </row>
    <row r="44" spans="1:11" x14ac:dyDescent="0.25">
      <c r="A44" s="3" t="s">
        <v>122</v>
      </c>
      <c r="G44" s="13">
        <f>Assumptions!B31*F48</f>
        <v>420.60355029585799</v>
      </c>
      <c r="H44" s="13">
        <f>Assumptions!C31*G48</f>
        <v>441.69627999352707</v>
      </c>
      <c r="I44" s="13">
        <f>Assumptions!D31*H48</f>
        <v>472.05602311518624</v>
      </c>
      <c r="J44" s="13">
        <f>Assumptions!E31*I48</f>
        <v>530.08423935621772</v>
      </c>
      <c r="K44" s="13">
        <f>Assumptions!F31*J48</f>
        <v>584.80656449390824</v>
      </c>
    </row>
    <row r="45" spans="1:11" x14ac:dyDescent="0.25">
      <c r="A45" s="3" t="s">
        <v>123</v>
      </c>
      <c r="G45" s="22">
        <f>G43/G44</f>
        <v>2.8530429644635773</v>
      </c>
      <c r="H45" s="22">
        <f>H43/H44</f>
        <v>2.8299989305282769</v>
      </c>
      <c r="I45" s="22">
        <f>I43/I44</f>
        <v>2.7539104181343905</v>
      </c>
      <c r="J45" s="22">
        <f>J43/J44</f>
        <v>2.5467650229321328</v>
      </c>
      <c r="K45" s="22">
        <f>K43/K44</f>
        <v>2.3939539755535413</v>
      </c>
    </row>
    <row r="46" spans="1:11" x14ac:dyDescent="0.25">
      <c r="A46" s="3" t="s">
        <v>124</v>
      </c>
      <c r="G46" s="23">
        <f>Assumptions!B32</f>
        <v>0.9</v>
      </c>
      <c r="H46" s="23">
        <f>Assumptions!C32</f>
        <v>0.9</v>
      </c>
      <c r="I46" s="23">
        <f>Assumptions!D32</f>
        <v>0.9</v>
      </c>
      <c r="J46" s="23">
        <f>Assumptions!E32</f>
        <v>0.9</v>
      </c>
      <c r="K46" s="23">
        <f>Assumptions!F32</f>
        <v>0.9</v>
      </c>
    </row>
    <row r="47" spans="1:11" x14ac:dyDescent="0.25">
      <c r="A47" s="3" t="s">
        <v>125</v>
      </c>
      <c r="B47" s="11">
        <v>173.6</v>
      </c>
      <c r="C47" s="11">
        <v>171.9</v>
      </c>
      <c r="D47" s="11">
        <v>172.1</v>
      </c>
      <c r="E47" s="11">
        <v>170.8</v>
      </c>
      <c r="F47" s="11">
        <v>169</v>
      </c>
      <c r="G47" s="22">
        <f>Assumptions!$B$29+G46-G45</f>
        <v>167.04695703553642</v>
      </c>
      <c r="H47" s="22">
        <f>G47+H46-H45</f>
        <v>165.11695810500814</v>
      </c>
      <c r="I47" s="22">
        <f>H47+I46-I45</f>
        <v>163.26304768687376</v>
      </c>
      <c r="J47" s="22">
        <f>I47+J46-J45</f>
        <v>161.61628266394163</v>
      </c>
      <c r="K47" s="22">
        <f>J47+K46-K45</f>
        <v>160.12232868838811</v>
      </c>
    </row>
    <row r="48" spans="1:11" x14ac:dyDescent="0.25">
      <c r="A48" s="15" t="s">
        <v>126</v>
      </c>
      <c r="B48" s="24">
        <f t="shared" ref="B48:K48" si="7">B36/B47</f>
        <v>7.1716589861751157</v>
      </c>
      <c r="C48" s="24">
        <f t="shared" si="7"/>
        <v>7.9290285049447347</v>
      </c>
      <c r="D48" s="24">
        <f t="shared" si="7"/>
        <v>9.9302730970366078</v>
      </c>
      <c r="E48" s="24">
        <f t="shared" si="7"/>
        <v>9.2330210772833716</v>
      </c>
      <c r="F48" s="24">
        <f t="shared" si="7"/>
        <v>12.745562130177515</v>
      </c>
      <c r="G48" s="24">
        <f t="shared" si="7"/>
        <v>13.384735757379609</v>
      </c>
      <c r="H48" s="24">
        <f t="shared" si="7"/>
        <v>14.304727973187461</v>
      </c>
      <c r="I48" s="24">
        <f t="shared" si="7"/>
        <v>16.063158768370233</v>
      </c>
      <c r="J48" s="24">
        <f t="shared" si="7"/>
        <v>17.721411045269946</v>
      </c>
      <c r="K48" s="24">
        <f t="shared" si="7"/>
        <v>19.343045370668563</v>
      </c>
    </row>
    <row r="49" spans="1:11" x14ac:dyDescent="0.25">
      <c r="A49" s="15" t="s">
        <v>127</v>
      </c>
      <c r="G49" s="24">
        <f>NonGAAP!B14</f>
        <v>16.632429679811182</v>
      </c>
      <c r="H49" s="24">
        <f>NonGAAP!C14</f>
        <v>18.116428088532309</v>
      </c>
      <c r="I49" s="24">
        <f>NonGAAP!D14</f>
        <v>19.822451244486384</v>
      </c>
      <c r="J49" s="24">
        <f>NonGAAP!E14</f>
        <v>21.485892977665401</v>
      </c>
      <c r="K49" s="24">
        <f>NonGAAP!F14</f>
        <v>23.129215236739089</v>
      </c>
    </row>
    <row r="50" spans="1:11" x14ac:dyDescent="0.25">
      <c r="A50" s="3" t="s">
        <v>128</v>
      </c>
      <c r="B50" s="24">
        <f t="shared" ref="B50:K50" si="8">B42/B47</f>
        <v>9.1820276497695854</v>
      </c>
      <c r="C50" s="24">
        <f t="shared" si="8"/>
        <v>9.1157649796393247</v>
      </c>
      <c r="D50" s="24">
        <f t="shared" si="8"/>
        <v>10.406740267286462</v>
      </c>
      <c r="E50" s="24">
        <f t="shared" si="8"/>
        <v>12.494145199063231</v>
      </c>
      <c r="F50" s="24">
        <f t="shared" si="8"/>
        <v>15.218934911242604</v>
      </c>
      <c r="G50" s="24">
        <f t="shared" si="8"/>
        <v>15.981413916010915</v>
      </c>
      <c r="H50" s="24">
        <f t="shared" si="8"/>
        <v>17.790206189541205</v>
      </c>
      <c r="I50" s="24">
        <f t="shared" si="8"/>
        <v>19.069998208807384</v>
      </c>
      <c r="J50" s="24">
        <f t="shared" si="8"/>
        <v>20.618627511976413</v>
      </c>
      <c r="K50" s="24">
        <f t="shared" si="8"/>
        <v>22.123640976005046</v>
      </c>
    </row>
    <row r="51" spans="1:11" x14ac:dyDescent="0.25">
      <c r="G51">
        <v>1</v>
      </c>
      <c r="H51">
        <v>2</v>
      </c>
      <c r="I51">
        <v>3</v>
      </c>
      <c r="J51">
        <v>4</v>
      </c>
      <c r="K51">
        <v>5</v>
      </c>
    </row>
    <row r="52" spans="1:11" x14ac:dyDescent="0.25">
      <c r="A52" s="31" t="s">
        <v>199</v>
      </c>
      <c r="G52" s="32">
        <f>G42-G38</f>
        <v>2349.6241287949988</v>
      </c>
      <c r="H52" s="32">
        <f t="shared" ref="H52:K52" si="9">H42-H38</f>
        <v>2600.3662420079318</v>
      </c>
      <c r="I52" s="32">
        <f t="shared" si="9"/>
        <v>2751.4859665698173</v>
      </c>
      <c r="J52" s="32">
        <f t="shared" si="9"/>
        <v>2947.2716404157486</v>
      </c>
      <c r="K52" s="32">
        <f t="shared" si="9"/>
        <v>3135.2304143824613</v>
      </c>
    </row>
    <row r="53" spans="1:11" x14ac:dyDescent="0.25">
      <c r="A53" s="31" t="s">
        <v>200</v>
      </c>
      <c r="G53" s="32">
        <f>G52/(1+$B$60)^G51</f>
        <v>2195.9104007429896</v>
      </c>
      <c r="H53" s="32">
        <f t="shared" ref="H53:K53" si="10">H52/(1+$B$60)^H51</f>
        <v>2271.2605834639985</v>
      </c>
      <c r="I53" s="32">
        <f t="shared" si="10"/>
        <v>2246.0321528059153</v>
      </c>
      <c r="J53" s="32">
        <f t="shared" si="10"/>
        <v>2248.4594230766302</v>
      </c>
      <c r="K53" s="32">
        <f t="shared" si="10"/>
        <v>2235.3759549515494</v>
      </c>
    </row>
    <row r="55" spans="1:11" x14ac:dyDescent="0.25">
      <c r="A55" s="31" t="s">
        <v>201</v>
      </c>
      <c r="B55" s="33">
        <v>412</v>
      </c>
    </row>
    <row r="56" spans="1:11" x14ac:dyDescent="0.25">
      <c r="A56" s="31" t="s">
        <v>202</v>
      </c>
      <c r="B56" s="32">
        <f>B55*F47</f>
        <v>69628</v>
      </c>
    </row>
    <row r="57" spans="1:11" x14ac:dyDescent="0.25">
      <c r="A57" s="31" t="s">
        <v>203</v>
      </c>
      <c r="B57" s="32">
        <v>886</v>
      </c>
    </row>
    <row r="58" spans="1:11" x14ac:dyDescent="0.25">
      <c r="A58" s="31" t="s">
        <v>204</v>
      </c>
      <c r="B58" s="32">
        <v>9459</v>
      </c>
    </row>
    <row r="59" spans="1:11" x14ac:dyDescent="0.25">
      <c r="A59" s="31" t="s">
        <v>205</v>
      </c>
      <c r="B59" s="34">
        <f>B56+B58-B57</f>
        <v>78201</v>
      </c>
    </row>
    <row r="60" spans="1:11" x14ac:dyDescent="0.25">
      <c r="A60" s="31" t="s">
        <v>206</v>
      </c>
      <c r="B60" s="35">
        <v>7.0000000000000007E-2</v>
      </c>
    </row>
    <row r="61" spans="1:11" x14ac:dyDescent="0.25">
      <c r="A61" s="31" t="s">
        <v>207</v>
      </c>
      <c r="B61" s="35">
        <v>2.5000000000000001E-2</v>
      </c>
    </row>
    <row r="62" spans="1:11" x14ac:dyDescent="0.25">
      <c r="A62" s="31" t="s">
        <v>208</v>
      </c>
      <c r="B62" s="32">
        <f>(K52*(1+B61)/(B60-B61))/(1+B60)^K51</f>
        <v>50916.896751674176</v>
      </c>
    </row>
    <row r="63" spans="1:11" x14ac:dyDescent="0.25">
      <c r="A63" s="31" t="s">
        <v>209</v>
      </c>
      <c r="B63" s="34">
        <f>B62+SUM(G53:K53)</f>
        <v>62113.935266715256</v>
      </c>
    </row>
    <row r="64" spans="1:11" x14ac:dyDescent="0.25">
      <c r="A64" s="31" t="s">
        <v>210</v>
      </c>
      <c r="B64" s="34">
        <f>B63+B57-B58</f>
        <v>53540.935266715256</v>
      </c>
    </row>
    <row r="65" spans="1:2" x14ac:dyDescent="0.25">
      <c r="A65" s="31" t="s">
        <v>211</v>
      </c>
      <c r="B65" s="36">
        <f>B64/F47</f>
        <v>316.81026785038614</v>
      </c>
    </row>
    <row r="66" spans="1:2" x14ac:dyDescent="0.25">
      <c r="A66" s="31" t="s">
        <v>212</v>
      </c>
      <c r="B66" s="37">
        <f>B65/B55-1</f>
        <v>-0.23104303919809188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7109375" defaultRowHeight="15" x14ac:dyDescent="0.25"/>
  <cols>
    <col min="1" max="1" width="40" customWidth="1"/>
  </cols>
  <sheetData>
    <row r="1" spans="1:6" x14ac:dyDescent="0.25">
      <c r="A1" s="1" t="s">
        <v>129</v>
      </c>
    </row>
    <row r="3" spans="1:6" x14ac:dyDescent="0.25">
      <c r="A3" s="2" t="s">
        <v>130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25">
      <c r="A4" s="3" t="s">
        <v>131</v>
      </c>
      <c r="B4" s="13">
        <f>Model!G36</f>
        <v>2235.8793789949996</v>
      </c>
      <c r="C4" s="13">
        <f>Model!H36</f>
        <v>2361.9531694523321</v>
      </c>
      <c r="D4" s="13">
        <f>Model!I36</f>
        <v>2622.5202560022535</v>
      </c>
      <c r="E4" s="13">
        <f>Model!J36</f>
        <v>2864.0685766962451</v>
      </c>
      <c r="F4" s="13">
        <f>Model!K36</f>
        <v>3097.2534686765957</v>
      </c>
    </row>
    <row r="5" spans="1:6" x14ac:dyDescent="0.25">
      <c r="A5" s="3" t="s">
        <v>132</v>
      </c>
      <c r="B5" s="13">
        <f>Model!G38</f>
        <v>320.02243500000009</v>
      </c>
      <c r="C5" s="13">
        <f>Model!H38</f>
        <v>337.09848807000003</v>
      </c>
      <c r="D5" s="13">
        <f>Model!I38</f>
        <v>361.94006038330008</v>
      </c>
      <c r="E5" s="13">
        <f>Model!J38</f>
        <v>385.03429170235506</v>
      </c>
      <c r="F5" s="13">
        <f>Model!K38</f>
        <v>407.25849776130985</v>
      </c>
    </row>
    <row r="6" spans="1:6" x14ac:dyDescent="0.25">
      <c r="A6" s="3" t="s">
        <v>133</v>
      </c>
      <c r="B6" s="13">
        <f>Assumptions!B23</f>
        <v>380</v>
      </c>
      <c r="C6" s="13">
        <f>Assumptions!C23</f>
        <v>455</v>
      </c>
      <c r="D6" s="13">
        <f>Assumptions!D23</f>
        <v>420</v>
      </c>
      <c r="E6" s="13">
        <f>Assumptions!E23</f>
        <v>390</v>
      </c>
      <c r="F6" s="13">
        <f>Assumptions!F23</f>
        <v>365</v>
      </c>
    </row>
    <row r="7" spans="1:6" x14ac:dyDescent="0.25">
      <c r="A7" s="3" t="s">
        <v>134</v>
      </c>
      <c r="B7" s="13">
        <f>Assumptions!B26</f>
        <v>40</v>
      </c>
      <c r="C7" s="13">
        <f>Assumptions!C26</f>
        <v>20</v>
      </c>
      <c r="D7" s="13">
        <f>Assumptions!D26</f>
        <v>10</v>
      </c>
      <c r="E7" s="13">
        <f>Assumptions!E26</f>
        <v>10</v>
      </c>
      <c r="F7" s="13">
        <f>Assumptions!F26</f>
        <v>10</v>
      </c>
    </row>
    <row r="8" spans="1:6" x14ac:dyDescent="0.25">
      <c r="A8" s="3" t="s">
        <v>135</v>
      </c>
      <c r="B8" s="13">
        <f>-Assumptions!B25</f>
        <v>-40</v>
      </c>
      <c r="C8" s="13">
        <f>-Assumptions!C25</f>
        <v>0</v>
      </c>
      <c r="D8" s="13">
        <f>-Assumptions!D25</f>
        <v>0</v>
      </c>
      <c r="E8" s="13">
        <f>-Assumptions!E25</f>
        <v>0</v>
      </c>
      <c r="F8" s="13">
        <f>-Assumptions!F25</f>
        <v>0</v>
      </c>
    </row>
    <row r="9" spans="1:6" x14ac:dyDescent="0.25">
      <c r="A9" s="3" t="s">
        <v>136</v>
      </c>
      <c r="B9" s="14">
        <f>SUM(B5:B8)</f>
        <v>700.02243500000009</v>
      </c>
      <c r="C9" s="14">
        <f>SUM(C5:C8)</f>
        <v>812.09848807000003</v>
      </c>
      <c r="D9" s="14">
        <f>SUM(D5:D8)</f>
        <v>791.94006038330008</v>
      </c>
      <c r="E9" s="14">
        <f>SUM(E5:E8)</f>
        <v>785.03429170235506</v>
      </c>
      <c r="F9" s="14">
        <f>SUM(F5:F8)</f>
        <v>782.25849776130985</v>
      </c>
    </row>
    <row r="10" spans="1:6" x14ac:dyDescent="0.25">
      <c r="A10" s="3" t="s">
        <v>137</v>
      </c>
      <c r="B10" s="14">
        <f>-B9*0.225</f>
        <v>-157.50504787500003</v>
      </c>
      <c r="C10" s="14">
        <f>-C9*0.225</f>
        <v>-182.72215981575002</v>
      </c>
      <c r="D10" s="14">
        <f>-D9*0.225</f>
        <v>-178.18651358624251</v>
      </c>
      <c r="E10" s="14">
        <f>-E9*0.225</f>
        <v>-176.6327156330299</v>
      </c>
      <c r="F10" s="14">
        <f>-F9*0.225</f>
        <v>-176.00816199629472</v>
      </c>
    </row>
    <row r="11" spans="1:6" x14ac:dyDescent="0.25">
      <c r="A11" s="3" t="s">
        <v>138</v>
      </c>
      <c r="B11" s="14">
        <f>B9+B10</f>
        <v>542.51738712500003</v>
      </c>
      <c r="C11" s="14">
        <f>C9+C10</f>
        <v>629.37632825424998</v>
      </c>
      <c r="D11" s="14">
        <f>D9+D10</f>
        <v>613.75354679705754</v>
      </c>
      <c r="E11" s="14">
        <f>E9+E10</f>
        <v>608.40157606932519</v>
      </c>
      <c r="F11" s="14">
        <f>F9+F10</f>
        <v>606.25033576501517</v>
      </c>
    </row>
    <row r="12" spans="1:6" x14ac:dyDescent="0.25">
      <c r="A12" s="3" t="s">
        <v>139</v>
      </c>
      <c r="B12" s="14">
        <f>B4+B11</f>
        <v>2778.3967661199995</v>
      </c>
      <c r="C12" s="14">
        <f>C4+C11</f>
        <v>2991.3294977065821</v>
      </c>
      <c r="D12" s="14">
        <f>D4+D11</f>
        <v>3236.2738027993109</v>
      </c>
      <c r="E12" s="14">
        <f>E4+E11</f>
        <v>3472.4701527655702</v>
      </c>
      <c r="F12" s="14">
        <f>F4+F11</f>
        <v>3703.503804441611</v>
      </c>
    </row>
    <row r="13" spans="1:6" x14ac:dyDescent="0.25">
      <c r="A13" s="3" t="s">
        <v>125</v>
      </c>
      <c r="B13" s="23">
        <f>Model!G47</f>
        <v>167.04695703553642</v>
      </c>
      <c r="C13" s="23">
        <f>Model!H47</f>
        <v>165.11695810500814</v>
      </c>
      <c r="D13" s="23">
        <f>Model!I47</f>
        <v>163.26304768687376</v>
      </c>
      <c r="E13" s="23">
        <f>Model!J47</f>
        <v>161.61628266394163</v>
      </c>
      <c r="F13" s="23">
        <f>Model!K47</f>
        <v>160.12232868838811</v>
      </c>
    </row>
    <row r="14" spans="1:6" x14ac:dyDescent="0.25">
      <c r="A14" s="3" t="s">
        <v>140</v>
      </c>
      <c r="B14" s="24">
        <f>B12/B13</f>
        <v>16.632429679811182</v>
      </c>
      <c r="C14" s="24">
        <f>C12/C13</f>
        <v>18.116428088532309</v>
      </c>
      <c r="D14" s="24">
        <f>D12/D13</f>
        <v>19.822451244486384</v>
      </c>
      <c r="E14" s="24">
        <f>E12/E13</f>
        <v>21.485892977665401</v>
      </c>
      <c r="F14" s="24">
        <f>F12/F13</f>
        <v>23.129215236739089</v>
      </c>
    </row>
    <row r="15" spans="1:6" x14ac:dyDescent="0.25">
      <c r="A15" s="3" t="s">
        <v>141</v>
      </c>
      <c r="B15" s="25">
        <f>Model!G48</f>
        <v>13.384735757379609</v>
      </c>
      <c r="C15" s="25">
        <f>Model!H48</f>
        <v>14.304727973187461</v>
      </c>
      <c r="D15" s="25">
        <f>Model!I48</f>
        <v>16.063158768370233</v>
      </c>
      <c r="E15" s="25">
        <f>Model!J48</f>
        <v>17.721411045269946</v>
      </c>
      <c r="F15" s="25">
        <f>Model!K48</f>
        <v>19.343045370668563</v>
      </c>
    </row>
    <row r="16" spans="1:6" x14ac:dyDescent="0.25">
      <c r="A16" s="3" t="s">
        <v>142</v>
      </c>
      <c r="B16" s="24">
        <f>B14</f>
        <v>16.632429679811182</v>
      </c>
      <c r="C16" s="24">
        <f>C14</f>
        <v>18.116428088532309</v>
      </c>
      <c r="D16" s="24">
        <f>D14</f>
        <v>19.822451244486384</v>
      </c>
      <c r="E16" s="24">
        <f>E14</f>
        <v>21.485892977665401</v>
      </c>
      <c r="F16" s="24">
        <f>F14</f>
        <v>23.129215236739089</v>
      </c>
    </row>
    <row r="17" spans="1:2" x14ac:dyDescent="0.25">
      <c r="A17" s="3" t="s">
        <v>143</v>
      </c>
      <c r="B17" s="26">
        <v>16.93</v>
      </c>
    </row>
    <row r="18" spans="1:2" x14ac:dyDescent="0.25">
      <c r="A18" s="3" t="s">
        <v>144</v>
      </c>
      <c r="B18" s="27">
        <f>B16/B17-1</f>
        <v>-1.7576510347833363E-2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zoomScaleNormal="100" workbookViewId="0"/>
  </sheetViews>
  <sheetFormatPr defaultColWidth="8.7109375" defaultRowHeight="15" x14ac:dyDescent="0.25"/>
  <cols>
    <col min="1" max="1" width="34" customWidth="1"/>
    <col min="2" max="4" width="14" customWidth="1"/>
    <col min="5" max="5" width="80" customWidth="1"/>
    <col min="6" max="8" width="14" customWidth="1"/>
  </cols>
  <sheetData>
    <row r="1" spans="1:8" x14ac:dyDescent="0.25">
      <c r="A1" s="1" t="s">
        <v>145</v>
      </c>
    </row>
    <row r="3" spans="1:8" x14ac:dyDescent="0.25">
      <c r="A3" s="2" t="s">
        <v>1</v>
      </c>
      <c r="B3" s="2" t="s">
        <v>146</v>
      </c>
      <c r="C3" s="2" t="s">
        <v>147</v>
      </c>
      <c r="D3" s="2" t="s">
        <v>148</v>
      </c>
      <c r="E3" s="2" t="s">
        <v>149</v>
      </c>
      <c r="F3" s="2" t="s">
        <v>9</v>
      </c>
      <c r="G3" s="2" t="s">
        <v>150</v>
      </c>
      <c r="H3" s="2" t="s">
        <v>151</v>
      </c>
    </row>
    <row r="4" spans="1:8" x14ac:dyDescent="0.25">
      <c r="A4" t="s">
        <v>152</v>
      </c>
      <c r="B4" s="19">
        <v>0.70640000000000003</v>
      </c>
      <c r="C4" s="28">
        <v>0.745</v>
      </c>
      <c r="D4" s="19">
        <f>C4-B4</f>
        <v>3.8599999999999968E-2</v>
      </c>
      <c r="E4" t="s">
        <v>153</v>
      </c>
      <c r="F4" t="s">
        <v>24</v>
      </c>
      <c r="G4" t="s">
        <v>154</v>
      </c>
      <c r="H4" s="19">
        <v>0.70640000000000003</v>
      </c>
    </row>
    <row r="5" spans="1:8" x14ac:dyDescent="0.25">
      <c r="A5" t="s">
        <v>155</v>
      </c>
      <c r="B5" s="19">
        <v>0.32669999999999999</v>
      </c>
      <c r="C5" s="28">
        <v>0.35749999999999998</v>
      </c>
      <c r="D5" s="19">
        <f>C5-B5</f>
        <v>3.0799999999999994E-2</v>
      </c>
      <c r="E5" t="s">
        <v>156</v>
      </c>
      <c r="F5" t="s">
        <v>24</v>
      </c>
      <c r="G5" t="s">
        <v>154</v>
      </c>
      <c r="H5" s="19">
        <v>0.32669999999999999</v>
      </c>
    </row>
    <row r="7" spans="1:8" x14ac:dyDescent="0.25">
      <c r="A7" t="s">
        <v>157</v>
      </c>
    </row>
    <row r="8" spans="1:8" x14ac:dyDescent="0.25">
      <c r="A8" t="s">
        <v>158</v>
      </c>
    </row>
    <row r="9" spans="1:8" x14ac:dyDescent="0.25">
      <c r="A9" t="s">
        <v>159</v>
      </c>
    </row>
    <row r="10" spans="1:8" x14ac:dyDescent="0.25">
      <c r="A10" t="s">
        <v>160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zoomScaleNormal="100" workbookViewId="0"/>
  </sheetViews>
  <sheetFormatPr defaultColWidth="8.7109375" defaultRowHeight="15" x14ac:dyDescent="0.25"/>
  <cols>
    <col min="1" max="1" width="40" customWidth="1"/>
    <col min="2" max="8" width="12" customWidth="1"/>
  </cols>
  <sheetData>
    <row r="1" spans="1:8" x14ac:dyDescent="0.25">
      <c r="A1" s="1" t="s">
        <v>161</v>
      </c>
    </row>
    <row r="3" spans="1:8" x14ac:dyDescent="0.25">
      <c r="A3" s="2" t="s">
        <v>162</v>
      </c>
      <c r="B3" s="2" t="s">
        <v>163</v>
      </c>
      <c r="C3" s="2" t="s">
        <v>164</v>
      </c>
      <c r="D3" s="2" t="s">
        <v>165</v>
      </c>
    </row>
    <row r="4" spans="1:8" x14ac:dyDescent="0.25">
      <c r="A4" t="s">
        <v>166</v>
      </c>
      <c r="B4" s="4">
        <v>3812</v>
      </c>
      <c r="C4" s="13">
        <f>Model!F22</f>
        <v>3812</v>
      </c>
      <c r="D4" s="14">
        <f>C4-B4</f>
        <v>0</v>
      </c>
    </row>
    <row r="5" spans="1:8" x14ac:dyDescent="0.25">
      <c r="A5" t="s">
        <v>167</v>
      </c>
      <c r="B5" s="4">
        <v>11930</v>
      </c>
      <c r="C5" s="13">
        <f>Model!F23</f>
        <v>11930</v>
      </c>
      <c r="D5" s="14">
        <f>C5-B5</f>
        <v>0</v>
      </c>
    </row>
    <row r="6" spans="1:8" x14ac:dyDescent="0.25">
      <c r="A6" t="s">
        <v>168</v>
      </c>
      <c r="B6" s="4">
        <v>15742</v>
      </c>
      <c r="C6" s="13">
        <f>Model!F24</f>
        <v>15742</v>
      </c>
      <c r="D6" s="14">
        <f>C6-B6</f>
        <v>0</v>
      </c>
    </row>
    <row r="7" spans="1:8" x14ac:dyDescent="0.25">
      <c r="A7" t="s">
        <v>169</v>
      </c>
      <c r="B7" s="4">
        <v>4800</v>
      </c>
      <c r="C7" s="13">
        <f>Model!G9+Model!G12</f>
        <v>4800.6435999999994</v>
      </c>
      <c r="D7" s="14">
        <f>C7-B7</f>
        <v>0.64359999999942374</v>
      </c>
    </row>
    <row r="8" spans="1:8" x14ac:dyDescent="0.25">
      <c r="A8" t="s">
        <v>170</v>
      </c>
      <c r="B8" s="4">
        <v>9600</v>
      </c>
      <c r="C8" t="s">
        <v>171</v>
      </c>
    </row>
    <row r="9" spans="1:8" x14ac:dyDescent="0.25">
      <c r="A9" t="s">
        <v>172</v>
      </c>
      <c r="B9" s="4">
        <v>4000</v>
      </c>
      <c r="C9" t="s">
        <v>171</v>
      </c>
    </row>
    <row r="11" spans="1:8" x14ac:dyDescent="0.25">
      <c r="A11" s="2" t="s">
        <v>173</v>
      </c>
      <c r="B11" s="2" t="s">
        <v>174</v>
      </c>
      <c r="C11" s="2" t="s">
        <v>164</v>
      </c>
      <c r="D11" s="2" t="s">
        <v>175</v>
      </c>
    </row>
    <row r="12" spans="1:8" x14ac:dyDescent="0.25">
      <c r="A12" t="s">
        <v>176</v>
      </c>
      <c r="B12" s="4">
        <v>12800</v>
      </c>
      <c r="C12" s="13">
        <f>Model!G17</f>
        <v>12800.897400000002</v>
      </c>
      <c r="D12" s="19">
        <f>C12/B12-1</f>
        <v>7.0109375000182439E-5</v>
      </c>
    </row>
    <row r="13" spans="1:8" x14ac:dyDescent="0.25">
      <c r="A13" t="s">
        <v>177</v>
      </c>
      <c r="B13" s="26">
        <v>16.93</v>
      </c>
      <c r="C13" s="25">
        <f>NonGAAP!B14</f>
        <v>16.632429679811182</v>
      </c>
      <c r="D13" s="19">
        <f>C13/B13-1</f>
        <v>-1.7576510347833363E-2</v>
      </c>
    </row>
    <row r="14" spans="1:8" x14ac:dyDescent="0.25">
      <c r="A14" t="s">
        <v>178</v>
      </c>
      <c r="B14" s="11">
        <v>168</v>
      </c>
      <c r="C14" s="23">
        <f>Model!G47</f>
        <v>167.04695703553642</v>
      </c>
      <c r="D14" s="19">
        <f>C14/B14-1</f>
        <v>-5.6728747884736697E-3</v>
      </c>
    </row>
    <row r="16" spans="1:8" x14ac:dyDescent="0.25">
      <c r="A16" s="2" t="s">
        <v>179</v>
      </c>
      <c r="B16" s="2" t="s">
        <v>180</v>
      </c>
      <c r="C16" s="2" t="s">
        <v>181</v>
      </c>
      <c r="D16" s="2" t="s">
        <v>182</v>
      </c>
      <c r="E16" s="2" t="s">
        <v>183</v>
      </c>
      <c r="F16" s="2" t="s">
        <v>184</v>
      </c>
      <c r="G16" s="2" t="s">
        <v>185</v>
      </c>
      <c r="H16" s="2" t="s">
        <v>186</v>
      </c>
    </row>
    <row r="17" spans="1:8" x14ac:dyDescent="0.25">
      <c r="A17" t="s">
        <v>187</v>
      </c>
      <c r="B17" t="s">
        <v>188</v>
      </c>
      <c r="C17" s="29">
        <v>1162</v>
      </c>
      <c r="D17" s="29">
        <v>3638</v>
      </c>
      <c r="E17" s="29">
        <v>6841</v>
      </c>
      <c r="F17" s="29">
        <v>5959</v>
      </c>
      <c r="G17" s="29">
        <v>3361</v>
      </c>
      <c r="H17" s="30">
        <v>13.56</v>
      </c>
    </row>
    <row r="18" spans="1:8" x14ac:dyDescent="0.25">
      <c r="A18" t="s">
        <v>189</v>
      </c>
      <c r="B18" t="s">
        <v>190</v>
      </c>
      <c r="C18" s="29">
        <v>2071</v>
      </c>
      <c r="D18" s="29">
        <v>2729</v>
      </c>
      <c r="E18" s="29">
        <v>7750</v>
      </c>
      <c r="F18" s="29">
        <v>5050</v>
      </c>
      <c r="G18" s="29">
        <v>3323</v>
      </c>
      <c r="H18" s="30">
        <v>13.38</v>
      </c>
    </row>
    <row r="19" spans="1:8" x14ac:dyDescent="0.25">
      <c r="A19" t="s">
        <v>191</v>
      </c>
      <c r="B19" t="s">
        <v>192</v>
      </c>
      <c r="C19" s="29">
        <v>2414</v>
      </c>
      <c r="D19" s="29">
        <v>2386</v>
      </c>
      <c r="E19" s="29">
        <v>8093</v>
      </c>
      <c r="F19" s="29">
        <v>4707</v>
      </c>
      <c r="G19" s="29">
        <v>3308</v>
      </c>
      <c r="H19" s="30">
        <v>13.32</v>
      </c>
    </row>
    <row r="20" spans="1:8" x14ac:dyDescent="0.25">
      <c r="A20" t="s">
        <v>193</v>
      </c>
    </row>
    <row r="22" spans="1:8" x14ac:dyDescent="0.25">
      <c r="A22" s="2" t="s">
        <v>194</v>
      </c>
      <c r="B22" s="2" t="s">
        <v>195</v>
      </c>
      <c r="C22" s="2" t="s">
        <v>185</v>
      </c>
      <c r="D22" s="2" t="s">
        <v>196</v>
      </c>
      <c r="E22" s="2" t="s">
        <v>186</v>
      </c>
    </row>
    <row r="23" spans="1:8" x14ac:dyDescent="0.25">
      <c r="B23" s="27">
        <v>0.1</v>
      </c>
      <c r="C23" s="29">
        <v>4405</v>
      </c>
      <c r="D23" s="29">
        <v>3043</v>
      </c>
      <c r="E23" s="30">
        <v>19.02</v>
      </c>
    </row>
    <row r="24" spans="1:8" x14ac:dyDescent="0.25">
      <c r="B24" s="27">
        <v>0.2</v>
      </c>
      <c r="C24" s="29">
        <v>4452</v>
      </c>
      <c r="D24" s="29">
        <v>3079</v>
      </c>
      <c r="E24" s="30">
        <v>19.23</v>
      </c>
    </row>
    <row r="25" spans="1:8" x14ac:dyDescent="0.25">
      <c r="A25" t="s">
        <v>197</v>
      </c>
      <c r="B25" s="27">
        <v>0.25</v>
      </c>
      <c r="C25" s="29">
        <v>4475</v>
      </c>
      <c r="D25" s="29">
        <v>3097</v>
      </c>
      <c r="E25" s="30">
        <v>19.34</v>
      </c>
    </row>
    <row r="26" spans="1:8" x14ac:dyDescent="0.25">
      <c r="B26" s="27">
        <v>0.3</v>
      </c>
      <c r="C26" s="29">
        <v>4499</v>
      </c>
      <c r="D26" s="29">
        <v>3115</v>
      </c>
      <c r="E26" s="30">
        <v>19.45</v>
      </c>
    </row>
    <row r="27" spans="1:8" x14ac:dyDescent="0.25">
      <c r="B27" s="27">
        <v>0.35</v>
      </c>
      <c r="C27" s="29">
        <v>4522</v>
      </c>
      <c r="D27" s="29">
        <v>3133</v>
      </c>
      <c r="E27" s="30">
        <v>19.559999999999999</v>
      </c>
    </row>
    <row r="28" spans="1:8" x14ac:dyDescent="0.25">
      <c r="A28" t="s">
        <v>198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Model</vt:lpstr>
      <vt:lpstr>NonGAAP</vt:lpstr>
      <vt:lpstr>Calibration</vt:lpstr>
      <vt:lpstr>TieOut-Bridges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Tomohawk WR</cp:lastModifiedBy>
  <cp:revision>0</cp:revision>
  <dcterms:created xsi:type="dcterms:W3CDTF">2026-06-10T18:20:58Z</dcterms:created>
  <dcterms:modified xsi:type="dcterms:W3CDTF">2026-06-12T16:33:03Z</dcterms:modified>
  <dc:language>en-US</dc:language>
</cp:coreProperties>
</file>