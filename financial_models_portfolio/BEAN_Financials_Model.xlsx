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AN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(#,##0.0)"/>
    <numFmt numFmtId="165" formatCode="0.0%;(0.0%)"/>
  </numFmts>
  <fonts count="9">
    <font>
      <name val="Calibri"/>
      <family val="2"/>
      <color theme="1"/>
      <sz val="11"/>
      <scheme val="minor"/>
    </font>
    <font>
      <b val="1"/>
      <sz val="14"/>
    </font>
    <font>
      <i val="1"/>
      <color rgb="00555555"/>
      <sz val="9"/>
    </font>
    <font>
      <b val="1"/>
      <sz val="11"/>
    </font>
    <font>
      <color rgb="00555555"/>
      <sz val="9"/>
    </font>
    <font>
      <b val="1"/>
      <sz val="10"/>
    </font>
    <font>
      <sz val="10"/>
    </font>
    <font>
      <i val="1"/>
      <sz val="10"/>
    </font>
    <font>
      <b val="1"/>
      <i val="1"/>
      <color rgb="00333333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medium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3" fillId="0" borderId="2" pivotButton="0" quotePrefix="0" xfId="0"/>
    <xf numFmtId="0" fontId="0" fillId="0" borderId="2" pivotButton="0" quotePrefix="0" xfId="0"/>
    <xf numFmtId="164" fontId="5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0" applyAlignment="1" pivotButton="0" quotePrefix="0" xfId="0">
      <alignment horizontal="right"/>
    </xf>
    <xf numFmtId="4" fontId="6" fillId="0" borderId="0" applyAlignment="1" pivotButton="0" quotePrefix="0" xfId="0">
      <alignment horizontal="right"/>
    </xf>
    <xf numFmtId="0" fontId="7" fillId="0" borderId="0" pivotButton="0" quotePrefix="0" xfId="0"/>
    <xf numFmtId="165" fontId="6" fillId="0" borderId="0" applyAlignment="1" pivotButton="0" quotePrefix="0" xfId="0">
      <alignment horizontal="right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3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1" t="inlineStr">
        <is>
          <t>BELIMO (BEAN) - Financial Model Over Time</t>
        </is>
      </c>
    </row>
    <row r="2">
      <c r="A2" s="2" t="inlineStr">
        <is>
          <t>Semi-annual periods (H1 = Jun-30, H2 = Dec-31, as reported / FY-H1 derived). Statements in source-file units (mm). Segment KPIs in CHF mm, as reported.</t>
        </is>
      </c>
    </row>
    <row r="3"/>
    <row r="4">
      <c r="A4" s="3" t="inlineStr">
        <is>
          <t>DATA QUALITY FLAGS (read first)</t>
        </is>
      </c>
    </row>
    <row r="5" ht="26" customHeight="1">
      <c r="A5" s="4" t="inlineStr">
        <is>
          <t>- Source = stockanalysis.com normalized export. Its figures run ~20-28% above Belimo's actual filed CHF results - verify against Belimo reports before relying on levels.</t>
        </is>
      </c>
    </row>
    <row r="6" ht="26" customHeight="1">
      <c r="A6" s="4" t="inlineStr">
        <is>
          <t>- Belimo reports semi-annually; each Dec column is derived as Full-Year minus H1. The 2025-12-31 column was corrupt (Gross Profit 1.2 on Revenue 691) and has been DROPPED.</t>
        </is>
      </c>
    </row>
    <row r="7" ht="26" customHeight="1">
      <c r="A7" s="4" t="inlineStr">
        <is>
          <t>- Profitability split is internally inconsistent: implied gross margin swings 26%-62% across periods vs Belimo's real ~45%. Treat GP / margin rows as indicative only.</t>
        </is>
      </c>
    </row>
    <row r="8" ht="26" customHeight="1">
      <c r="A8" s="4" t="inlineStr">
        <is>
          <t>- 'Other / reconciling' lines are plugs = reported subtotal minus the shown components, so every subtotal below is a live equation that still ties to the source-reported total.</t>
        </is>
      </c>
    </row>
    <row r="9" ht="26" customHeight="1">
      <c r="A9" s="4" t="inlineStr">
        <is>
          <t>- The source's own 'Total Liab &amp; Equity' row is wrong at 2019-12-31 (765.8 vs Total Assets 744.3). This model rebuilds that total from Liabilities + Equity, so the Balance Check ties to &lt;=0.2 (source rounding) in every period.</t>
        </is>
      </c>
    </row>
    <row r="10"/>
    <row r="11">
      <c r="A11" s="5" t="inlineStr">
        <is>
          <t>Period</t>
        </is>
      </c>
      <c r="B11" s="6" t="inlineStr">
        <is>
          <t>H1 2016</t>
        </is>
      </c>
      <c r="C11" s="6" t="inlineStr">
        <is>
          <t>H2 2016</t>
        </is>
      </c>
      <c r="D11" s="6" t="inlineStr">
        <is>
          <t>H1 2017</t>
        </is>
      </c>
      <c r="E11" s="6" t="inlineStr">
        <is>
          <t>H2 2017</t>
        </is>
      </c>
      <c r="F11" s="6" t="inlineStr">
        <is>
          <t>H1 2018</t>
        </is>
      </c>
      <c r="G11" s="6" t="inlineStr">
        <is>
          <t>H2 2018</t>
        </is>
      </c>
      <c r="H11" s="6" t="inlineStr">
        <is>
          <t>H1 2019</t>
        </is>
      </c>
      <c r="I11" s="6" t="inlineStr">
        <is>
          <t>H2 2019</t>
        </is>
      </c>
      <c r="J11" s="6" t="inlineStr">
        <is>
          <t>H1 2020</t>
        </is>
      </c>
      <c r="K11" s="6" t="inlineStr">
        <is>
          <t>H2 2020</t>
        </is>
      </c>
      <c r="L11" s="6" t="inlineStr">
        <is>
          <t>H1 2021</t>
        </is>
      </c>
      <c r="M11" s="6" t="inlineStr">
        <is>
          <t>H2 2021</t>
        </is>
      </c>
      <c r="N11" s="6" t="inlineStr">
        <is>
          <t>H1 2022</t>
        </is>
      </c>
      <c r="O11" s="6" t="inlineStr">
        <is>
          <t>H2 2022</t>
        </is>
      </c>
      <c r="P11" s="6" t="inlineStr">
        <is>
          <t>H1 2023</t>
        </is>
      </c>
      <c r="Q11" s="6" t="inlineStr">
        <is>
          <t>H2 2023</t>
        </is>
      </c>
      <c r="R11" s="6" t="inlineStr">
        <is>
          <t>H1 2024</t>
        </is>
      </c>
      <c r="S11" s="6" t="inlineStr">
        <is>
          <t>H2 2024</t>
        </is>
      </c>
      <c r="T11" s="6" t="inlineStr">
        <is>
          <t>H1 2025</t>
        </is>
      </c>
    </row>
    <row r="12">
      <c r="A12" s="7" t="inlineStr">
        <is>
          <t>Period Ending</t>
        </is>
      </c>
      <c r="B12" s="8" t="inlineStr">
        <is>
          <t>2016-06-30</t>
        </is>
      </c>
      <c r="C12" s="8" t="inlineStr">
        <is>
          <t>2016-12-31</t>
        </is>
      </c>
      <c r="D12" s="8" t="inlineStr">
        <is>
          <t>2017-06-30</t>
        </is>
      </c>
      <c r="E12" s="8" t="inlineStr">
        <is>
          <t>2017-12-31</t>
        </is>
      </c>
      <c r="F12" s="8" t="inlineStr">
        <is>
          <t>2018-06-30</t>
        </is>
      </c>
      <c r="G12" s="8" t="inlineStr">
        <is>
          <t>2018-12-31</t>
        </is>
      </c>
      <c r="H12" s="8" t="inlineStr">
        <is>
          <t>2019-06-30</t>
        </is>
      </c>
      <c r="I12" s="8" t="inlineStr">
        <is>
          <t>2019-12-31</t>
        </is>
      </c>
      <c r="J12" s="8" t="inlineStr">
        <is>
          <t>2020-06-30</t>
        </is>
      </c>
      <c r="K12" s="8" t="inlineStr">
        <is>
          <t>2020-12-31</t>
        </is>
      </c>
      <c r="L12" s="8" t="inlineStr">
        <is>
          <t>2021-06-30</t>
        </is>
      </c>
      <c r="M12" s="8" t="inlineStr">
        <is>
          <t>2021-12-31</t>
        </is>
      </c>
      <c r="N12" s="8" t="inlineStr">
        <is>
          <t>2022-06-30</t>
        </is>
      </c>
      <c r="O12" s="8" t="inlineStr">
        <is>
          <t>2022-12-31</t>
        </is>
      </c>
      <c r="P12" s="8" t="inlineStr">
        <is>
          <t>2023-06-30</t>
        </is>
      </c>
      <c r="Q12" s="8" t="inlineStr">
        <is>
          <t>2023-12-31</t>
        </is>
      </c>
      <c r="R12" s="8" t="inlineStr">
        <is>
          <t>2024-06-30</t>
        </is>
      </c>
      <c r="S12" s="8" t="inlineStr">
        <is>
          <t>2024-12-31</t>
        </is>
      </c>
      <c r="T12" s="8" t="inlineStr">
        <is>
          <t>2025-06-30</t>
        </is>
      </c>
    </row>
    <row r="13">
      <c r="A13" s="9" t="inlineStr">
        <is>
          <t>INCOME STATEMENT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</row>
    <row r="14">
      <c r="A14" s="5" t="inlineStr">
        <is>
          <t>Revenue</t>
        </is>
      </c>
      <c r="B14" s="11" t="n">
        <v>339.3790871896703</v>
      </c>
      <c r="C14" s="11" t="n">
        <v>321.8044034387724</v>
      </c>
      <c r="D14" s="11" t="n">
        <v>357.4866743243193</v>
      </c>
      <c r="E14" s="11" t="n">
        <v>360.4528813257548</v>
      </c>
      <c r="F14" s="11" t="n">
        <v>402.884849593893</v>
      </c>
      <c r="G14" s="11" t="n">
        <v>392.2008167888058</v>
      </c>
      <c r="H14" s="11" t="n">
        <v>439.5859427258687</v>
      </c>
      <c r="I14" s="11" t="n">
        <v>417.236147912218</v>
      </c>
      <c r="J14" s="11" t="n">
        <v>414.8176815117146</v>
      </c>
      <c r="K14" s="11" t="n">
        <v>402.7451324654385</v>
      </c>
      <c r="L14" s="11" t="n">
        <v>475.6898378663092</v>
      </c>
      <c r="M14" s="11" t="n">
        <v>470.6068545470507</v>
      </c>
      <c r="N14" s="11" t="n">
        <v>514.8774013108681</v>
      </c>
      <c r="O14" s="11" t="n">
        <v>532.2592012384131</v>
      </c>
      <c r="P14" s="11" t="n">
        <v>554.3716005771678</v>
      </c>
      <c r="Q14" s="11" t="n">
        <v>507.4600291551317</v>
      </c>
      <c r="R14" s="11" t="n">
        <v>585.4926636143214</v>
      </c>
      <c r="S14" s="11" t="n">
        <v>581.5286537574634</v>
      </c>
      <c r="T14" s="11" t="n">
        <v>694.2717213768443</v>
      </c>
    </row>
    <row r="15">
      <c r="A15" s="12" t="inlineStr">
        <is>
          <t>Cost of Revenue</t>
        </is>
      </c>
      <c r="B15" s="13" t="n">
        <v>140.0447836671913</v>
      </c>
      <c r="C15" s="13" t="n">
        <v>132.9563031589672</v>
      </c>
      <c r="D15" s="13" t="n">
        <v>146.2022287973075</v>
      </c>
      <c r="E15" s="13" t="n">
        <v>149.0559202351204</v>
      </c>
      <c r="F15" s="13" t="n">
        <v>164.2937422800104</v>
      </c>
      <c r="G15" s="13" t="n">
        <v>164.7549324473866</v>
      </c>
      <c r="H15" s="13" t="n">
        <v>176.6642721046716</v>
      </c>
      <c r="I15" s="13" t="n">
        <v>304.4127120331067</v>
      </c>
      <c r="J15" s="13" t="n">
        <v>306.2549998330813</v>
      </c>
      <c r="K15" s="13" t="n">
        <v>299.4570814946518</v>
      </c>
      <c r="L15" s="13" t="n">
        <v>334.8797010795312</v>
      </c>
      <c r="M15" s="13" t="n">
        <v>341.3610921180993</v>
      </c>
      <c r="N15" s="13" t="n">
        <v>369.4034325901948</v>
      </c>
      <c r="O15" s="13" t="n">
        <v>383.4666416082554</v>
      </c>
      <c r="P15" s="13" t="n">
        <v>391.8237041854553</v>
      </c>
      <c r="Q15" s="13" t="n">
        <v>371.240774651109</v>
      </c>
      <c r="R15" s="13" t="n">
        <v>410.3541520097629</v>
      </c>
      <c r="S15" s="13" t="n">
        <v>222.9761726656421</v>
      </c>
      <c r="T15" s="13" t="n">
        <v>266.5419516133619</v>
      </c>
    </row>
    <row r="16">
      <c r="A16" s="5" t="inlineStr">
        <is>
          <t>Gross Profit</t>
        </is>
      </c>
      <c r="B16" s="11">
        <f>N(B14)-N(B15)</f>
        <v/>
      </c>
      <c r="C16" s="11">
        <f>N(C14)-N(C15)</f>
        <v/>
      </c>
      <c r="D16" s="11">
        <f>N(D14)-N(D15)</f>
        <v/>
      </c>
      <c r="E16" s="11">
        <f>N(E14)-N(E15)</f>
        <v/>
      </c>
      <c r="F16" s="11">
        <f>N(F14)-N(F15)</f>
        <v/>
      </c>
      <c r="G16" s="11">
        <f>N(G14)-N(G15)</f>
        <v/>
      </c>
      <c r="H16" s="11">
        <f>N(H14)-N(H15)</f>
        <v/>
      </c>
      <c r="I16" s="11">
        <f>N(I14)-N(I15)</f>
        <v/>
      </c>
      <c r="J16" s="11">
        <f>N(J14)-N(J15)</f>
        <v/>
      </c>
      <c r="K16" s="11">
        <f>N(K14)-N(K15)</f>
        <v/>
      </c>
      <c r="L16" s="11">
        <f>N(L14)-N(L15)</f>
        <v/>
      </c>
      <c r="M16" s="11">
        <f>N(M14)-N(M15)</f>
        <v/>
      </c>
      <c r="N16" s="11">
        <f>N(N14)-N(N15)</f>
        <v/>
      </c>
      <c r="O16" s="11">
        <f>N(O14)-N(O15)</f>
        <v/>
      </c>
      <c r="P16" s="11">
        <f>N(P14)-N(P15)</f>
        <v/>
      </c>
      <c r="Q16" s="11">
        <f>N(Q14)-N(Q15)</f>
        <v/>
      </c>
      <c r="R16" s="11">
        <f>N(R14)-N(R15)</f>
        <v/>
      </c>
      <c r="S16" s="11">
        <f>N(S14)-N(S15)</f>
        <v/>
      </c>
      <c r="T16" s="11">
        <f>N(T14)-N(T15)</f>
        <v/>
      </c>
    </row>
    <row r="17">
      <c r="A17" s="12" t="inlineStr">
        <is>
          <t xml:space="preserve">   SG&amp;A</t>
        </is>
      </c>
      <c r="B17" s="13" t="n">
        <v>90.77533114814095</v>
      </c>
      <c r="C17" s="13" t="n">
        <v>106.9887002226819</v>
      </c>
      <c r="D17" s="13" t="n">
        <v>96.18967898444194</v>
      </c>
      <c r="E17" s="13" t="n">
        <v>117.5132329430733</v>
      </c>
      <c r="F17" s="13" t="n">
        <v>103.9458342658112</v>
      </c>
      <c r="G17" s="13" t="n">
        <v>128.4989558308409</v>
      </c>
      <c r="H17" s="13" t="n">
        <v>116.1581004405417</v>
      </c>
      <c r="I17" s="13" t="n">
        <v>43.40009668919863</v>
      </c>
      <c r="J17" s="13" t="n">
        <v>40.87158759460271</v>
      </c>
      <c r="K17" s="13" t="n">
        <v>38.69546240805562</v>
      </c>
      <c r="L17" s="13" t="n">
        <v>47.3171220249834</v>
      </c>
      <c r="M17" s="13" t="n">
        <v>43.00567399913697</v>
      </c>
      <c r="N17" s="13" t="n">
        <v>55.06709513252726</v>
      </c>
      <c r="O17" s="13" t="n">
        <v>59.82118680427362</v>
      </c>
      <c r="P17" s="13" t="n">
        <v>62.27427337819943</v>
      </c>
      <c r="Q17" s="13" t="n">
        <v>57.58694918376759</v>
      </c>
      <c r="R17" s="13" t="n">
        <v>61.04402078694127</v>
      </c>
      <c r="S17" s="13" t="n">
        <v>177.3096910520452</v>
      </c>
      <c r="T17" s="13" t="n">
        <v>182.231937851843</v>
      </c>
    </row>
    <row r="18">
      <c r="A18" s="12" t="inlineStr">
        <is>
          <t xml:space="preserve">   R&amp;D</t>
        </is>
      </c>
      <c r="B18" s="13" t="n">
        <v>0</v>
      </c>
      <c r="C18" s="13" t="n">
        <v>46.6395557737176</v>
      </c>
      <c r="D18" s="13" t="n">
        <v>0</v>
      </c>
      <c r="E18" s="13" t="n">
        <v>54.92614156930773</v>
      </c>
      <c r="F18" s="13" t="n">
        <v>0</v>
      </c>
      <c r="G18" s="13" t="n">
        <v>58.41906978066883</v>
      </c>
      <c r="H18" s="13" t="n">
        <v>0</v>
      </c>
      <c r="I18" s="13" t="n">
        <v>62.66622319873093</v>
      </c>
      <c r="J18" s="13" t="n">
        <v>0</v>
      </c>
      <c r="K18" s="13" t="n">
        <v>66.48557018807409</v>
      </c>
      <c r="L18" s="13" t="n">
        <v>0</v>
      </c>
      <c r="M18" s="13" t="n">
        <v>66.39654688498807</v>
      </c>
      <c r="N18" s="13" t="n">
        <v>0</v>
      </c>
      <c r="O18" s="13" t="n">
        <v>70.60042508627224</v>
      </c>
      <c r="P18" s="13" t="n">
        <v>0</v>
      </c>
      <c r="Q18" s="13" t="n">
        <v>86.79772050886709</v>
      </c>
      <c r="R18" s="13" t="n">
        <v>0</v>
      </c>
      <c r="S18" s="13" t="n">
        <v>88.65237265649246</v>
      </c>
      <c r="T18" s="13" t="n">
        <v>0</v>
      </c>
    </row>
    <row r="19">
      <c r="A19" s="12" t="inlineStr">
        <is>
          <t xml:space="preserve">   Other Operating Exp (reconciling)</t>
        </is>
      </c>
      <c r="B19" s="13" t="n">
        <v>-50.55287180520712</v>
      </c>
      <c r="C19" s="13" t="n">
        <v>14.29936805819157</v>
      </c>
      <c r="D19" s="13" t="n">
        <v>-54.42785835897902</v>
      </c>
      <c r="E19" s="13" t="n">
        <v>14.89532961496186</v>
      </c>
      <c r="F19" s="13" t="n">
        <v>-61.04649365647144</v>
      </c>
      <c r="G19" s="13" t="n">
        <v>21.6821200405056</v>
      </c>
      <c r="H19" s="13" t="n">
        <v>-63.96447970206864</v>
      </c>
      <c r="I19" s="13" t="n">
        <v>62.66622319873093</v>
      </c>
      <c r="J19" s="13" t="n">
        <v>0.8284112926060061</v>
      </c>
      <c r="K19" s="13" t="n">
        <v>66.98756270269801</v>
      </c>
      <c r="L19" s="13" t="n">
        <v>0</v>
      </c>
      <c r="M19" s="13" t="n">
        <v>66.39654688498807</v>
      </c>
      <c r="N19" s="13" t="n">
        <v>4.414072111348375</v>
      </c>
      <c r="O19" s="13" t="n">
        <v>75.19501667332283</v>
      </c>
      <c r="P19" s="13" t="n">
        <v>4.505568283964564</v>
      </c>
      <c r="Q19" s="13" t="n">
        <v>91.90048678436699</v>
      </c>
      <c r="R19" s="13" t="n">
        <v>0.9508183343492931</v>
      </c>
      <c r="S19" s="13" t="n">
        <v>0</v>
      </c>
      <c r="T19" s="13" t="n">
        <v>-2.842170943040401e-14</v>
      </c>
    </row>
    <row r="20">
      <c r="A20" s="5" t="inlineStr">
        <is>
          <t>Operating Income</t>
        </is>
      </c>
      <c r="B20" s="11">
        <f>N(B16)-N(B17)-N(B18)+N(B19)</f>
        <v/>
      </c>
      <c r="C20" s="11">
        <f>N(C16)-N(C17)-N(C18)+N(C19)</f>
        <v/>
      </c>
      <c r="D20" s="11">
        <f>N(D16)-N(D17)-N(D18)+N(D19)</f>
        <v/>
      </c>
      <c r="E20" s="11">
        <f>N(E16)-N(E17)-N(E18)+N(E19)</f>
        <v/>
      </c>
      <c r="F20" s="11">
        <f>N(F16)-N(F17)-N(F18)+N(F19)</f>
        <v/>
      </c>
      <c r="G20" s="11">
        <f>N(G16)-N(G17)-N(G18)+N(G19)</f>
        <v/>
      </c>
      <c r="H20" s="11">
        <f>N(H16)-N(H17)-N(H18)+N(H19)</f>
        <v/>
      </c>
      <c r="I20" s="11">
        <f>N(I16)-N(I17)-N(I18)+N(I19)</f>
        <v/>
      </c>
      <c r="J20" s="11">
        <f>N(J16)-N(J17)-N(J18)+N(J19)</f>
        <v/>
      </c>
      <c r="K20" s="11">
        <f>N(K16)-N(K17)-N(K18)+N(K19)</f>
        <v/>
      </c>
      <c r="L20" s="11">
        <f>N(L16)-N(L17)-N(L18)+N(L19)</f>
        <v/>
      </c>
      <c r="M20" s="11">
        <f>N(M16)-N(M17)-N(M18)+N(M19)</f>
        <v/>
      </c>
      <c r="N20" s="11">
        <f>N(N16)-N(N17)-N(N18)+N(N19)</f>
        <v/>
      </c>
      <c r="O20" s="11">
        <f>N(O16)-N(O17)-N(O18)+N(O19)</f>
        <v/>
      </c>
      <c r="P20" s="11">
        <f>N(P16)-N(P17)-N(P18)+N(P19)</f>
        <v/>
      </c>
      <c r="Q20" s="11">
        <f>N(Q16)-N(Q17)-N(Q18)+N(Q19)</f>
        <v/>
      </c>
      <c r="R20" s="11">
        <f>N(R16)-N(R17)-N(R18)+N(R19)</f>
        <v/>
      </c>
      <c r="S20" s="11">
        <f>N(S16)-N(S17)-N(S18)+N(S19)</f>
        <v/>
      </c>
      <c r="T20" s="11">
        <f>N(T16)-N(T17)-N(T18)+N(T19)</f>
        <v/>
      </c>
    </row>
    <row r="21">
      <c r="A21" s="12" t="inlineStr">
        <is>
          <t xml:space="preserve">   Interest Exp / Inc</t>
        </is>
      </c>
      <c r="B21" s="13" t="n">
        <v>-1.052205985086124</v>
      </c>
      <c r="C21" s="13" t="n">
        <v>-1.581400064541895</v>
      </c>
      <c r="D21" s="13" t="n">
        <v>-2.911803871771823</v>
      </c>
      <c r="E21" s="13" t="n">
        <v>-3.543622036729531</v>
      </c>
      <c r="F21" s="13" t="n">
        <v>-0.6924034684468029</v>
      </c>
      <c r="G21" s="13" t="n">
        <v>-1.273527808036084</v>
      </c>
      <c r="H21" s="13" t="n">
        <v>-1.290837894747254</v>
      </c>
      <c r="I21" s="13" t="n">
        <v>0.6219266868370391</v>
      </c>
      <c r="J21" s="13" t="n">
        <v>0.9335082476381004</v>
      </c>
      <c r="K21" s="13" t="n">
        <v>1.131337810051473</v>
      </c>
      <c r="L21" s="13" t="n">
        <v>0.9273260738126825</v>
      </c>
      <c r="M21" s="13" t="n">
        <v>0.5971979915353676</v>
      </c>
      <c r="N21" s="13" t="n">
        <v>0.2880893002644734</v>
      </c>
      <c r="O21" s="13" t="n">
        <v>-0.01236434765083577</v>
      </c>
      <c r="P21" s="13" t="n">
        <v>3.511474732837358</v>
      </c>
      <c r="Q21" s="13" t="n">
        <v>-0.8086283363646593</v>
      </c>
      <c r="R21" s="13" t="n">
        <v>3.374230473913081</v>
      </c>
      <c r="S21" s="13" t="n">
        <v>3.530021254313612</v>
      </c>
      <c r="T21" s="13" t="n">
        <v>-5.652979745962113</v>
      </c>
    </row>
    <row r="22">
      <c r="A22" s="12" t="inlineStr">
        <is>
          <t xml:space="preserve">   Other Exp / Inc</t>
        </is>
      </c>
      <c r="B22" s="13" t="n">
        <v>2.104411970172248</v>
      </c>
      <c r="C22" s="13" t="n">
        <v>2.524799790300663</v>
      </c>
      <c r="D22" s="13" t="n">
        <v>5.823607743543646</v>
      </c>
      <c r="E22" s="13" t="n">
        <v>-1.60736519460865</v>
      </c>
      <c r="F22" s="13" t="n">
        <v>2.628660310567684</v>
      </c>
      <c r="G22" s="13" t="n">
        <v>5.432894357777236</v>
      </c>
      <c r="H22" s="13" t="n">
        <v>3.945463335381693</v>
      </c>
      <c r="I22" s="13" t="n">
        <v>0.9792563339461927</v>
      </c>
      <c r="J22" s="13" t="n">
        <v>5.452677314018573</v>
      </c>
      <c r="K22" s="13" t="n">
        <v>1.387279806423773</v>
      </c>
      <c r="L22" s="13" t="n">
        <v>-2.74117587419029</v>
      </c>
      <c r="M22" s="13" t="n">
        <v>3.463253776999098</v>
      </c>
      <c r="N22" s="13" t="n">
        <v>1.554198499710056</v>
      </c>
      <c r="O22" s="13" t="n">
        <v>4.049323855648714</v>
      </c>
      <c r="P22" s="13" t="n">
        <v>3.438525081697427</v>
      </c>
      <c r="Q22" s="13" t="n">
        <v>6.142607912935209</v>
      </c>
      <c r="R22" s="13" t="n">
        <v>-3.159090824788539</v>
      </c>
      <c r="S22" s="13" t="n">
        <v>-13.90865467242515</v>
      </c>
      <c r="T22" s="13" t="n">
        <v>100.2179834490842</v>
      </c>
    </row>
    <row r="23">
      <c r="A23" s="12" t="inlineStr">
        <is>
          <t xml:space="preserve">   Other Non-Operating (reconciling)</t>
        </is>
      </c>
      <c r="B23" s="13" t="n">
        <v>-2.104411970172249</v>
      </c>
      <c r="C23" s="13" t="n">
        <v>-1.886799451517542</v>
      </c>
      <c r="D23" s="13" t="n">
        <v>-5.823607743543654</v>
      </c>
      <c r="E23" s="13" t="n">
        <v>10.30197446267636</v>
      </c>
      <c r="F23" s="13" t="n">
        <v>-3.872513684241765</v>
      </c>
      <c r="G23" s="13" t="n">
        <v>-8.31873309948231</v>
      </c>
      <c r="H23" s="13" t="n">
        <v>-5.309250881268886</v>
      </c>
      <c r="I23" s="13" t="n">
        <v>-3.253059866934883</v>
      </c>
      <c r="J23" s="13" t="n">
        <v>-12.85397581780887</v>
      </c>
      <c r="K23" s="13" t="n">
        <v>-5.047126711071156</v>
      </c>
      <c r="L23" s="13" t="n">
        <v>3.526311950018364</v>
      </c>
      <c r="M23" s="13" t="n">
        <v>-8.226000492101038</v>
      </c>
      <c r="N23" s="13" t="n">
        <v>-3.764943859679478</v>
      </c>
      <c r="O23" s="13" t="n">
        <v>-8.115957798008608</v>
      </c>
      <c r="P23" s="13" t="n">
        <v>-13.99520510598101</v>
      </c>
      <c r="Q23" s="13" t="n">
        <v>-10.71865297850953</v>
      </c>
      <c r="R23" s="13" t="n">
        <v>-0.4290428634840042</v>
      </c>
      <c r="S23" s="13" t="n">
        <v>20.75726683622309</v>
      </c>
      <c r="T23" s="13" t="n">
        <v>-189.1300074062442</v>
      </c>
    </row>
    <row r="24">
      <c r="A24" s="5" t="inlineStr">
        <is>
          <t>Pretax Income</t>
        </is>
      </c>
      <c r="B24" s="11">
        <f>N(B20)+N(B21)+N(B22)+N(B23)</f>
        <v/>
      </c>
      <c r="C24" s="11">
        <f>N(C20)+N(C21)+N(C22)+N(C23)</f>
        <v/>
      </c>
      <c r="D24" s="11">
        <f>N(D20)+N(D21)+N(D22)+N(D23)</f>
        <v/>
      </c>
      <c r="E24" s="11">
        <f>N(E20)+N(E21)+N(E22)+N(E23)</f>
        <v/>
      </c>
      <c r="F24" s="11">
        <f>N(F20)+N(F21)+N(F22)+N(F23)</f>
        <v/>
      </c>
      <c r="G24" s="11">
        <f>N(G20)+N(G21)+N(G22)+N(G23)</f>
        <v/>
      </c>
      <c r="H24" s="11">
        <f>N(H20)+N(H21)+N(H22)+N(H23)</f>
        <v/>
      </c>
      <c r="I24" s="11">
        <f>N(I20)+N(I21)+N(I22)+N(I23)</f>
        <v/>
      </c>
      <c r="J24" s="11">
        <f>N(J20)+N(J21)+N(J22)+N(J23)</f>
        <v/>
      </c>
      <c r="K24" s="11">
        <f>N(K20)+N(K21)+N(K22)+N(K23)</f>
        <v/>
      </c>
      <c r="L24" s="11">
        <f>N(L20)+N(L21)+N(L22)+N(L23)</f>
        <v/>
      </c>
      <c r="M24" s="11">
        <f>N(M20)+N(M21)+N(M22)+N(M23)</f>
        <v/>
      </c>
      <c r="N24" s="11">
        <f>N(N20)+N(N21)+N(N22)+N(N23)</f>
        <v/>
      </c>
      <c r="O24" s="11">
        <f>N(O20)+N(O21)+N(O22)+N(O23)</f>
        <v/>
      </c>
      <c r="P24" s="11">
        <f>N(P20)+N(P21)+N(P22)+N(P23)</f>
        <v/>
      </c>
      <c r="Q24" s="11">
        <f>N(Q20)+N(Q21)+N(Q22)+N(Q23)</f>
        <v/>
      </c>
      <c r="R24" s="11">
        <f>N(R20)+N(R21)+N(R22)+N(R23)</f>
        <v/>
      </c>
      <c r="S24" s="11">
        <f>N(S20)+N(S21)+N(S22)+N(S23)</f>
        <v/>
      </c>
      <c r="T24" s="11">
        <f>N(T20)+N(T21)+N(T22)+N(T23)</f>
        <v/>
      </c>
    </row>
    <row r="25">
      <c r="A25" s="12" t="inlineStr">
        <is>
          <t xml:space="preserve">   Income Tax</t>
        </is>
      </c>
      <c r="B25" s="13" t="n">
        <v>10.25128063730793</v>
      </c>
      <c r="C25" s="13" t="n">
        <v>9.033392393700611</v>
      </c>
      <c r="D25" s="13" t="n">
        <v>10.33783107086379</v>
      </c>
      <c r="E25" s="13" t="n">
        <v>10.60984671918217</v>
      </c>
      <c r="F25" s="13" t="n">
        <v>12.82801068774211</v>
      </c>
      <c r="G25" s="13" t="n">
        <v>10.29331941932078</v>
      </c>
      <c r="H25" s="13" t="n">
        <v>14.29813162342648</v>
      </c>
      <c r="I25" s="13" t="n">
        <v>-15.9302255133368</v>
      </c>
      <c r="J25" s="13" t="n">
        <v>11.10689349474577</v>
      </c>
      <c r="K25" s="13" t="n">
        <v>6.38494912689159</v>
      </c>
      <c r="L25" s="13" t="n">
        <v>16.47054750567833</v>
      </c>
      <c r="M25" s="13" t="n">
        <v>17.99630800579146</v>
      </c>
      <c r="N25" s="13" t="n">
        <v>17.14935019170921</v>
      </c>
      <c r="O25" s="13" t="n">
        <v>13.52783276477941</v>
      </c>
      <c r="P25" s="13" t="n">
        <v>17.39663714472593</v>
      </c>
      <c r="Q25" s="13" t="n">
        <v>-10.51216837274057</v>
      </c>
      <c r="R25" s="13" t="n">
        <v>19.40337076845657</v>
      </c>
      <c r="S25" s="13" t="n">
        <v>16.98366793318801</v>
      </c>
      <c r="T25" s="13" t="n">
        <v>25.73391676568448</v>
      </c>
    </row>
    <row r="26">
      <c r="A26" s="12" t="inlineStr">
        <is>
          <t xml:space="preserve">   Minority Int / Rounding (reconciling)</t>
        </is>
      </c>
      <c r="B26" s="13" t="n">
        <v>0</v>
      </c>
      <c r="C26" s="13" t="n">
        <v>0</v>
      </c>
      <c r="D26" s="13" t="n">
        <v>7.105427357601002e-15</v>
      </c>
      <c r="E26" s="13" t="n">
        <v>0</v>
      </c>
      <c r="F26" s="13" t="n">
        <v>0</v>
      </c>
      <c r="G26" s="13" t="n">
        <v>7.105427357601002e-15</v>
      </c>
      <c r="H26" s="13" t="n">
        <v>1.4210854715202e-14</v>
      </c>
      <c r="I26" s="13" t="n">
        <v>0.0506938253684126</v>
      </c>
      <c r="J26" s="13" t="n">
        <v>0.08160469449551755</v>
      </c>
      <c r="K26" s="13" t="n">
        <v>0.009891478120671593</v>
      </c>
      <c r="L26" s="13" t="n">
        <v>0.1013876507368536</v>
      </c>
      <c r="M26" s="13" t="n">
        <v>0.1050969550321099</v>
      </c>
      <c r="N26" s="13" t="n">
        <v>0.08036825973043449</v>
      </c>
      <c r="O26" s="13" t="n">
        <v>0.04203878201285249</v>
      </c>
      <c r="P26" s="13" t="n">
        <v>0.09520547691145964</v>
      </c>
      <c r="Q26" s="13" t="n">
        <v>0.0506938253684126</v>
      </c>
      <c r="R26" s="13" t="n">
        <v>-0.001236434765075956</v>
      </c>
      <c r="S26" s="13" t="n">
        <v>-1.4210854715202e-14</v>
      </c>
      <c r="T26" s="13" t="n">
        <v>0</v>
      </c>
    </row>
    <row r="27">
      <c r="A27" s="5" t="inlineStr">
        <is>
          <t>Net Income</t>
        </is>
      </c>
      <c r="B27" s="11">
        <f>N(B24)-N(B25)+N(B26)</f>
        <v/>
      </c>
      <c r="C27" s="11">
        <f>N(C24)-N(C25)+N(C26)</f>
        <v/>
      </c>
      <c r="D27" s="11">
        <f>N(D24)-N(D25)+N(D26)</f>
        <v/>
      </c>
      <c r="E27" s="11">
        <f>N(E24)-N(E25)+N(E26)</f>
        <v/>
      </c>
      <c r="F27" s="11">
        <f>N(F24)-N(F25)+N(F26)</f>
        <v/>
      </c>
      <c r="G27" s="11">
        <f>N(G24)-N(G25)+N(G26)</f>
        <v/>
      </c>
      <c r="H27" s="11">
        <f>N(H24)-N(H25)+N(H26)</f>
        <v/>
      </c>
      <c r="I27" s="11">
        <f>N(I24)-N(I25)+N(I26)</f>
        <v/>
      </c>
      <c r="J27" s="11">
        <f>N(J24)-N(J25)+N(J26)</f>
        <v/>
      </c>
      <c r="K27" s="11">
        <f>N(K24)-N(K25)+N(K26)</f>
        <v/>
      </c>
      <c r="L27" s="11">
        <f>N(L24)-N(L25)+N(L26)</f>
        <v/>
      </c>
      <c r="M27" s="11">
        <f>N(M24)-N(M25)+N(M26)</f>
        <v/>
      </c>
      <c r="N27" s="11">
        <f>N(N24)-N(N25)+N(N26)</f>
        <v/>
      </c>
      <c r="O27" s="11">
        <f>N(O24)-N(O25)+N(O26)</f>
        <v/>
      </c>
      <c r="P27" s="11">
        <f>N(P24)-N(P25)+N(P26)</f>
        <v/>
      </c>
      <c r="Q27" s="11">
        <f>N(Q24)-N(Q25)+N(Q26)</f>
        <v/>
      </c>
      <c r="R27" s="11">
        <f>N(R24)-N(R25)+N(R26)</f>
        <v/>
      </c>
      <c r="S27" s="11">
        <f>N(S24)-N(S25)+N(S26)</f>
        <v/>
      </c>
      <c r="T27" s="11">
        <f>N(T24)-N(T25)+N(T26)</f>
        <v/>
      </c>
    </row>
    <row r="28">
      <c r="A28" s="12" t="inlineStr">
        <is>
          <t>D&amp;A</t>
        </is>
      </c>
      <c r="B28" s="13" t="n">
        <v>14.39333710033792</v>
      </c>
      <c r="C28" s="13" t="n">
        <v>10.06210611825015</v>
      </c>
      <c r="D28" s="13" t="n">
        <v>14.82732570288225</v>
      </c>
      <c r="E28" s="13" t="n">
        <v>10.9993236701835</v>
      </c>
      <c r="F28" s="13" t="n">
        <v>15.10923282932131</v>
      </c>
      <c r="G28" s="13" t="n">
        <v>10.77923828199862</v>
      </c>
      <c r="H28" s="13" t="n">
        <v>18.0840948741124</v>
      </c>
      <c r="I28" s="13" t="n">
        <v>19.44788241999958</v>
      </c>
      <c r="J28" s="13" t="n">
        <v>19.22903346657979</v>
      </c>
      <c r="K28" s="13" t="n">
        <v>19.43675450711383</v>
      </c>
      <c r="L28" s="13" t="n">
        <v>20.0636269330112</v>
      </c>
      <c r="M28" s="13" t="n">
        <v>20.7782862272295</v>
      </c>
      <c r="N28" s="13" t="n">
        <v>23.41683801591786</v>
      </c>
      <c r="O28" s="13" t="n">
        <v>21.9232248196969</v>
      </c>
      <c r="P28" s="13" t="n">
        <v>21.63513551943242</v>
      </c>
      <c r="Q28" s="13" t="n">
        <v>22.68610506975346</v>
      </c>
      <c r="R28" s="13" t="n">
        <v>21.76990690882654</v>
      </c>
      <c r="S28" s="13" t="n">
        <v>23.30679532182542</v>
      </c>
      <c r="T28" s="13" t="n">
        <v>23.52069853618488</v>
      </c>
    </row>
    <row r="29">
      <c r="A29" s="12" t="inlineStr">
        <is>
          <t>EBIT (source-defined)</t>
        </is>
      </c>
      <c r="B29" s="13" t="n">
        <v>58.00610056913092</v>
      </c>
      <c r="C29" s="13" t="n">
        <v>49.51921234159725</v>
      </c>
      <c r="D29" s="13" t="n">
        <v>60.66690818359078</v>
      </c>
      <c r="E29" s="13" t="n">
        <v>65.56442628808682</v>
      </c>
      <c r="F29" s="13" t="n">
        <v>73.5987793915999</v>
      </c>
      <c r="G29" s="13" t="n">
        <v>62.20997877041508</v>
      </c>
      <c r="H29" s="13" t="n">
        <v>82.79909047858681</v>
      </c>
      <c r="I29" s="13" t="n">
        <v>68.89167224092672</v>
      </c>
      <c r="J29" s="13" t="n">
        <v>68.51950537663657</v>
      </c>
      <c r="K29" s="13" t="n">
        <v>63.90513083334466</v>
      </c>
      <c r="L29" s="13" t="n">
        <v>93.49177832702956</v>
      </c>
      <c r="M29" s="13" t="n">
        <v>86.24008842981439</v>
      </c>
      <c r="N29" s="13" t="n">
        <v>94.82094569949442</v>
      </c>
      <c r="O29" s="13" t="n">
        <v>90.3203231545902</v>
      </c>
      <c r="P29" s="13" t="n">
        <v>104.7791912974775</v>
      </c>
      <c r="Q29" s="13" t="n">
        <v>83.73507159575507</v>
      </c>
      <c r="R29" s="13" t="n">
        <v>115.0453091519665</v>
      </c>
      <c r="S29" s="13" t="n">
        <v>97.57324948657046</v>
      </c>
      <c r="T29" s="13" t="n">
        <v>158.3761654943204</v>
      </c>
    </row>
    <row r="30">
      <c r="A30" s="5" t="inlineStr">
        <is>
          <t>EBITDA</t>
        </is>
      </c>
      <c r="B30" s="11">
        <f>N(B29)+N(B28)</f>
        <v/>
      </c>
      <c r="C30" s="11">
        <f>N(C29)+N(C28)</f>
        <v/>
      </c>
      <c r="D30" s="11">
        <f>N(D29)+N(D28)</f>
        <v/>
      </c>
      <c r="E30" s="11">
        <f>N(E29)+N(E28)</f>
        <v/>
      </c>
      <c r="F30" s="11">
        <f>N(F29)+N(F28)</f>
        <v/>
      </c>
      <c r="G30" s="11">
        <f>N(G29)+N(G28)</f>
        <v/>
      </c>
      <c r="H30" s="11">
        <f>N(H29)+N(H28)</f>
        <v/>
      </c>
      <c r="I30" s="11">
        <f>N(I29)+N(I28)</f>
        <v/>
      </c>
      <c r="J30" s="11">
        <f>N(J29)+N(J28)</f>
        <v/>
      </c>
      <c r="K30" s="11">
        <f>N(K29)+N(K28)</f>
        <v/>
      </c>
      <c r="L30" s="11">
        <f>N(L29)+N(L28)</f>
        <v/>
      </c>
      <c r="M30" s="11">
        <f>N(M29)+N(M28)</f>
        <v/>
      </c>
      <c r="N30" s="11">
        <f>N(N29)+N(N28)</f>
        <v/>
      </c>
      <c r="O30" s="11">
        <f>N(O29)+N(O28)</f>
        <v/>
      </c>
      <c r="P30" s="11">
        <f>N(P29)+N(P28)</f>
        <v/>
      </c>
      <c r="Q30" s="11">
        <f>N(Q29)+N(Q28)</f>
        <v/>
      </c>
      <c r="R30" s="11">
        <f>N(R29)+N(R28)</f>
        <v/>
      </c>
      <c r="S30" s="11">
        <f>N(S29)+N(S28)</f>
        <v/>
      </c>
      <c r="T30" s="11">
        <f>N(T29)+N(T28)</f>
        <v/>
      </c>
    </row>
    <row r="31">
      <c r="A31" s="12" t="inlineStr">
        <is>
          <t>Shares (Diluted)</t>
        </is>
      </c>
      <c r="B31" s="13" t="n">
        <v>12.289572</v>
      </c>
      <c r="C31" s="13" t="n">
        <v>12.290148</v>
      </c>
      <c r="D31" s="13" t="n">
        <v>12.291666</v>
      </c>
      <c r="E31" s="13" t="n">
        <v>12.295974</v>
      </c>
      <c r="F31" s="13" t="n">
        <v>12.295607</v>
      </c>
      <c r="G31" s="13" t="n">
        <v>12.297753</v>
      </c>
      <c r="H31" s="13" t="n">
        <v>12.299076</v>
      </c>
      <c r="I31" s="13" t="n">
        <v>12.29886</v>
      </c>
      <c r="J31" s="13" t="n">
        <v>12.29886</v>
      </c>
      <c r="K31" s="13" t="n">
        <v>12.29942</v>
      </c>
      <c r="L31" s="13" t="n">
        <v>12.29942</v>
      </c>
      <c r="M31" s="13" t="n">
        <v>12.298872</v>
      </c>
      <c r="N31" s="13" t="n">
        <v>12.298872</v>
      </c>
      <c r="O31" s="13" t="n">
        <v>12.298743</v>
      </c>
      <c r="P31" s="13" t="n">
        <v>12.298743</v>
      </c>
      <c r="Q31" s="13" t="n">
        <v>12.298908</v>
      </c>
      <c r="R31" s="13" t="n">
        <v>12.299203</v>
      </c>
      <c r="S31" s="13" t="n">
        <v>12.29988</v>
      </c>
      <c r="T31" s="13" t="n">
        <v>12.303523</v>
      </c>
    </row>
    <row r="32">
      <c r="A32" s="12" t="inlineStr">
        <is>
          <t>EPS (Diluted)</t>
        </is>
      </c>
      <c r="B32" s="14" t="n">
        <v>3.79585472880658</v>
      </c>
      <c r="C32" s="14" t="n">
        <v>3.2147303892173</v>
      </c>
      <c r="D32" s="14" t="n">
        <v>3.85767646706076</v>
      </c>
      <c r="E32" s="14" t="n">
        <v>3.931862552965774</v>
      </c>
      <c r="F32" s="14" t="n">
        <v>4.785002540873442</v>
      </c>
      <c r="G32" s="14" t="n">
        <v>3.882405162362431</v>
      </c>
      <c r="H32" s="14" t="n">
        <v>5.353762532811888</v>
      </c>
      <c r="I32" s="14" t="n">
        <v>6.812755555610508</v>
      </c>
      <c r="J32" s="14" t="n">
        <v>4.154420810680818</v>
      </c>
      <c r="K32" s="14" t="n">
        <v>4.562444283158398</v>
      </c>
      <c r="L32" s="14" t="n">
        <v>6.404732083132927</v>
      </c>
      <c r="M32" s="14" t="n">
        <v>5.217754708652693</v>
      </c>
      <c r="N32" s="14" t="n">
        <v>6.169809477767048</v>
      </c>
      <c r="O32" s="14" t="n">
        <v>6.182173825417884</v>
      </c>
      <c r="P32" s="14" t="n">
        <v>6.540739907292121</v>
      </c>
      <c r="Q32" s="14" t="n">
        <v>7.233143375738924</v>
      </c>
      <c r="R32" s="14" t="n">
        <v>7.764810324724862</v>
      </c>
      <c r="S32" s="14" t="n">
        <v>6.985856422722209</v>
      </c>
      <c r="T32" s="14" t="n">
        <v>10.17585811663784</v>
      </c>
    </row>
    <row r="33">
      <c r="A33" s="15" t="inlineStr">
        <is>
          <t xml:space="preserve">  Gross Margin %</t>
        </is>
      </c>
      <c r="B33" s="16">
        <f>IF(N(B14)=0,"",B16/B14)</f>
        <v/>
      </c>
      <c r="C33" s="16">
        <f>IF(N(C14)=0,"",C16/C14)</f>
        <v/>
      </c>
      <c r="D33" s="16">
        <f>IF(N(D14)=0,"",D16/D14)</f>
        <v/>
      </c>
      <c r="E33" s="16">
        <f>IF(N(E14)=0,"",E16/E14)</f>
        <v/>
      </c>
      <c r="F33" s="16">
        <f>IF(N(F14)=0,"",F16/F14)</f>
        <v/>
      </c>
      <c r="G33" s="16">
        <f>IF(N(G14)=0,"",G16/G14)</f>
        <v/>
      </c>
      <c r="H33" s="16">
        <f>IF(N(H14)=0,"",H16/H14)</f>
        <v/>
      </c>
      <c r="I33" s="16">
        <f>IF(N(I14)=0,"",I16/I14)</f>
        <v/>
      </c>
      <c r="J33" s="16">
        <f>IF(N(J14)=0,"",J16/J14)</f>
        <v/>
      </c>
      <c r="K33" s="16">
        <f>IF(N(K14)=0,"",K16/K14)</f>
        <v/>
      </c>
      <c r="L33" s="16">
        <f>IF(N(L14)=0,"",L16/L14)</f>
        <v/>
      </c>
      <c r="M33" s="16">
        <f>IF(N(M14)=0,"",M16/M14)</f>
        <v/>
      </c>
      <c r="N33" s="16">
        <f>IF(N(N14)=0,"",N16/N14)</f>
        <v/>
      </c>
      <c r="O33" s="16">
        <f>IF(N(O14)=0,"",O16/O14)</f>
        <v/>
      </c>
      <c r="P33" s="16">
        <f>IF(N(P14)=0,"",P16/P14)</f>
        <v/>
      </c>
      <c r="Q33" s="16">
        <f>IF(N(Q14)=0,"",Q16/Q14)</f>
        <v/>
      </c>
      <c r="R33" s="16">
        <f>IF(N(R14)=0,"",R16/R14)</f>
        <v/>
      </c>
      <c r="S33" s="16">
        <f>IF(N(S14)=0,"",S16/S14)</f>
        <v/>
      </c>
      <c r="T33" s="16">
        <f>IF(N(T14)=0,"",T16/T14)</f>
        <v/>
      </c>
    </row>
    <row r="34">
      <c r="A34" s="15" t="inlineStr">
        <is>
          <t xml:space="preserve">  Operating Margin %</t>
        </is>
      </c>
      <c r="B34" s="16">
        <f>IF(N(B14)=0,"",B20/B14)</f>
        <v/>
      </c>
      <c r="C34" s="16">
        <f>IF(N(C14)=0,"",C20/C14)</f>
        <v/>
      </c>
      <c r="D34" s="16">
        <f>IF(N(D14)=0,"",D20/D14)</f>
        <v/>
      </c>
      <c r="E34" s="16">
        <f>IF(N(E14)=0,"",E20/E14)</f>
        <v/>
      </c>
      <c r="F34" s="16">
        <f>IF(N(F14)=0,"",F20/F14)</f>
        <v/>
      </c>
      <c r="G34" s="16">
        <f>IF(N(G14)=0,"",G20/G14)</f>
        <v/>
      </c>
      <c r="H34" s="16">
        <f>IF(N(H14)=0,"",H20/H14)</f>
        <v/>
      </c>
      <c r="I34" s="16">
        <f>IF(N(I14)=0,"",I20/I14)</f>
        <v/>
      </c>
      <c r="J34" s="16">
        <f>IF(N(J14)=0,"",J20/J14)</f>
        <v/>
      </c>
      <c r="K34" s="16">
        <f>IF(N(K14)=0,"",K20/K14)</f>
        <v/>
      </c>
      <c r="L34" s="16">
        <f>IF(N(L14)=0,"",L20/L14)</f>
        <v/>
      </c>
      <c r="M34" s="16">
        <f>IF(N(M14)=0,"",M20/M14)</f>
        <v/>
      </c>
      <c r="N34" s="16">
        <f>IF(N(N14)=0,"",N20/N14)</f>
        <v/>
      </c>
      <c r="O34" s="16">
        <f>IF(N(O14)=0,"",O20/O14)</f>
        <v/>
      </c>
      <c r="P34" s="16">
        <f>IF(N(P14)=0,"",P20/P14)</f>
        <v/>
      </c>
      <c r="Q34" s="16">
        <f>IF(N(Q14)=0,"",Q20/Q14)</f>
        <v/>
      </c>
      <c r="R34" s="16">
        <f>IF(N(R14)=0,"",R20/R14)</f>
        <v/>
      </c>
      <c r="S34" s="16">
        <f>IF(N(S14)=0,"",S20/S14)</f>
        <v/>
      </c>
      <c r="T34" s="16">
        <f>IF(N(T14)=0,"",T20/T14)</f>
        <v/>
      </c>
    </row>
    <row r="35">
      <c r="A35" s="15" t="inlineStr">
        <is>
          <t xml:space="preserve">  Net Margin %</t>
        </is>
      </c>
      <c r="B35" s="16">
        <f>IF(N(B14)=0,"",B27/B14)</f>
        <v/>
      </c>
      <c r="C35" s="16">
        <f>IF(N(C14)=0,"",C27/C14)</f>
        <v/>
      </c>
      <c r="D35" s="16">
        <f>IF(N(D14)=0,"",D27/D14)</f>
        <v/>
      </c>
      <c r="E35" s="16">
        <f>IF(N(E14)=0,"",E27/E14)</f>
        <v/>
      </c>
      <c r="F35" s="16">
        <f>IF(N(F14)=0,"",F27/F14)</f>
        <v/>
      </c>
      <c r="G35" s="16">
        <f>IF(N(G14)=0,"",G27/G14)</f>
        <v/>
      </c>
      <c r="H35" s="16">
        <f>IF(N(H14)=0,"",H27/H14)</f>
        <v/>
      </c>
      <c r="I35" s="16">
        <f>IF(N(I14)=0,"",I27/I14)</f>
        <v/>
      </c>
      <c r="J35" s="16">
        <f>IF(N(J14)=0,"",J27/J14)</f>
        <v/>
      </c>
      <c r="K35" s="16">
        <f>IF(N(K14)=0,"",K27/K14)</f>
        <v/>
      </c>
      <c r="L35" s="16">
        <f>IF(N(L14)=0,"",L27/L14)</f>
        <v/>
      </c>
      <c r="M35" s="16">
        <f>IF(N(M14)=0,"",M27/M14)</f>
        <v/>
      </c>
      <c r="N35" s="16">
        <f>IF(N(N14)=0,"",N27/N14)</f>
        <v/>
      </c>
      <c r="O35" s="16">
        <f>IF(N(O14)=0,"",O27/O14)</f>
        <v/>
      </c>
      <c r="P35" s="16">
        <f>IF(N(P14)=0,"",P27/P14)</f>
        <v/>
      </c>
      <c r="Q35" s="16">
        <f>IF(N(Q14)=0,"",Q27/Q14)</f>
        <v/>
      </c>
      <c r="R35" s="16">
        <f>IF(N(R14)=0,"",R27/R14)</f>
        <v/>
      </c>
      <c r="S35" s="16">
        <f>IF(N(S14)=0,"",S27/S14)</f>
        <v/>
      </c>
      <c r="T35" s="16">
        <f>IF(N(T14)=0,"",T27/T14)</f>
        <v/>
      </c>
    </row>
    <row r="36">
      <c r="A36" s="15" t="inlineStr">
        <is>
          <t xml:space="preserve">  Revenue Growth YoY</t>
        </is>
      </c>
      <c r="B36" s="16" t="n"/>
      <c r="C36" s="16" t="n"/>
      <c r="D36" s="16">
        <f>IF(N(B14)=0,"",D14/B14-1)</f>
        <v/>
      </c>
      <c r="E36" s="16">
        <f>IF(N(C14)=0,"",E14/C14-1)</f>
        <v/>
      </c>
      <c r="F36" s="16">
        <f>IF(N(D14)=0,"",F14/D14-1)</f>
        <v/>
      </c>
      <c r="G36" s="16">
        <f>IF(N(E14)=0,"",G14/E14-1)</f>
        <v/>
      </c>
      <c r="H36" s="16">
        <f>IF(N(F14)=0,"",H14/F14-1)</f>
        <v/>
      </c>
      <c r="I36" s="16">
        <f>IF(N(G14)=0,"",I14/G14-1)</f>
        <v/>
      </c>
      <c r="J36" s="16">
        <f>IF(N(H14)=0,"",J14/H14-1)</f>
        <v/>
      </c>
      <c r="K36" s="16">
        <f>IF(N(I14)=0,"",K14/I14-1)</f>
        <v/>
      </c>
      <c r="L36" s="16">
        <f>IF(N(J14)=0,"",L14/J14-1)</f>
        <v/>
      </c>
      <c r="M36" s="16">
        <f>IF(N(K14)=0,"",M14/K14-1)</f>
        <v/>
      </c>
      <c r="N36" s="16">
        <f>IF(N(L14)=0,"",N14/L14-1)</f>
        <v/>
      </c>
      <c r="O36" s="16">
        <f>IF(N(M14)=0,"",O14/M14-1)</f>
        <v/>
      </c>
      <c r="P36" s="16">
        <f>IF(N(N14)=0,"",P14/N14-1)</f>
        <v/>
      </c>
      <c r="Q36" s="16">
        <f>IF(N(O14)=0,"",Q14/O14-1)</f>
        <v/>
      </c>
      <c r="R36" s="16">
        <f>IF(N(P14)=0,"",R14/P14-1)</f>
        <v/>
      </c>
      <c r="S36" s="16">
        <f>IF(N(Q14)=0,"",S14/Q14-1)</f>
        <v/>
      </c>
      <c r="T36" s="16">
        <f>IF(N(R14)=0,"",T14/R14-1)</f>
        <v/>
      </c>
    </row>
    <row r="37"/>
    <row r="38">
      <c r="A38" s="9" t="inlineStr">
        <is>
          <t>BALANCE SHEET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</row>
    <row r="39">
      <c r="A39" s="17" t="inlineStr">
        <is>
          <t>Assets</t>
        </is>
      </c>
    </row>
    <row r="40">
      <c r="A40" s="12" t="inlineStr">
        <is>
          <t xml:space="preserve">   Cash &amp; Equivalents</t>
        </is>
      </c>
      <c r="B40" s="13" t="n">
        <v>89.40165212413309</v>
      </c>
      <c r="C40" s="13" t="n">
        <v>128.1811920962144</v>
      </c>
      <c r="D40" s="13" t="n">
        <v>100.8374372663911</v>
      </c>
      <c r="E40" s="13" t="n">
        <v>139.937213842629</v>
      </c>
      <c r="F40" s="13" t="n">
        <v>136.3478437195915</v>
      </c>
      <c r="G40" s="13" t="n">
        <v>191.818016585536</v>
      </c>
      <c r="H40" s="13" t="n">
        <v>145.0882010739672</v>
      </c>
      <c r="I40" s="13" t="n">
        <v>213.3628923671173</v>
      </c>
      <c r="J40" s="13" t="n">
        <v>142.835416931985</v>
      </c>
      <c r="K40" s="13" t="n">
        <v>203.9400230224153</v>
      </c>
      <c r="L40" s="13" t="n">
        <v>153.2746356535856</v>
      </c>
      <c r="M40" s="13" t="n">
        <v>135.2758547782639</v>
      </c>
      <c r="N40" s="13" t="n">
        <v>103.7690240944043</v>
      </c>
      <c r="O40" s="13" t="n">
        <v>107.2978089139528</v>
      </c>
      <c r="P40" s="13" t="n">
        <v>83.77711037776791</v>
      </c>
      <c r="Q40" s="13" t="n">
        <v>137.0377743185081</v>
      </c>
      <c r="R40" s="13" t="n">
        <v>94.46732535668052</v>
      </c>
      <c r="S40" s="13" t="n">
        <v>120.1394203841108</v>
      </c>
      <c r="T40" s="13" t="n">
        <v>89.9283733340587</v>
      </c>
    </row>
    <row r="41">
      <c r="A41" s="12" t="inlineStr">
        <is>
          <t xml:space="preserve">   Short-Term Investments</t>
        </is>
      </c>
      <c r="B41" s="13" t="n">
        <v>0.4747909497920935</v>
      </c>
      <c r="C41" s="13" t="n">
        <v>0.1384806936893606</v>
      </c>
      <c r="D41" s="13" t="n">
        <v>0</v>
      </c>
      <c r="E41" s="13" t="n">
        <v>0</v>
      </c>
      <c r="F41" s="13" t="n">
        <v>0</v>
      </c>
      <c r="G41" s="13" t="n">
        <v>0</v>
      </c>
      <c r="H41" s="13" t="n">
        <v>12.55846790895389</v>
      </c>
      <c r="I41" s="13" t="n">
        <v>0</v>
      </c>
      <c r="J41" s="13" t="n">
        <v>0</v>
      </c>
      <c r="K41" s="13" t="n">
        <v>0</v>
      </c>
      <c r="L41" s="13" t="n">
        <v>0</v>
      </c>
      <c r="M41" s="13" t="n">
        <v>74.18608590501461</v>
      </c>
      <c r="N41" s="13" t="n">
        <v>0</v>
      </c>
      <c r="O41" s="13" t="n">
        <v>30.91086912708942</v>
      </c>
      <c r="P41" s="13" t="n">
        <v>0</v>
      </c>
      <c r="Q41" s="13" t="n">
        <v>0</v>
      </c>
      <c r="R41" s="13" t="n">
        <v>0</v>
      </c>
      <c r="S41" s="13" t="n">
        <v>49.49942938535591</v>
      </c>
      <c r="T41" s="13" t="n">
        <v>3.648718991761635</v>
      </c>
    </row>
    <row r="42">
      <c r="A42" s="5" t="inlineStr">
        <is>
          <t>Cash &amp; Cash Equivalents</t>
        </is>
      </c>
      <c r="B42" s="11">
        <f>N(B40)+N(B41)</f>
        <v/>
      </c>
      <c r="C42" s="11">
        <f>N(C40)+N(C41)</f>
        <v/>
      </c>
      <c r="D42" s="11">
        <f>N(D40)+N(D41)</f>
        <v/>
      </c>
      <c r="E42" s="11">
        <f>N(E40)+N(E41)</f>
        <v/>
      </c>
      <c r="F42" s="11">
        <f>N(F40)+N(F41)</f>
        <v/>
      </c>
      <c r="G42" s="11">
        <f>N(G40)+N(G41)</f>
        <v/>
      </c>
      <c r="H42" s="11">
        <f>N(H40)+N(H41)</f>
        <v/>
      </c>
      <c r="I42" s="11">
        <f>N(I40)+N(I41)</f>
        <v/>
      </c>
      <c r="J42" s="11">
        <f>N(J40)+N(J41)</f>
        <v/>
      </c>
      <c r="K42" s="11">
        <f>N(K40)+N(K41)</f>
        <v/>
      </c>
      <c r="L42" s="11">
        <f>N(L40)+N(L41)</f>
        <v/>
      </c>
      <c r="M42" s="11">
        <f>N(M40)+N(M41)</f>
        <v/>
      </c>
      <c r="N42" s="11">
        <f>N(N40)+N(N41)</f>
        <v/>
      </c>
      <c r="O42" s="11">
        <f>N(O40)+N(O41)</f>
        <v/>
      </c>
      <c r="P42" s="11">
        <f>N(P40)+N(P41)</f>
        <v/>
      </c>
      <c r="Q42" s="11">
        <f>N(Q40)+N(Q41)</f>
        <v/>
      </c>
      <c r="R42" s="11">
        <f>N(R40)+N(R41)</f>
        <v/>
      </c>
      <c r="S42" s="11">
        <f>N(S40)+N(S41)</f>
        <v/>
      </c>
      <c r="T42" s="11">
        <f>N(T40)+N(T41)</f>
        <v/>
      </c>
    </row>
    <row r="43">
      <c r="A43" s="12" t="inlineStr">
        <is>
          <t xml:space="preserve">   Receivables</t>
        </is>
      </c>
      <c r="B43" s="13" t="n">
        <v>105.6162576334391</v>
      </c>
      <c r="C43" s="13" t="n">
        <v>92.11562643349156</v>
      </c>
      <c r="D43" s="13" t="n">
        <v>121.4240761050327</v>
      </c>
      <c r="E43" s="13" t="n">
        <v>103.3498727090409</v>
      </c>
      <c r="F43" s="13" t="n">
        <v>126.976904635023</v>
      </c>
      <c r="G43" s="13" t="n">
        <v>107.7837277766306</v>
      </c>
      <c r="H43" s="13" t="n">
        <v>140.8880321769783</v>
      </c>
      <c r="I43" s="13" t="n">
        <v>109.5951047074781</v>
      </c>
      <c r="J43" s="13" t="n">
        <v>124.5819304950561</v>
      </c>
      <c r="K43" s="13" t="n">
        <v>100.8980225698802</v>
      </c>
      <c r="L43" s="13" t="n">
        <v>149.5134010982014</v>
      </c>
      <c r="M43" s="13" t="n">
        <v>122.0262198356284</v>
      </c>
      <c r="N43" s="13" t="n">
        <v>164.4037849741028</v>
      </c>
      <c r="O43" s="13" t="n">
        <v>137.5879877889703</v>
      </c>
      <c r="P43" s="13" t="n">
        <v>171.3970600054156</v>
      </c>
      <c r="Q43" s="13" t="n">
        <v>139.2101902007599</v>
      </c>
      <c r="R43" s="13" t="n">
        <v>188.4660419373944</v>
      </c>
      <c r="S43" s="13" t="n">
        <v>156.8627693418581</v>
      </c>
      <c r="T43" s="13" t="n">
        <v>207.3117806267983</v>
      </c>
    </row>
    <row r="44">
      <c r="A44" s="12" t="inlineStr">
        <is>
          <t xml:space="preserve">   Inventory</t>
        </is>
      </c>
      <c r="B44" s="13" t="n">
        <v>102.255627941942</v>
      </c>
      <c r="C44" s="13" t="n">
        <v>99.13981233393136</v>
      </c>
      <c r="D44" s="13" t="n">
        <v>104.5689973874133</v>
      </c>
      <c r="E44" s="13" t="n">
        <v>117.6245120719308</v>
      </c>
      <c r="F44" s="13" t="n">
        <v>119.1008151814406</v>
      </c>
      <c r="G44" s="13" t="n">
        <v>121.0506728059774</v>
      </c>
      <c r="H44" s="13" t="n">
        <v>127.5778119308536</v>
      </c>
      <c r="I44" s="13" t="n">
        <v>127.9400873170231</v>
      </c>
      <c r="J44" s="13" t="n">
        <v>141.3492223443545</v>
      </c>
      <c r="K44" s="13" t="n">
        <v>130.3956467604791</v>
      </c>
      <c r="L44" s="13" t="n">
        <v>139.3474344596842</v>
      </c>
      <c r="M44" s="13" t="n">
        <v>156.2630984807926</v>
      </c>
      <c r="N44" s="13" t="n">
        <v>186.4358160531271</v>
      </c>
      <c r="O44" s="13" t="n">
        <v>217.7336892616877</v>
      </c>
      <c r="P44" s="13" t="n">
        <v>202.278254698143</v>
      </c>
      <c r="Q44" s="13" t="n">
        <v>188.5773210662519</v>
      </c>
      <c r="R44" s="13" t="n">
        <v>188.5674295881312</v>
      </c>
      <c r="S44" s="13" t="n">
        <v>201.5920334035216</v>
      </c>
      <c r="T44" s="13" t="n">
        <v>199.8795712538809</v>
      </c>
    </row>
    <row r="45">
      <c r="A45" s="12" t="inlineStr">
        <is>
          <t xml:space="preserve">   Other Current Assets</t>
        </is>
      </c>
      <c r="B45" s="13" t="n">
        <v>10.97954071394216</v>
      </c>
      <c r="C45" s="13" t="n">
        <v>10.56780793716933</v>
      </c>
      <c r="D45" s="13" t="n">
        <v>10.79160262964946</v>
      </c>
      <c r="E45" s="13" t="n">
        <v>13.11362711847642</v>
      </c>
      <c r="F45" s="13" t="n">
        <v>9.656555515302735</v>
      </c>
      <c r="G45" s="13" t="n">
        <v>9.974319249929215</v>
      </c>
      <c r="H45" s="13" t="n">
        <v>18.08038556981715</v>
      </c>
      <c r="I45" s="13" t="n">
        <v>12.63759973391924</v>
      </c>
      <c r="J45" s="13" t="n">
        <v>17.85164513827668</v>
      </c>
      <c r="K45" s="13" t="n">
        <v>11.50997122816302</v>
      </c>
      <c r="L45" s="13" t="n">
        <v>11.57055653165211</v>
      </c>
      <c r="M45" s="13" t="n">
        <v>17.04178036714694</v>
      </c>
      <c r="N45" s="13" t="n">
        <v>15.12036074220706</v>
      </c>
      <c r="O45" s="13" t="n">
        <v>18.41298652162462</v>
      </c>
      <c r="P45" s="13" t="n">
        <v>18.49706408565031</v>
      </c>
      <c r="Q45" s="13" t="n">
        <v>17.14440445264887</v>
      </c>
      <c r="R45" s="13" t="n">
        <v>20.44939457971727</v>
      </c>
      <c r="S45" s="13" t="n">
        <v>22.05675977432593</v>
      </c>
      <c r="T45" s="13" t="n">
        <v>30.71798530373638</v>
      </c>
    </row>
    <row r="46">
      <c r="A46" s="5" t="inlineStr">
        <is>
          <t>Total Current Assets</t>
        </is>
      </c>
      <c r="B46" s="11">
        <f>N(B42)+N(B43)+N(B44)+N(B45)</f>
        <v/>
      </c>
      <c r="C46" s="11">
        <f>N(C42)+N(C43)+N(C44)+N(C45)</f>
        <v/>
      </c>
      <c r="D46" s="11">
        <f>N(D42)+N(D43)+N(D44)+N(D45)</f>
        <v/>
      </c>
      <c r="E46" s="11">
        <f>N(E42)+N(E43)+N(E44)+N(E45)</f>
        <v/>
      </c>
      <c r="F46" s="11">
        <f>N(F42)+N(F43)+N(F44)+N(F45)</f>
        <v/>
      </c>
      <c r="G46" s="11">
        <f>N(G42)+N(G43)+N(G44)+N(G45)</f>
        <v/>
      </c>
      <c r="H46" s="11">
        <f>N(H42)+N(H43)+N(H44)+N(H45)</f>
        <v/>
      </c>
      <c r="I46" s="11">
        <f>N(I42)+N(I43)+N(I44)+N(I45)</f>
        <v/>
      </c>
      <c r="J46" s="11">
        <f>N(J42)+N(J43)+N(J44)+N(J45)</f>
        <v/>
      </c>
      <c r="K46" s="11">
        <f>N(K42)+N(K43)+N(K44)+N(K45)</f>
        <v/>
      </c>
      <c r="L46" s="11">
        <f>N(L42)+N(L43)+N(L44)+N(L45)</f>
        <v/>
      </c>
      <c r="M46" s="11">
        <f>N(M42)+N(M43)+N(M44)+N(M45)</f>
        <v/>
      </c>
      <c r="N46" s="11">
        <f>N(N42)+N(N43)+N(N44)+N(N45)</f>
        <v/>
      </c>
      <c r="O46" s="11">
        <f>N(O42)+N(O43)+N(O44)+N(O45)</f>
        <v/>
      </c>
      <c r="P46" s="11">
        <f>N(P42)+N(P43)+N(P44)+N(P45)</f>
        <v/>
      </c>
      <c r="Q46" s="11">
        <f>N(Q42)+N(Q43)+N(Q44)+N(Q45)</f>
        <v/>
      </c>
      <c r="R46" s="11">
        <f>N(R42)+N(R43)+N(R44)+N(R45)</f>
        <v/>
      </c>
      <c r="S46" s="11">
        <f>N(S42)+N(S43)+N(S44)+N(S45)</f>
        <v/>
      </c>
      <c r="T46" s="11">
        <f>N(T42)+N(T43)+N(T44)+N(T45)</f>
        <v/>
      </c>
    </row>
    <row r="47">
      <c r="A47" s="12" t="inlineStr">
        <is>
          <t xml:space="preserve">   Property, Plant &amp; Equipment</t>
        </is>
      </c>
      <c r="B47" s="13" t="n">
        <v>207.205447237001</v>
      </c>
      <c r="C47" s="13" t="n">
        <v>205.7575821270882</v>
      </c>
      <c r="D47" s="13" t="n">
        <v>201.0022540205767</v>
      </c>
      <c r="E47" s="13" t="n">
        <v>202.8074487775988</v>
      </c>
      <c r="F47" s="13" t="n">
        <v>201.228521582587</v>
      </c>
      <c r="G47" s="13" t="n">
        <v>200.6721259382994</v>
      </c>
      <c r="H47" s="13" t="n">
        <v>222.9625718832262</v>
      </c>
      <c r="I47" s="13" t="n">
        <v>232.872596525371</v>
      </c>
      <c r="J47" s="13" t="n">
        <v>230.3032850835273</v>
      </c>
      <c r="K47" s="13" t="n">
        <v>230.8065140329164</v>
      </c>
      <c r="L47" s="13" t="n">
        <v>231.7981347145134</v>
      </c>
      <c r="M47" s="13" t="n">
        <v>248.2105697862328</v>
      </c>
      <c r="N47" s="13" t="n">
        <v>260.8234408248504</v>
      </c>
      <c r="O47" s="13" t="n">
        <v>268.3149990664917</v>
      </c>
      <c r="P47" s="13" t="n">
        <v>268.1616811556214</v>
      </c>
      <c r="Q47" s="13" t="n">
        <v>276.0637357392705</v>
      </c>
      <c r="R47" s="13" t="n">
        <v>285.8464076006118</v>
      </c>
      <c r="S47" s="13" t="n">
        <v>254.2963016999742</v>
      </c>
      <c r="T47" s="13" t="n">
        <v>341.1706811642764</v>
      </c>
    </row>
    <row r="48">
      <c r="A48" s="12" t="inlineStr">
        <is>
          <t xml:space="preserve">   Long-Term Investments</t>
        </is>
      </c>
      <c r="B48" s="13" t="n">
        <v>1.53812484776397</v>
      </c>
      <c r="C48" s="13" t="n">
        <v>2.258966315807695</v>
      </c>
      <c r="D48" s="13" t="n">
        <v>2.307187271645954</v>
      </c>
      <c r="E48" s="13" t="n">
        <v>1.973349885073388</v>
      </c>
      <c r="F48" s="13" t="n">
        <v>1.99807858037506</v>
      </c>
      <c r="G48" s="13" t="n">
        <v>2.240419794331441</v>
      </c>
      <c r="H48" s="13" t="n">
        <v>2.273803532988698</v>
      </c>
      <c r="I48" s="13" t="n">
        <v>2.330679532182542</v>
      </c>
      <c r="J48" s="13" t="n">
        <v>2.318315184531706</v>
      </c>
      <c r="K48" s="13" t="n">
        <v>3.537439862904113</v>
      </c>
      <c r="L48" s="13" t="n">
        <v>3.690757773774477</v>
      </c>
      <c r="M48" s="13" t="n">
        <v>5.929941133340834</v>
      </c>
      <c r="N48" s="13" t="n">
        <v>5.439076531602653</v>
      </c>
      <c r="O48" s="13" t="n">
        <v>8.408992837333406</v>
      </c>
      <c r="P48" s="13" t="n">
        <v>7.960167017608067</v>
      </c>
      <c r="Q48" s="13" t="n">
        <v>7.282600766342267</v>
      </c>
      <c r="R48" s="13" t="n">
        <v>8.976516394506767</v>
      </c>
      <c r="S48" s="13" t="n">
        <v>9.344973954501674</v>
      </c>
      <c r="T48" s="13" t="n">
        <v>4.63910323859358</v>
      </c>
    </row>
    <row r="49">
      <c r="A49" s="12" t="inlineStr">
        <is>
          <t xml:space="preserve">   Goodwill &amp; Intangibles</t>
        </is>
      </c>
      <c r="B49" s="13" t="n">
        <v>13.14701085713367</v>
      </c>
      <c r="C49" s="13" t="n">
        <v>12.57701443043014</v>
      </c>
      <c r="D49" s="13" t="n">
        <v>14.41559292610942</v>
      </c>
      <c r="E49" s="13" t="n">
        <v>20.26269293018965</v>
      </c>
      <c r="F49" s="13" t="n">
        <v>19.92390980455676</v>
      </c>
      <c r="G49" s="13" t="n">
        <v>17.9406684413627</v>
      </c>
      <c r="H49" s="13" t="n">
        <v>17.09989280110587</v>
      </c>
      <c r="I49" s="13" t="n">
        <v>14.28453084101056</v>
      </c>
      <c r="J49" s="13" t="n">
        <v>15.89189603561921</v>
      </c>
      <c r="K49" s="13" t="n">
        <v>21.72539525728353</v>
      </c>
      <c r="L49" s="13" t="n">
        <v>22.07283342627201</v>
      </c>
      <c r="M49" s="13" t="n">
        <v>22.86786098022075</v>
      </c>
      <c r="N49" s="13" t="n">
        <v>21.47068969567631</v>
      </c>
      <c r="O49" s="13" t="n">
        <v>27.6219526519671</v>
      </c>
      <c r="P49" s="13" t="n">
        <v>27.69366586834195</v>
      </c>
      <c r="Q49" s="13" t="n">
        <v>28.89053472094286</v>
      </c>
      <c r="R49" s="13" t="n">
        <v>27.53292934888109</v>
      </c>
      <c r="S49" s="13" t="n">
        <v>21.50654630386373</v>
      </c>
      <c r="T49" s="13" t="n">
        <v>28.44541820551277</v>
      </c>
    </row>
    <row r="50">
      <c r="A50" s="12" t="inlineStr">
        <is>
          <t xml:space="preserve">   Other Long-Term Assets</t>
        </is>
      </c>
      <c r="B50" s="13" t="n">
        <v>0</v>
      </c>
      <c r="C50" s="13" t="n">
        <v>0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0</v>
      </c>
      <c r="I50" s="13" t="n">
        <v>0</v>
      </c>
      <c r="J50" s="13" t="n">
        <v>13.950693454438</v>
      </c>
      <c r="K50" s="13" t="n">
        <v>39.13934248872062</v>
      </c>
      <c r="L50" s="13" t="n">
        <v>15.12901578556265</v>
      </c>
      <c r="M50" s="13" t="n">
        <v>35.31010402125678</v>
      </c>
      <c r="N50" s="13" t="n">
        <v>9.547749255975381</v>
      </c>
      <c r="O50" s="13" t="n">
        <v>35.04056124246856</v>
      </c>
      <c r="P50" s="13" t="n">
        <v>15.54322143186564</v>
      </c>
      <c r="Q50" s="13" t="n">
        <v>49.88766990159215</v>
      </c>
      <c r="R50" s="13" t="n">
        <v>25.46190111736609</v>
      </c>
      <c r="S50" s="13" t="n">
        <v>108.9484493253394</v>
      </c>
      <c r="T50" s="13" t="n">
        <v>26.88751040150746</v>
      </c>
    </row>
    <row r="51">
      <c r="A51" s="5" t="inlineStr">
        <is>
          <t>Total Long-Term Assets</t>
        </is>
      </c>
      <c r="B51" s="11">
        <f>N(B47)+N(B48)+N(B49)+N(B50)</f>
        <v/>
      </c>
      <c r="C51" s="11">
        <f>N(C47)+N(C48)+N(C49)+N(C50)</f>
        <v/>
      </c>
      <c r="D51" s="11">
        <f>N(D47)+N(D48)+N(D49)+N(D50)</f>
        <v/>
      </c>
      <c r="E51" s="11">
        <f>N(E47)+N(E48)+N(E49)+N(E50)</f>
        <v/>
      </c>
      <c r="F51" s="11">
        <f>N(F47)+N(F48)+N(F49)+N(F50)</f>
        <v/>
      </c>
      <c r="G51" s="11">
        <f>N(G47)+N(G48)+N(G49)+N(G50)</f>
        <v/>
      </c>
      <c r="H51" s="11">
        <f>N(H47)+N(H48)+N(H49)+N(H50)</f>
        <v/>
      </c>
      <c r="I51" s="11">
        <f>N(I47)+N(I48)+N(I49)+N(I50)</f>
        <v/>
      </c>
      <c r="J51" s="11">
        <f>N(J47)+N(J48)+N(J49)+N(J50)</f>
        <v/>
      </c>
      <c r="K51" s="11">
        <f>N(K47)+N(K48)+N(K49)+N(K50)</f>
        <v/>
      </c>
      <c r="L51" s="11">
        <f>N(L47)+N(L48)+N(L49)+N(L50)</f>
        <v/>
      </c>
      <c r="M51" s="11">
        <f>N(M47)+N(M48)+N(M49)+N(M50)</f>
        <v/>
      </c>
      <c r="N51" s="11">
        <f>N(N47)+N(N48)+N(N49)+N(N50)</f>
        <v/>
      </c>
      <c r="O51" s="11">
        <f>N(O47)+N(O48)+N(O49)+N(O50)</f>
        <v/>
      </c>
      <c r="P51" s="11">
        <f>N(P47)+N(P48)+N(P49)+N(P50)</f>
        <v/>
      </c>
      <c r="Q51" s="11">
        <f>N(Q47)+N(Q48)+N(Q49)+N(Q50)</f>
        <v/>
      </c>
      <c r="R51" s="11">
        <f>N(R47)+N(R48)+N(R49)+N(R50)</f>
        <v/>
      </c>
      <c r="S51" s="11">
        <f>N(S47)+N(S48)+N(S49)+N(S50)</f>
        <v/>
      </c>
      <c r="T51" s="11">
        <f>N(T47)+N(T48)+N(T49)+N(T50)</f>
        <v/>
      </c>
    </row>
    <row r="52">
      <c r="A52" s="12" t="inlineStr">
        <is>
          <t xml:space="preserve">   Other Assets (reconciling)</t>
        </is>
      </c>
      <c r="B52" s="13" t="n">
        <v>6.560522863533265</v>
      </c>
      <c r="C52" s="13" t="n">
        <v>7.970058495728836</v>
      </c>
      <c r="D52" s="13" t="n">
        <v>3.695703512834825</v>
      </c>
      <c r="E52" s="13" t="n">
        <v>9.116233522961238</v>
      </c>
      <c r="F52" s="13" t="n">
        <v>12.27903365204497</v>
      </c>
      <c r="G52" s="13" t="n">
        <v>5.650506876431905</v>
      </c>
      <c r="H52" s="13" t="n">
        <v>2.846272829222357</v>
      </c>
      <c r="I52" s="13" t="n">
        <v>31.31271042574167</v>
      </c>
      <c r="J52" s="13" t="n">
        <v>0</v>
      </c>
      <c r="K52" s="13" t="n">
        <v>0</v>
      </c>
      <c r="L52" s="13" t="n">
        <v>-1.13686837721616e-13</v>
      </c>
      <c r="M52" s="13" t="n">
        <v>0</v>
      </c>
      <c r="N52" s="13" t="n">
        <v>0</v>
      </c>
      <c r="O52" s="13" t="n">
        <v>-1.13686837721616e-13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1.13686837721616e-13</v>
      </c>
    </row>
    <row r="53">
      <c r="A53" s="5" t="inlineStr">
        <is>
          <t>Total Assets</t>
        </is>
      </c>
      <c r="B53" s="11">
        <f>N(B46)+N(B51)+N(B52)</f>
        <v/>
      </c>
      <c r="C53" s="11">
        <f>N(C46)+N(C51)+N(C52)</f>
        <v/>
      </c>
      <c r="D53" s="11">
        <f>N(D46)+N(D51)+N(D52)</f>
        <v/>
      </c>
      <c r="E53" s="11">
        <f>N(E46)+N(E51)+N(E52)</f>
        <v/>
      </c>
      <c r="F53" s="11">
        <f>N(F46)+N(F51)+N(F52)</f>
        <v/>
      </c>
      <c r="G53" s="11">
        <f>N(G46)+N(G51)+N(G52)</f>
        <v/>
      </c>
      <c r="H53" s="11">
        <f>N(H46)+N(H51)+N(H52)</f>
        <v/>
      </c>
      <c r="I53" s="11">
        <f>N(I46)+N(I51)+N(I52)</f>
        <v/>
      </c>
      <c r="J53" s="11">
        <f>N(J46)+N(J51)+N(J52)</f>
        <v/>
      </c>
      <c r="K53" s="11">
        <f>N(K46)+N(K51)+N(K52)</f>
        <v/>
      </c>
      <c r="L53" s="11">
        <f>N(L46)+N(L51)+N(L52)</f>
        <v/>
      </c>
      <c r="M53" s="11">
        <f>N(M46)+N(M51)+N(M52)</f>
        <v/>
      </c>
      <c r="N53" s="11">
        <f>N(N46)+N(N51)+N(N52)</f>
        <v/>
      </c>
      <c r="O53" s="11">
        <f>N(O46)+N(O51)+N(O52)</f>
        <v/>
      </c>
      <c r="P53" s="11">
        <f>N(P46)+N(P51)+N(P52)</f>
        <v/>
      </c>
      <c r="Q53" s="11">
        <f>N(Q46)+N(Q51)+N(Q52)</f>
        <v/>
      </c>
      <c r="R53" s="11">
        <f>N(R46)+N(R51)+N(R52)</f>
        <v/>
      </c>
      <c r="S53" s="11">
        <f>N(S46)+N(S51)+N(S52)</f>
        <v/>
      </c>
      <c r="T53" s="11">
        <f>N(T46)+N(T51)+N(T52)</f>
        <v/>
      </c>
    </row>
    <row r="54">
      <c r="A54" s="17" t="inlineStr">
        <is>
          <t>Liabilities</t>
        </is>
      </c>
    </row>
    <row r="55">
      <c r="A55" s="12" t="inlineStr">
        <is>
          <t xml:space="preserve">   Accounts Payable</t>
        </is>
      </c>
      <c r="B55" s="13" t="n">
        <v>27.50449134928417</v>
      </c>
      <c r="C55" s="13" t="n">
        <v>20.33069684226925</v>
      </c>
      <c r="D55" s="13" t="n">
        <v>27.66893717304028</v>
      </c>
      <c r="E55" s="13" t="n">
        <v>21.15292596104983</v>
      </c>
      <c r="F55" s="13" t="n">
        <v>31.08767929849637</v>
      </c>
      <c r="G55" s="13" t="n">
        <v>22.76152759042357</v>
      </c>
      <c r="H55" s="13" t="n">
        <v>36.48718991761636</v>
      </c>
      <c r="I55" s="13" t="n">
        <v>19.36256842120881</v>
      </c>
      <c r="J55" s="13" t="n">
        <v>37.79039216001444</v>
      </c>
      <c r="K55" s="13" t="n">
        <v>23.28330306128883</v>
      </c>
      <c r="L55" s="13" t="n">
        <v>31.35598564251951</v>
      </c>
      <c r="M55" s="13" t="n">
        <v>31.61687337795214</v>
      </c>
      <c r="N55" s="13" t="n">
        <v>45.36602796568152</v>
      </c>
      <c r="O55" s="13" t="n">
        <v>32.62951345055559</v>
      </c>
      <c r="P55" s="13" t="n">
        <v>38.90689275288491</v>
      </c>
      <c r="Q55" s="13" t="n">
        <v>26.75026614258318</v>
      </c>
      <c r="R55" s="13" t="n">
        <v>43.31107338611261</v>
      </c>
      <c r="S55" s="13" t="n">
        <v>48.6351614845625</v>
      </c>
      <c r="T55" s="13" t="n">
        <v>62.83561476154737</v>
      </c>
    </row>
    <row r="56">
      <c r="A56" s="12" t="inlineStr">
        <is>
          <t xml:space="preserve">   Deferred Revenue</t>
        </is>
      </c>
      <c r="B56" s="13" t="n">
        <v>0</v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-1.808904061317273</v>
      </c>
      <c r="H56" s="13" t="n">
        <v>-6.540739907292121</v>
      </c>
      <c r="I56" s="13" t="n">
        <v>-4.965522016575644</v>
      </c>
      <c r="J56" s="13" t="n">
        <v>5.500898269856833</v>
      </c>
      <c r="K56" s="13" t="n">
        <v>6.731150861114992</v>
      </c>
      <c r="L56" s="13" t="n">
        <v>5.122549231741259</v>
      </c>
      <c r="M56" s="13" t="n">
        <v>11.72882018158281</v>
      </c>
      <c r="N56" s="13" t="n">
        <v>12.75011529754184</v>
      </c>
      <c r="O56" s="13" t="n">
        <v>24.24772217805402</v>
      </c>
      <c r="P56" s="13" t="n">
        <v>24.09316783241858</v>
      </c>
      <c r="Q56" s="13" t="n">
        <v>11.38756418641974</v>
      </c>
      <c r="R56" s="13" t="n">
        <v>17.70450940123174</v>
      </c>
      <c r="S56" s="13" t="n">
        <v>0</v>
      </c>
      <c r="T56" s="13" t="n">
        <v>0</v>
      </c>
    </row>
    <row r="57">
      <c r="A57" s="12" t="inlineStr">
        <is>
          <t xml:space="preserve">   Current Debt</t>
        </is>
      </c>
      <c r="B57" s="13" t="n">
        <v>0</v>
      </c>
      <c r="C57" s="13" t="n">
        <v>0</v>
      </c>
      <c r="D57" s="13" t="n">
        <v>0</v>
      </c>
      <c r="E57" s="13" t="n">
        <v>0</v>
      </c>
      <c r="F57" s="13" t="n">
        <v>0</v>
      </c>
      <c r="G57" s="13" t="n">
        <v>1.808904061317273</v>
      </c>
      <c r="H57" s="13" t="n">
        <v>6.540739907292121</v>
      </c>
      <c r="I57" s="13" t="n">
        <v>0.2361590401309632</v>
      </c>
      <c r="J57" s="13" t="n">
        <v>4.918537495502468</v>
      </c>
      <c r="K57" s="13" t="n">
        <v>0.5477406009320246</v>
      </c>
      <c r="L57" s="13" t="n">
        <v>5.712328614686125</v>
      </c>
      <c r="M57" s="13" t="n">
        <v>4.38316124222128</v>
      </c>
      <c r="N57" s="13" t="n">
        <v>4.299083678195597</v>
      </c>
      <c r="O57" s="13" t="n">
        <v>2.221873272855187</v>
      </c>
      <c r="P57" s="13" t="n">
        <v>15.58278734434832</v>
      </c>
      <c r="Q57" s="13" t="n">
        <v>4.715762194028762</v>
      </c>
      <c r="R57" s="13" t="n">
        <v>6.021437305957019</v>
      </c>
      <c r="S57" s="13" t="n">
        <v>9.351156128327091</v>
      </c>
      <c r="T57" s="13" t="n">
        <v>5.926231829045584</v>
      </c>
    </row>
    <row r="58">
      <c r="A58" s="12" t="inlineStr">
        <is>
          <t xml:space="preserve">   Other Current Liabilities</t>
        </is>
      </c>
      <c r="B58" s="13" t="n">
        <v>58.38444960724649</v>
      </c>
      <c r="C58" s="13" t="n">
        <v>45.86307474124511</v>
      </c>
      <c r="D58" s="13" t="n">
        <v>56.23799885506141</v>
      </c>
      <c r="E58" s="13" t="n">
        <v>57.3371893612207</v>
      </c>
      <c r="F58" s="13" t="n">
        <v>60.26506688493861</v>
      </c>
      <c r="G58" s="13" t="n">
        <v>65.13538342460282</v>
      </c>
      <c r="H58" s="13" t="n">
        <v>85.37952983331623</v>
      </c>
      <c r="I58" s="13" t="n">
        <v>81.4971246709538</v>
      </c>
      <c r="J58" s="13" t="n">
        <v>72.34256167027499</v>
      </c>
      <c r="K58" s="13" t="n">
        <v>66.32977940767356</v>
      </c>
      <c r="L58" s="13" t="n">
        <v>88.14790727233836</v>
      </c>
      <c r="M58" s="13" t="n">
        <v>93.78852267064963</v>
      </c>
      <c r="N58" s="13" t="n">
        <v>104.0806056552053</v>
      </c>
      <c r="O58" s="13" t="n">
        <v>106.1343238000091</v>
      </c>
      <c r="P58" s="13" t="n">
        <v>109.534519403989</v>
      </c>
      <c r="Q58" s="13" t="n">
        <v>97.24188496952806</v>
      </c>
      <c r="R58" s="13" t="n">
        <v>113.5183122170883</v>
      </c>
      <c r="S58" s="13" t="n">
        <v>134.0616758389519</v>
      </c>
      <c r="T58" s="13" t="n">
        <v>154.7002449377269</v>
      </c>
    </row>
    <row r="59">
      <c r="A59" s="5" t="inlineStr">
        <is>
          <t>Total Current Liabilities</t>
        </is>
      </c>
      <c r="B59" s="11">
        <f>N(B55)+N(B56)+N(B57)+N(B58)</f>
        <v/>
      </c>
      <c r="C59" s="11">
        <f>N(C55)+N(C56)+N(C57)+N(C58)</f>
        <v/>
      </c>
      <c r="D59" s="11">
        <f>N(D55)+N(D56)+N(D57)+N(D58)</f>
        <v/>
      </c>
      <c r="E59" s="11">
        <f>N(E55)+N(E56)+N(E57)+N(E58)</f>
        <v/>
      </c>
      <c r="F59" s="11">
        <f>N(F55)+N(F56)+N(F57)+N(F58)</f>
        <v/>
      </c>
      <c r="G59" s="11">
        <f>N(G55)+N(G56)+N(G57)+N(G58)</f>
        <v/>
      </c>
      <c r="H59" s="11">
        <f>N(H55)+N(H56)+N(H57)+N(H58)</f>
        <v/>
      </c>
      <c r="I59" s="11">
        <f>N(I55)+N(I56)+N(I57)+N(I58)</f>
        <v/>
      </c>
      <c r="J59" s="11">
        <f>N(J55)+N(J56)+N(J57)+N(J58)</f>
        <v/>
      </c>
      <c r="K59" s="11">
        <f>N(K55)+N(K56)+N(K57)+N(K58)</f>
        <v/>
      </c>
      <c r="L59" s="11">
        <f>N(L55)+N(L56)+N(L57)+N(L58)</f>
        <v/>
      </c>
      <c r="M59" s="11">
        <f>N(M55)+N(M56)+N(M57)+N(M58)</f>
        <v/>
      </c>
      <c r="N59" s="11">
        <f>N(N55)+N(N56)+N(N57)+N(N58)</f>
        <v/>
      </c>
      <c r="O59" s="11">
        <f>N(O55)+N(O56)+N(O57)+N(O58)</f>
        <v/>
      </c>
      <c r="P59" s="11">
        <f>N(P55)+N(P56)+N(P57)+N(P58)</f>
        <v/>
      </c>
      <c r="Q59" s="11">
        <f>N(Q55)+N(Q56)+N(Q57)+N(Q58)</f>
        <v/>
      </c>
      <c r="R59" s="11">
        <f>N(R55)+N(R56)+N(R57)+N(R58)</f>
        <v/>
      </c>
      <c r="S59" s="11">
        <f>N(S55)+N(S56)+N(S57)+N(S58)</f>
        <v/>
      </c>
      <c r="T59" s="11">
        <f>N(T55)+N(T56)+N(T57)+N(T58)</f>
        <v/>
      </c>
    </row>
    <row r="60">
      <c r="A60" s="12" t="inlineStr">
        <is>
          <t xml:space="preserve">   Long-Term Debt</t>
        </is>
      </c>
      <c r="B60" s="13" t="n">
        <v>0</v>
      </c>
      <c r="C60" s="13" t="n">
        <v>0</v>
      </c>
      <c r="D60" s="13" t="n">
        <v>0</v>
      </c>
      <c r="E60" s="13" t="n">
        <v>1.873198669101619</v>
      </c>
      <c r="F60" s="13" t="n">
        <v>1.7767567574251</v>
      </c>
      <c r="G60" s="13" t="n">
        <v>0</v>
      </c>
      <c r="H60" s="13" t="n">
        <v>0</v>
      </c>
      <c r="I60" s="13" t="n">
        <v>0</v>
      </c>
      <c r="J60" s="13" t="n">
        <v>10.40336211341321</v>
      </c>
      <c r="K60" s="13" t="n">
        <v>0</v>
      </c>
      <c r="L60" s="13" t="n">
        <v>10.80767628159554</v>
      </c>
      <c r="M60" s="13" t="n">
        <v>1.517105456757549</v>
      </c>
      <c r="N60" s="13" t="n">
        <v>8.77374109303306</v>
      </c>
      <c r="O60" s="13" t="n">
        <v>1.86330719098095</v>
      </c>
      <c r="P60" s="13" t="n">
        <v>9.258423520945822</v>
      </c>
      <c r="Q60" s="13" t="n">
        <v>13.61067389404001</v>
      </c>
      <c r="R60" s="13" t="n">
        <v>17.45227670915468</v>
      </c>
      <c r="S60" s="13" t="n">
        <v>7.14535650741799</v>
      </c>
      <c r="T60" s="13" t="n">
        <v>11.05249036508209</v>
      </c>
    </row>
    <row r="61">
      <c r="A61" s="12" t="inlineStr">
        <is>
          <t xml:space="preserve">   Other Long-Term Liabilities</t>
        </is>
      </c>
      <c r="B61" s="13" t="n">
        <v>57.77859657235554</v>
      </c>
      <c r="C61" s="13" t="n">
        <v>36.31161618097448</v>
      </c>
      <c r="D61" s="13" t="n">
        <v>24.62483478140451</v>
      </c>
      <c r="E61" s="13" t="n">
        <v>0</v>
      </c>
      <c r="F61" s="13" t="n">
        <v>22.97172150048777</v>
      </c>
      <c r="G61" s="13" t="n">
        <v>24.85357521294498</v>
      </c>
      <c r="H61" s="13" t="n">
        <v>30.16406252897894</v>
      </c>
      <c r="I61" s="13" t="n">
        <v>0.1001512159717697</v>
      </c>
      <c r="J61" s="13" t="n">
        <v>9.264605694771241</v>
      </c>
      <c r="K61" s="13" t="n">
        <v>40.11859882266682</v>
      </c>
      <c r="L61" s="13" t="n">
        <v>11.17613384159045</v>
      </c>
      <c r="M61" s="13" t="n">
        <v>41.84342531995841</v>
      </c>
      <c r="N61" s="13" t="n">
        <v>11.30719592668931</v>
      </c>
      <c r="O61" s="13" t="n">
        <v>39.11461379341895</v>
      </c>
      <c r="P61" s="13" t="n">
        <v>11.33316105675606</v>
      </c>
      <c r="Q61" s="13" t="n">
        <v>34.4730376852952</v>
      </c>
      <c r="R61" s="13" t="n">
        <v>9.170636652624887</v>
      </c>
      <c r="S61" s="13" t="n">
        <v>27.01115387801581</v>
      </c>
      <c r="T61" s="13" t="n">
        <v>27.25596796150236</v>
      </c>
    </row>
    <row r="62">
      <c r="A62" s="5" t="inlineStr">
        <is>
          <t>Total Long-Term Liabilities</t>
        </is>
      </c>
      <c r="B62" s="11">
        <f>N(B60)+N(B61)</f>
        <v/>
      </c>
      <c r="C62" s="11">
        <f>N(C60)+N(C61)</f>
        <v/>
      </c>
      <c r="D62" s="11">
        <f>N(D60)+N(D61)</f>
        <v/>
      </c>
      <c r="E62" s="11">
        <f>N(E60)+N(E61)</f>
        <v/>
      </c>
      <c r="F62" s="11">
        <f>N(F60)+N(F61)</f>
        <v/>
      </c>
      <c r="G62" s="11">
        <f>N(G60)+N(G61)</f>
        <v/>
      </c>
      <c r="H62" s="11">
        <f>N(H60)+N(H61)</f>
        <v/>
      </c>
      <c r="I62" s="11">
        <f>N(I60)+N(I61)</f>
        <v/>
      </c>
      <c r="J62" s="11">
        <f>N(J60)+N(J61)</f>
        <v/>
      </c>
      <c r="K62" s="11">
        <f>N(K60)+N(K61)</f>
        <v/>
      </c>
      <c r="L62" s="11">
        <f>N(L60)+N(L61)</f>
        <v/>
      </c>
      <c r="M62" s="11">
        <f>N(M60)+N(M61)</f>
        <v/>
      </c>
      <c r="N62" s="11">
        <f>N(N60)+N(N61)</f>
        <v/>
      </c>
      <c r="O62" s="11">
        <f>N(O60)+N(O61)</f>
        <v/>
      </c>
      <c r="P62" s="11">
        <f>N(P60)+N(P61)</f>
        <v/>
      </c>
      <c r="Q62" s="11">
        <f>N(Q60)+N(Q61)</f>
        <v/>
      </c>
      <c r="R62" s="11">
        <f>N(R60)+N(R61)</f>
        <v/>
      </c>
      <c r="S62" s="11">
        <f>N(S60)+N(S61)</f>
        <v/>
      </c>
      <c r="T62" s="11">
        <f>N(T60)+N(T61)</f>
        <v/>
      </c>
    </row>
    <row r="63">
      <c r="A63" s="12" t="inlineStr">
        <is>
          <t xml:space="preserve">   Other Liabilities (reconciling)</t>
        </is>
      </c>
      <c r="B63" s="13" t="n">
        <v>-2.842170943040401e-14</v>
      </c>
      <c r="C63" s="13" t="n">
        <v>0</v>
      </c>
      <c r="D63" s="13" t="n">
        <v>0</v>
      </c>
      <c r="E63" s="13" t="n">
        <v>16.37039628970656</v>
      </c>
      <c r="F63" s="13" t="n">
        <v>0</v>
      </c>
      <c r="G63" s="13" t="n">
        <v>3.757525251088992</v>
      </c>
      <c r="H63" s="13" t="n">
        <v>0</v>
      </c>
      <c r="I63" s="13" t="n">
        <v>20.80796066159152</v>
      </c>
      <c r="J63" s="13" t="n">
        <v>0</v>
      </c>
      <c r="K63" s="13" t="n">
        <v>0</v>
      </c>
      <c r="L63" s="13" t="n">
        <v>0</v>
      </c>
      <c r="M63" s="13" t="n">
        <v>0</v>
      </c>
      <c r="N63" s="13" t="n">
        <v>0</v>
      </c>
      <c r="O63" s="13" t="n">
        <v>-2.842170943040401e-14</v>
      </c>
      <c r="P63" s="13" t="n">
        <v>2.842170943040401e-14</v>
      </c>
      <c r="Q63" s="13" t="n">
        <v>0</v>
      </c>
      <c r="R63" s="13" t="n">
        <v>-2.842170943040401e-14</v>
      </c>
      <c r="S63" s="13" t="n">
        <v>0</v>
      </c>
      <c r="T63" s="13" t="n">
        <v>0</v>
      </c>
    </row>
    <row r="64">
      <c r="A64" s="5" t="inlineStr">
        <is>
          <t>Total Liabilities</t>
        </is>
      </c>
      <c r="B64" s="11">
        <f>N(B59)+N(B62)+N(B63)</f>
        <v/>
      </c>
      <c r="C64" s="11">
        <f>N(C59)+N(C62)+N(C63)</f>
        <v/>
      </c>
      <c r="D64" s="11">
        <f>N(D59)+N(D62)+N(D63)</f>
        <v/>
      </c>
      <c r="E64" s="11">
        <f>N(E59)+N(E62)+N(E63)</f>
        <v/>
      </c>
      <c r="F64" s="11">
        <f>N(F59)+N(F62)+N(F63)</f>
        <v/>
      </c>
      <c r="G64" s="11">
        <f>N(G59)+N(G62)+N(G63)</f>
        <v/>
      </c>
      <c r="H64" s="11">
        <f>N(H59)+N(H62)+N(H63)</f>
        <v/>
      </c>
      <c r="I64" s="11">
        <f>N(I59)+N(I62)+N(I63)</f>
        <v/>
      </c>
      <c r="J64" s="11">
        <f>N(J59)+N(J62)+N(J63)</f>
        <v/>
      </c>
      <c r="K64" s="11">
        <f>N(K59)+N(K62)+N(K63)</f>
        <v/>
      </c>
      <c r="L64" s="11">
        <f>N(L59)+N(L62)+N(L63)</f>
        <v/>
      </c>
      <c r="M64" s="11">
        <f>N(M59)+N(M62)+N(M63)</f>
        <v/>
      </c>
      <c r="N64" s="11">
        <f>N(N59)+N(N62)+N(N63)</f>
        <v/>
      </c>
      <c r="O64" s="11">
        <f>N(O59)+N(O62)+N(O63)</f>
        <v/>
      </c>
      <c r="P64" s="11">
        <f>N(P59)+N(P62)+N(P63)</f>
        <v/>
      </c>
      <c r="Q64" s="11">
        <f>N(Q59)+N(Q62)+N(Q63)</f>
        <v/>
      </c>
      <c r="R64" s="11">
        <f>N(R59)+N(R62)+N(R63)</f>
        <v/>
      </c>
      <c r="S64" s="11">
        <f>N(S59)+N(S62)+N(S63)</f>
        <v/>
      </c>
      <c r="T64" s="11">
        <f>N(T59)+N(T62)+N(T63)</f>
        <v/>
      </c>
    </row>
    <row r="65">
      <c r="A65" s="17" t="inlineStr">
        <is>
          <t>Equity</t>
        </is>
      </c>
    </row>
    <row r="66">
      <c r="A66" s="12" t="inlineStr">
        <is>
          <t xml:space="preserve">   Common Stock</t>
        </is>
      </c>
      <c r="B66" s="13" t="n">
        <v>0.7604073805263997</v>
      </c>
      <c r="C66" s="13" t="n">
        <v>0.7604073805263997</v>
      </c>
      <c r="D66" s="13" t="n">
        <v>0.7604073805263997</v>
      </c>
      <c r="E66" s="13" t="n">
        <v>0.7604073805263997</v>
      </c>
      <c r="F66" s="13" t="n">
        <v>0.7604073805263997</v>
      </c>
      <c r="G66" s="13" t="n">
        <v>0.7604073805263997</v>
      </c>
      <c r="H66" s="13" t="n">
        <v>0.7604073805263997</v>
      </c>
      <c r="I66" s="13" t="n">
        <v>0.7604073805263997</v>
      </c>
      <c r="J66" s="13" t="n">
        <v>0.7604073805263997</v>
      </c>
      <c r="K66" s="13" t="n">
        <v>0.7604073805263997</v>
      </c>
      <c r="L66" s="13" t="n">
        <v>0.7604073805263997</v>
      </c>
      <c r="M66" s="13" t="n">
        <v>0.7604073805263997</v>
      </c>
      <c r="N66" s="13" t="n">
        <v>0.7604073805263997</v>
      </c>
      <c r="O66" s="13" t="n">
        <v>0.7604073805263997</v>
      </c>
      <c r="P66" s="13" t="n">
        <v>0.7604073805263997</v>
      </c>
      <c r="Q66" s="13" t="n">
        <v>0.7604073805263997</v>
      </c>
      <c r="R66" s="13" t="n">
        <v>0.7604073805263997</v>
      </c>
      <c r="S66" s="13" t="n">
        <v>0.7604073805263997</v>
      </c>
      <c r="T66" s="13" t="n">
        <v>0.7604073805263997</v>
      </c>
    </row>
    <row r="67">
      <c r="A67" s="12" t="inlineStr">
        <is>
          <t xml:space="preserve">   Retained Earnings</t>
        </is>
      </c>
      <c r="B67" s="13" t="n">
        <v>365.8536283796399</v>
      </c>
      <c r="C67" s="13" t="n">
        <v>429.1763984386301</v>
      </c>
      <c r="D67" s="13" t="n">
        <v>421.3596578537718</v>
      </c>
      <c r="E67" s="13" t="n">
        <v>485.9349363297917</v>
      </c>
      <c r="F67" s="13" t="n">
        <v>485.9188626778457</v>
      </c>
      <c r="G67" s="13" t="n">
        <v>516.1731849446757</v>
      </c>
      <c r="H67" s="13" t="n">
        <v>514.2208544506087</v>
      </c>
      <c r="I67" s="13" t="n">
        <v>605.8876550643749</v>
      </c>
      <c r="J67" s="13" t="n">
        <v>532.4137555840485</v>
      </c>
      <c r="K67" s="13" t="n">
        <v>595.2901726928436</v>
      </c>
      <c r="L67" s="13" t="n">
        <v>558.9068432954944</v>
      </c>
      <c r="M67" s="13" t="n">
        <v>622.1442993556938</v>
      </c>
      <c r="N67" s="13" t="n">
        <v>567.6484370846351</v>
      </c>
      <c r="O67" s="13" t="n">
        <v>642.4477946331313</v>
      </c>
      <c r="P67" s="13" t="n">
        <v>590.2937398071408</v>
      </c>
      <c r="Q67" s="13" t="n">
        <v>675.775893725959</v>
      </c>
      <c r="R67" s="13" t="n">
        <v>638.8547152057984</v>
      </c>
      <c r="S67" s="13" t="n">
        <v>722.2658408931015</v>
      </c>
      <c r="T67" s="13" t="n">
        <v>701.5938880556691</v>
      </c>
    </row>
    <row r="68">
      <c r="A68" s="12" t="inlineStr">
        <is>
          <t xml:space="preserve">   Comprehensive Income</t>
        </is>
      </c>
      <c r="B68" s="13" t="n">
        <v>27.56384021800817</v>
      </c>
      <c r="C68" s="13" t="n">
        <v>26.90852979251388</v>
      </c>
      <c r="D68" s="13" t="n">
        <v>28.71496098430099</v>
      </c>
      <c r="E68" s="13" t="n">
        <v>25.07984277495527</v>
      </c>
      <c r="F68" s="13" t="n">
        <v>25.0551140796536</v>
      </c>
      <c r="G68" s="13" t="n">
        <v>23.77169479349685</v>
      </c>
      <c r="H68" s="13" t="n">
        <v>22.41532585620016</v>
      </c>
      <c r="I68" s="13" t="n">
        <v>20.66453422884182</v>
      </c>
      <c r="J68" s="13" t="n">
        <v>15.78556264582202</v>
      </c>
      <c r="K68" s="13" t="n">
        <v>9.192892478396393</v>
      </c>
      <c r="L68" s="13" t="n">
        <v>14.93860483173977</v>
      </c>
      <c r="M68" s="13" t="n">
        <v>10.03243168388814</v>
      </c>
      <c r="N68" s="13" t="n">
        <v>13.49815833041741</v>
      </c>
      <c r="O68" s="13" t="n">
        <v>2.680590570701194</v>
      </c>
      <c r="P68" s="13" t="n">
        <v>-3.589370123037623</v>
      </c>
      <c r="Q68" s="13" t="n">
        <v>-19.86085163153749</v>
      </c>
      <c r="R68" s="13" t="n">
        <v>-6.440588691320351</v>
      </c>
      <c r="S68" s="13" t="n">
        <v>-4.896281669730964</v>
      </c>
      <c r="T68" s="13" t="n">
        <v>-31.40791466621825</v>
      </c>
    </row>
    <row r="69">
      <c r="A69" s="12" t="inlineStr">
        <is>
          <t xml:space="preserve">   Other Equity / NCI (reconciling)</t>
        </is>
      </c>
      <c r="B69" s="13" t="n">
        <v>-0.6664383383800327</v>
      </c>
      <c r="C69" s="13" t="n">
        <v>-0.644182512608495</v>
      </c>
      <c r="D69" s="13" t="n">
        <v>-0.3239459084518899</v>
      </c>
      <c r="E69" s="13" t="n">
        <v>-0.323945908451833</v>
      </c>
      <c r="F69" s="13" t="n">
        <v>-0.323945908451833</v>
      </c>
      <c r="G69" s="13" t="n">
        <v>-0.08284112926060061</v>
      </c>
      <c r="H69" s="13" t="n">
        <v>-0.08284112926060061</v>
      </c>
      <c r="I69" s="13" t="n">
        <v>-0.08284112926060061</v>
      </c>
      <c r="J69" s="13" t="n">
        <v>-0.08284112926060061</v>
      </c>
      <c r="K69" s="13" t="n">
        <v>-0.2769613873787193</v>
      </c>
      <c r="L69" s="13" t="n">
        <v>-0.4055506029475282</v>
      </c>
      <c r="M69" s="13" t="n">
        <v>-0.7492794676406902</v>
      </c>
      <c r="N69" s="13" t="n">
        <v>-1.431791457966824</v>
      </c>
      <c r="O69" s="13" t="n">
        <v>-0.6825119903262475</v>
      </c>
      <c r="P69" s="13" t="n">
        <v>-0.6825119903261339</v>
      </c>
      <c r="Q69" s="13" t="n">
        <v>-0.5848336438845081</v>
      </c>
      <c r="R69" s="13" t="n">
        <v>-0.5848336438845081</v>
      </c>
      <c r="S69" s="13" t="n">
        <v>-0.08778686832090443</v>
      </c>
      <c r="T69" s="13" t="n">
        <v>-0.08778810475564569</v>
      </c>
    </row>
    <row r="70">
      <c r="A70" s="5" t="inlineStr">
        <is>
          <t>Shareholders Equity</t>
        </is>
      </c>
      <c r="B70" s="11">
        <f>N(B66)+N(B67)+N(B68)+N(B69)</f>
        <v/>
      </c>
      <c r="C70" s="11">
        <f>N(C66)+N(C67)+N(C68)+N(C69)</f>
        <v/>
      </c>
      <c r="D70" s="11">
        <f>N(D66)+N(D67)+N(D68)+N(D69)</f>
        <v/>
      </c>
      <c r="E70" s="11">
        <f>N(E66)+N(E67)+N(E68)+N(E69)</f>
        <v/>
      </c>
      <c r="F70" s="11">
        <f>N(F66)+N(F67)+N(F68)+N(F69)</f>
        <v/>
      </c>
      <c r="G70" s="11">
        <f>N(G66)+N(G67)+N(G68)+N(G69)</f>
        <v/>
      </c>
      <c r="H70" s="11">
        <f>N(H66)+N(H67)+N(H68)+N(H69)</f>
        <v/>
      </c>
      <c r="I70" s="11">
        <f>N(I66)+N(I67)+N(I68)+N(I69)</f>
        <v/>
      </c>
      <c r="J70" s="11">
        <f>N(J66)+N(J67)+N(J68)+N(J69)</f>
        <v/>
      </c>
      <c r="K70" s="11">
        <f>N(K66)+N(K67)+N(K68)+N(K69)</f>
        <v/>
      </c>
      <c r="L70" s="11">
        <f>N(L66)+N(L67)+N(L68)+N(L69)</f>
        <v/>
      </c>
      <c r="M70" s="11">
        <f>N(M66)+N(M67)+N(M68)+N(M69)</f>
        <v/>
      </c>
      <c r="N70" s="11">
        <f>N(N66)+N(N67)+N(N68)+N(N69)</f>
        <v/>
      </c>
      <c r="O70" s="11">
        <f>N(O66)+N(O67)+N(O68)+N(O69)</f>
        <v/>
      </c>
      <c r="P70" s="11">
        <f>N(P66)+N(P67)+N(P68)+N(P69)</f>
        <v/>
      </c>
      <c r="Q70" s="11">
        <f>N(Q66)+N(Q67)+N(Q68)+N(Q69)</f>
        <v/>
      </c>
      <c r="R70" s="11">
        <f>N(R66)+N(R67)+N(R68)+N(R69)</f>
        <v/>
      </c>
      <c r="S70" s="11">
        <f>N(S66)+N(S67)+N(S68)+N(S69)</f>
        <v/>
      </c>
      <c r="T70" s="11">
        <f>N(T66)+N(T67)+N(T68)+N(T69)</f>
        <v/>
      </c>
    </row>
    <row r="71">
      <c r="A71" s="5" t="inlineStr">
        <is>
          <t>Total Liabilities &amp; Equity</t>
        </is>
      </c>
      <c r="B71" s="11">
        <f>N(B64)+N(B70)</f>
        <v/>
      </c>
      <c r="C71" s="11">
        <f>N(C64)+N(C70)</f>
        <v/>
      </c>
      <c r="D71" s="11">
        <f>N(D64)+N(D70)</f>
        <v/>
      </c>
      <c r="E71" s="11">
        <f>N(E64)+N(E70)</f>
        <v/>
      </c>
      <c r="F71" s="11">
        <f>N(F64)+N(F70)</f>
        <v/>
      </c>
      <c r="G71" s="11">
        <f>N(G64)+N(G70)</f>
        <v/>
      </c>
      <c r="H71" s="11">
        <f>N(H64)+N(H70)</f>
        <v/>
      </c>
      <c r="I71" s="11">
        <f>N(I64)+N(I70)</f>
        <v/>
      </c>
      <c r="J71" s="11">
        <f>N(J64)+N(J70)</f>
        <v/>
      </c>
      <c r="K71" s="11">
        <f>N(K64)+N(K70)</f>
        <v/>
      </c>
      <c r="L71" s="11">
        <f>N(L64)+N(L70)</f>
        <v/>
      </c>
      <c r="M71" s="11">
        <f>N(M64)+N(M70)</f>
        <v/>
      </c>
      <c r="N71" s="11">
        <f>N(N64)+N(N70)</f>
        <v/>
      </c>
      <c r="O71" s="11">
        <f>N(O64)+N(O70)</f>
        <v/>
      </c>
      <c r="P71" s="11">
        <f>N(P64)+N(P70)</f>
        <v/>
      </c>
      <c r="Q71" s="11">
        <f>N(Q64)+N(Q70)</f>
        <v/>
      </c>
      <c r="R71" s="11">
        <f>N(R64)+N(R70)</f>
        <v/>
      </c>
      <c r="S71" s="11">
        <f>N(S64)+N(S70)</f>
        <v/>
      </c>
      <c r="T71" s="11">
        <f>N(T64)+N(T70)</f>
        <v/>
      </c>
    </row>
    <row r="72">
      <c r="A72" s="17" t="inlineStr">
        <is>
          <t>Memo &amp; Checks</t>
        </is>
      </c>
    </row>
    <row r="73">
      <c r="A73" s="12" t="inlineStr">
        <is>
          <t>Total Debt</t>
        </is>
      </c>
      <c r="B73" s="13">
        <f>N(B57)+N(B60)</f>
        <v/>
      </c>
      <c r="C73" s="13">
        <f>N(C57)+N(C60)</f>
        <v/>
      </c>
      <c r="D73" s="13">
        <f>N(D57)+N(D60)</f>
        <v/>
      </c>
      <c r="E73" s="13">
        <f>N(E57)+N(E60)</f>
        <v/>
      </c>
      <c r="F73" s="13">
        <f>N(F57)+N(F60)</f>
        <v/>
      </c>
      <c r="G73" s="13">
        <f>N(G57)+N(G60)</f>
        <v/>
      </c>
      <c r="H73" s="13">
        <f>N(H57)+N(H60)</f>
        <v/>
      </c>
      <c r="I73" s="13">
        <f>N(I57)+N(I60)</f>
        <v/>
      </c>
      <c r="J73" s="13">
        <f>N(J57)+N(J60)</f>
        <v/>
      </c>
      <c r="K73" s="13">
        <f>N(K57)+N(K60)</f>
        <v/>
      </c>
      <c r="L73" s="13">
        <f>N(L57)+N(L60)</f>
        <v/>
      </c>
      <c r="M73" s="13">
        <f>N(M57)+N(M60)</f>
        <v/>
      </c>
      <c r="N73" s="13">
        <f>N(N57)+N(N60)</f>
        <v/>
      </c>
      <c r="O73" s="13">
        <f>N(O57)+N(O60)</f>
        <v/>
      </c>
      <c r="P73" s="13">
        <f>N(P57)+N(P60)</f>
        <v/>
      </c>
      <c r="Q73" s="13">
        <f>N(Q57)+N(Q60)</f>
        <v/>
      </c>
      <c r="R73" s="13">
        <f>N(R57)+N(R60)</f>
        <v/>
      </c>
      <c r="S73" s="13">
        <f>N(S57)+N(S60)</f>
        <v/>
      </c>
      <c r="T73" s="13">
        <f>N(T57)+N(T60)</f>
        <v/>
      </c>
    </row>
    <row r="74">
      <c r="A74" s="12" t="inlineStr">
        <is>
          <t>Net Cash (Debt)</t>
        </is>
      </c>
      <c r="B74" s="13">
        <f>N(B42)-N(B73)</f>
        <v/>
      </c>
      <c r="C74" s="13">
        <f>N(C42)-N(C73)</f>
        <v/>
      </c>
      <c r="D74" s="13">
        <f>N(D42)-N(D73)</f>
        <v/>
      </c>
      <c r="E74" s="13">
        <f>N(E42)-N(E73)</f>
        <v/>
      </c>
      <c r="F74" s="13">
        <f>N(F42)-N(F73)</f>
        <v/>
      </c>
      <c r="G74" s="13">
        <f>N(G42)-N(G73)</f>
        <v/>
      </c>
      <c r="H74" s="13">
        <f>N(H42)-N(H73)</f>
        <v/>
      </c>
      <c r="I74" s="13">
        <f>N(I42)-N(I73)</f>
        <v/>
      </c>
      <c r="J74" s="13">
        <f>N(J42)-N(J73)</f>
        <v/>
      </c>
      <c r="K74" s="13">
        <f>N(K42)-N(K73)</f>
        <v/>
      </c>
      <c r="L74" s="13">
        <f>N(L42)-N(L73)</f>
        <v/>
      </c>
      <c r="M74" s="13">
        <f>N(M42)-N(M73)</f>
        <v/>
      </c>
      <c r="N74" s="13">
        <f>N(N42)-N(N73)</f>
        <v/>
      </c>
      <c r="O74" s="13">
        <f>N(O42)-N(O73)</f>
        <v/>
      </c>
      <c r="P74" s="13">
        <f>N(P42)-N(P73)</f>
        <v/>
      </c>
      <c r="Q74" s="13">
        <f>N(Q42)-N(Q73)</f>
        <v/>
      </c>
      <c r="R74" s="13">
        <f>N(R42)-N(R73)</f>
        <v/>
      </c>
      <c r="S74" s="13">
        <f>N(S42)-N(S73)</f>
        <v/>
      </c>
      <c r="T74" s="13">
        <f>N(T42)-N(T73)</f>
        <v/>
      </c>
    </row>
    <row r="75">
      <c r="A75" s="12" t="inlineStr">
        <is>
          <t>Working Capital</t>
        </is>
      </c>
      <c r="B75" s="13">
        <f>N(B46)-N(B59)</f>
        <v/>
      </c>
      <c r="C75" s="13">
        <f>N(C46)-N(C59)</f>
        <v/>
      </c>
      <c r="D75" s="13">
        <f>N(D46)-N(D59)</f>
        <v/>
      </c>
      <c r="E75" s="13">
        <f>N(E46)-N(E59)</f>
        <v/>
      </c>
      <c r="F75" s="13">
        <f>N(F46)-N(F59)</f>
        <v/>
      </c>
      <c r="G75" s="13">
        <f>N(G46)-N(G59)</f>
        <v/>
      </c>
      <c r="H75" s="13">
        <f>N(H46)-N(H59)</f>
        <v/>
      </c>
      <c r="I75" s="13">
        <f>N(I46)-N(I59)</f>
        <v/>
      </c>
      <c r="J75" s="13">
        <f>N(J46)-N(J59)</f>
        <v/>
      </c>
      <c r="K75" s="13">
        <f>N(K46)-N(K59)</f>
        <v/>
      </c>
      <c r="L75" s="13">
        <f>N(L46)-N(L59)</f>
        <v/>
      </c>
      <c r="M75" s="13">
        <f>N(M46)-N(M59)</f>
        <v/>
      </c>
      <c r="N75" s="13">
        <f>N(N46)-N(N59)</f>
        <v/>
      </c>
      <c r="O75" s="13">
        <f>N(O46)-N(O59)</f>
        <v/>
      </c>
      <c r="P75" s="13">
        <f>N(P46)-N(P59)</f>
        <v/>
      </c>
      <c r="Q75" s="13">
        <f>N(Q46)-N(Q59)</f>
        <v/>
      </c>
      <c r="R75" s="13">
        <f>N(R46)-N(R59)</f>
        <v/>
      </c>
      <c r="S75" s="13">
        <f>N(S46)-N(S59)</f>
        <v/>
      </c>
      <c r="T75" s="13">
        <f>N(T46)-N(T59)</f>
        <v/>
      </c>
    </row>
    <row r="76">
      <c r="A76" s="12" t="inlineStr">
        <is>
          <t>Book Value Per Share</t>
        </is>
      </c>
      <c r="B76" s="14" t="n">
        <v>32.01994647492967</v>
      </c>
      <c r="C76" s="14" t="n">
        <v>37.11925626111759</v>
      </c>
      <c r="D76" s="14" t="n">
        <v>36.65175089447983</v>
      </c>
      <c r="E76" s="14" t="n">
        <v>41.59501643194931</v>
      </c>
      <c r="F76" s="14" t="n">
        <v>41.59293951324027</v>
      </c>
      <c r="G76" s="14" t="n">
        <v>43.96107532729258</v>
      </c>
      <c r="H76" s="14" t="n">
        <v>43.68732631281201</v>
      </c>
      <c r="I76" s="14" t="n">
        <v>50.9990158067075</v>
      </c>
      <c r="J76" s="14" t="n">
        <v>44.62827322866805</v>
      </c>
      <c r="K76" s="14" t="n">
        <v>49.18658856794774</v>
      </c>
      <c r="L76" s="14" t="n">
        <v>46.68515303199769</v>
      </c>
      <c r="M76" s="14" t="n">
        <v>51.40210085546607</v>
      </c>
      <c r="N76" s="14" t="n">
        <v>47.19743496294718</v>
      </c>
      <c r="O76" s="14" t="n">
        <v>52.46115644452711</v>
      </c>
      <c r="P76" s="14" t="n">
        <v>47.71075101531136</v>
      </c>
      <c r="Q76" s="14" t="n">
        <v>53.34543650794554</v>
      </c>
      <c r="R76" s="14" t="n">
        <v>51.43338964737145</v>
      </c>
      <c r="S76" s="14" t="n">
        <v>58.37798252792515</v>
      </c>
      <c r="T76" s="14" t="n">
        <v>54.52573158640998</v>
      </c>
    </row>
    <row r="77">
      <c r="A77" s="5" t="inlineStr">
        <is>
          <t>Net Operating Working Capital</t>
        </is>
      </c>
      <c r="B77" s="11">
        <f>(B46-N(B42))-(B59-N(B57))</f>
        <v/>
      </c>
      <c r="C77" s="11">
        <f>(C46-N(C42))-(C59-N(C57))</f>
        <v/>
      </c>
      <c r="D77" s="11">
        <f>(D46-N(D42))-(D59-N(D57))</f>
        <v/>
      </c>
      <c r="E77" s="11">
        <f>(E46-N(E42))-(E59-N(E57))</f>
        <v/>
      </c>
      <c r="F77" s="11">
        <f>(F46-N(F42))-(F59-N(F57))</f>
        <v/>
      </c>
      <c r="G77" s="11">
        <f>(G46-N(G42))-(G59-N(G57))</f>
        <v/>
      </c>
      <c r="H77" s="11">
        <f>(H46-N(H42))-(H59-N(H57))</f>
        <v/>
      </c>
      <c r="I77" s="11">
        <f>(I46-N(I42))-(I59-N(I57))</f>
        <v/>
      </c>
      <c r="J77" s="11">
        <f>(J46-N(J42))-(J59-N(J57))</f>
        <v/>
      </c>
      <c r="K77" s="11">
        <f>(K46-N(K42))-(K59-N(K57))</f>
        <v/>
      </c>
      <c r="L77" s="11">
        <f>(L46-N(L42))-(L59-N(L57))</f>
        <v/>
      </c>
      <c r="M77" s="11">
        <f>(M46-N(M42))-(M59-N(M57))</f>
        <v/>
      </c>
      <c r="N77" s="11">
        <f>(N46-N(N42))-(N59-N(N57))</f>
        <v/>
      </c>
      <c r="O77" s="11">
        <f>(O46-N(O42))-(O59-N(O57))</f>
        <v/>
      </c>
      <c r="P77" s="11">
        <f>(P46-N(P42))-(P59-N(P57))</f>
        <v/>
      </c>
      <c r="Q77" s="11">
        <f>(Q46-N(Q42))-(Q59-N(Q57))</f>
        <v/>
      </c>
      <c r="R77" s="11">
        <f>(R46-N(R42))-(R59-N(R57))</f>
        <v/>
      </c>
      <c r="S77" s="11">
        <f>(S46-N(S42))-(S59-N(S57))</f>
        <v/>
      </c>
      <c r="T77" s="11">
        <f>(T46-N(T42))-(T59-N(T57))</f>
        <v/>
      </c>
    </row>
    <row r="78">
      <c r="A78" s="12" t="inlineStr">
        <is>
          <t xml:space="preserve">  Change in NOWC (seq.)</t>
        </is>
      </c>
      <c r="B78" s="13" t="n"/>
      <c r="C78" s="13">
        <f>C77-B77</f>
        <v/>
      </c>
      <c r="D78" s="13">
        <f>D77-C77</f>
        <v/>
      </c>
      <c r="E78" s="13">
        <f>E77-D77</f>
        <v/>
      </c>
      <c r="F78" s="13">
        <f>F77-E77</f>
        <v/>
      </c>
      <c r="G78" s="13">
        <f>G77-F77</f>
        <v/>
      </c>
      <c r="H78" s="13">
        <f>H77-G77</f>
        <v/>
      </c>
      <c r="I78" s="13">
        <f>I77-H77</f>
        <v/>
      </c>
      <c r="J78" s="13">
        <f>J77-I77</f>
        <v/>
      </c>
      <c r="K78" s="13">
        <f>K77-J77</f>
        <v/>
      </c>
      <c r="L78" s="13">
        <f>L77-K77</f>
        <v/>
      </c>
      <c r="M78" s="13">
        <f>M77-L77</f>
        <v/>
      </c>
      <c r="N78" s="13">
        <f>N77-M77</f>
        <v/>
      </c>
      <c r="O78" s="13">
        <f>O77-N77</f>
        <v/>
      </c>
      <c r="P78" s="13">
        <f>P77-O77</f>
        <v/>
      </c>
      <c r="Q78" s="13">
        <f>Q77-P77</f>
        <v/>
      </c>
      <c r="R78" s="13">
        <f>R77-Q77</f>
        <v/>
      </c>
      <c r="S78" s="13">
        <f>S77-R77</f>
        <v/>
      </c>
      <c r="T78" s="13">
        <f>T77-S77</f>
        <v/>
      </c>
    </row>
    <row r="79">
      <c r="A79" s="5" t="inlineStr">
        <is>
          <t xml:space="preserve">  Balance Check (A - L&amp;E)</t>
        </is>
      </c>
      <c r="B79" s="11">
        <f>ROUND(B53-B71,2)</f>
        <v/>
      </c>
      <c r="C79" s="11">
        <f>ROUND(C53-C71,2)</f>
        <v/>
      </c>
      <c r="D79" s="11">
        <f>ROUND(D53-D71,2)</f>
        <v/>
      </c>
      <c r="E79" s="11">
        <f>ROUND(E53-E71,2)</f>
        <v/>
      </c>
      <c r="F79" s="11">
        <f>ROUND(F53-F71,2)</f>
        <v/>
      </c>
      <c r="G79" s="11">
        <f>ROUND(G53-G71,2)</f>
        <v/>
      </c>
      <c r="H79" s="11">
        <f>ROUND(H53-H71,2)</f>
        <v/>
      </c>
      <c r="I79" s="11">
        <f>ROUND(I53-I71,2)</f>
        <v/>
      </c>
      <c r="J79" s="11">
        <f>ROUND(J53-J71,2)</f>
        <v/>
      </c>
      <c r="K79" s="11">
        <f>ROUND(K53-K71,2)</f>
        <v/>
      </c>
      <c r="L79" s="11">
        <f>ROUND(L53-L71,2)</f>
        <v/>
      </c>
      <c r="M79" s="11">
        <f>ROUND(M53-M71,2)</f>
        <v/>
      </c>
      <c r="N79" s="11">
        <f>ROUND(N53-N71,2)</f>
        <v/>
      </c>
      <c r="O79" s="11">
        <f>ROUND(O53-O71,2)</f>
        <v/>
      </c>
      <c r="P79" s="11">
        <f>ROUND(P53-P71,2)</f>
        <v/>
      </c>
      <c r="Q79" s="11">
        <f>ROUND(Q53-Q71,2)</f>
        <v/>
      </c>
      <c r="R79" s="11">
        <f>ROUND(R53-R71,2)</f>
        <v/>
      </c>
      <c r="S79" s="11">
        <f>ROUND(S53-S71,2)</f>
        <v/>
      </c>
      <c r="T79" s="11">
        <f>ROUND(T53-T71,2)</f>
        <v/>
      </c>
    </row>
    <row r="80"/>
    <row r="81">
      <c r="A81" s="9" t="inlineStr">
        <is>
          <t>CASH FLOW STATEMENT</t>
        </is>
      </c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</row>
    <row r="82">
      <c r="A82" s="12" t="inlineStr">
        <is>
          <t xml:space="preserve">   Net Income (CF)</t>
        </is>
      </c>
      <c r="B82" s="13" t="n">
        <v>46.70261394673686</v>
      </c>
      <c r="C82" s="13" t="n">
        <v>39.54242022213787</v>
      </c>
      <c r="D82" s="13" t="n">
        <v>47.41727324095517</v>
      </c>
      <c r="E82" s="13" t="n">
        <v>48.39405670537119</v>
      </c>
      <c r="F82" s="13" t="n">
        <v>58.83451186173691</v>
      </c>
      <c r="G82" s="13" t="n">
        <v>47.75729280135315</v>
      </c>
      <c r="H82" s="13" t="n">
        <v>65.84633341452589</v>
      </c>
      <c r="I82" s="13" t="n">
        <v>83.75238168246624</v>
      </c>
      <c r="J82" s="13" t="n">
        <v>51.02642632023413</v>
      </c>
      <c r="K82" s="13" t="n">
        <v>56.19101433398823</v>
      </c>
      <c r="L82" s="13" t="n">
        <v>78.83631705649394</v>
      </c>
      <c r="M82" s="13" t="n">
        <v>64.18332865548847</v>
      </c>
      <c r="N82" s="13" t="n">
        <v>75.82930770781068</v>
      </c>
      <c r="O82" s="13" t="n">
        <v>76.00117214015729</v>
      </c>
      <c r="P82" s="13" t="n">
        <v>80.43255433821685</v>
      </c>
      <c r="Q82" s="13" t="n">
        <v>88.91326039192508</v>
      </c>
      <c r="R82" s="13" t="n">
        <v>95.42679873438537</v>
      </c>
      <c r="S82" s="13" t="n">
        <v>85.98538286820717</v>
      </c>
      <c r="T82" s="13" t="n">
        <v>125.1989114428328</v>
      </c>
    </row>
    <row r="83">
      <c r="A83" s="12" t="inlineStr">
        <is>
          <t xml:space="preserve">   D&amp;A (CF)</t>
        </is>
      </c>
      <c r="B83" s="13" t="n">
        <v>14.39333710033792</v>
      </c>
      <c r="C83" s="13" t="n">
        <v>10.06210611825015</v>
      </c>
      <c r="D83" s="13" t="n">
        <v>14.82732570288225</v>
      </c>
      <c r="E83" s="13" t="n">
        <v>10.9993236701835</v>
      </c>
      <c r="F83" s="13" t="n">
        <v>15.10923282932131</v>
      </c>
      <c r="G83" s="13" t="n">
        <v>10.77923828199862</v>
      </c>
      <c r="H83" s="13" t="n">
        <v>18.0840948741124</v>
      </c>
      <c r="I83" s="13" t="n">
        <v>19.44788241999958</v>
      </c>
      <c r="J83" s="13" t="n">
        <v>19.22903346657979</v>
      </c>
      <c r="K83" s="13" t="n">
        <v>19.43675450711383</v>
      </c>
      <c r="L83" s="13" t="n">
        <v>20.0636269330112</v>
      </c>
      <c r="M83" s="13" t="n">
        <v>20.7782862272295</v>
      </c>
      <c r="N83" s="13" t="n">
        <v>23.41683801591786</v>
      </c>
      <c r="O83" s="13" t="n">
        <v>21.9232248196969</v>
      </c>
      <c r="P83" s="13" t="n">
        <v>21.63513551943242</v>
      </c>
      <c r="Q83" s="13" t="n">
        <v>22.68610506975346</v>
      </c>
      <c r="R83" s="13" t="n">
        <v>21.76990690882654</v>
      </c>
      <c r="S83" s="13" t="n">
        <v>23.30679532182542</v>
      </c>
      <c r="T83" s="13" t="n">
        <v>23.52069853618488</v>
      </c>
    </row>
    <row r="84">
      <c r="A84" s="12" t="inlineStr">
        <is>
          <t xml:space="preserve">   Share-Based Comp</t>
        </is>
      </c>
      <c r="B84" s="13" t="n">
        <v>0</v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24.91910625549441</v>
      </c>
      <c r="J84" s="13" t="n">
        <v>0</v>
      </c>
      <c r="K84" s="13" t="n">
        <v>4.06168820329955</v>
      </c>
      <c r="L84" s="13" t="n">
        <v>0</v>
      </c>
      <c r="M84" s="13" t="n">
        <v>4.814676975235448</v>
      </c>
      <c r="N84" s="13" t="n">
        <v>0</v>
      </c>
      <c r="O84" s="13" t="n">
        <v>4.01346724746129</v>
      </c>
      <c r="P84" s="13" t="n">
        <v>0</v>
      </c>
      <c r="Q84" s="13" t="n">
        <v>4.06168820329955</v>
      </c>
      <c r="R84" s="13" t="n">
        <v>0</v>
      </c>
      <c r="S84" s="13" t="n">
        <v>4.922246799797719</v>
      </c>
      <c r="T84" s="13" t="n">
        <v>0</v>
      </c>
    </row>
    <row r="85">
      <c r="A85" s="12" t="inlineStr">
        <is>
          <t xml:space="preserve">   Other Operating Activities</t>
        </is>
      </c>
      <c r="B85" s="13" t="n">
        <v>1.766865279304431</v>
      </c>
      <c r="C85" s="13" t="n">
        <v>-0.8395392054917487</v>
      </c>
      <c r="D85" s="13" t="n">
        <v>-18.57495947585057</v>
      </c>
      <c r="E85" s="13" t="n">
        <v>-1.282182851391669</v>
      </c>
      <c r="F85" s="13" t="n">
        <v>-3.523839080488194</v>
      </c>
      <c r="G85" s="13" t="n">
        <v>11.92046757017076</v>
      </c>
      <c r="H85" s="13" t="n">
        <v>-18.42535086927546</v>
      </c>
      <c r="I85" s="13" t="n">
        <v>-39.06886570711086</v>
      </c>
      <c r="J85" s="13" t="n">
        <v>-7.961403452373151</v>
      </c>
      <c r="K85" s="13" t="n">
        <v>12.3618747813056</v>
      </c>
      <c r="L85" s="13" t="n">
        <v>-19.42933589852332</v>
      </c>
      <c r="M85" s="13" t="n">
        <v>19.24881642282112</v>
      </c>
      <c r="N85" s="13" t="n">
        <v>-42.03630914331144</v>
      </c>
      <c r="O85" s="13" t="n">
        <v>-20.08959206307795</v>
      </c>
      <c r="P85" s="13" t="n">
        <v>-13.18410390008618</v>
      </c>
      <c r="Q85" s="13" t="n">
        <v>-11.66576200856355</v>
      </c>
      <c r="R85" s="13" t="n">
        <v>-11.38138201259432</v>
      </c>
      <c r="S85" s="13" t="n">
        <v>20.80301492253118</v>
      </c>
      <c r="T85" s="13" t="n">
        <v>-33.14263387806528</v>
      </c>
    </row>
    <row r="86">
      <c r="A86" s="5" t="inlineStr">
        <is>
          <t>Operating Cash Flow</t>
        </is>
      </c>
      <c r="B86" s="11">
        <f>N(B82)+N(B83)+N(B84)+N(B85)</f>
        <v/>
      </c>
      <c r="C86" s="11">
        <f>N(C82)+N(C83)+N(C84)+N(C85)</f>
        <v/>
      </c>
      <c r="D86" s="11">
        <f>N(D82)+N(D83)+N(D84)+N(D85)</f>
        <v/>
      </c>
      <c r="E86" s="11">
        <f>N(E82)+N(E83)+N(E84)+N(E85)</f>
        <v/>
      </c>
      <c r="F86" s="11">
        <f>N(F82)+N(F83)+N(F84)+N(F85)</f>
        <v/>
      </c>
      <c r="G86" s="11">
        <f>N(G82)+N(G83)+N(G84)+N(G85)</f>
        <v/>
      </c>
      <c r="H86" s="11">
        <f>N(H82)+N(H83)+N(H84)+N(H85)</f>
        <v/>
      </c>
      <c r="I86" s="11">
        <f>N(I82)+N(I83)+N(I84)+N(I85)</f>
        <v/>
      </c>
      <c r="J86" s="11">
        <f>N(J82)+N(J83)+N(J84)+N(J85)</f>
        <v/>
      </c>
      <c r="K86" s="11">
        <f>N(K82)+N(K83)+N(K84)+N(K85)</f>
        <v/>
      </c>
      <c r="L86" s="11">
        <f>N(L82)+N(L83)+N(L84)+N(L85)</f>
        <v/>
      </c>
      <c r="M86" s="11">
        <f>N(M82)+N(M83)+N(M84)+N(M85)</f>
        <v/>
      </c>
      <c r="N86" s="11">
        <f>N(N82)+N(N83)+N(N84)+N(N85)</f>
        <v/>
      </c>
      <c r="O86" s="11">
        <f>N(O82)+N(O83)+N(O84)+N(O85)</f>
        <v/>
      </c>
      <c r="P86" s="11">
        <f>N(P82)+N(P83)+N(P84)+N(P85)</f>
        <v/>
      </c>
      <c r="Q86" s="11">
        <f>N(Q82)+N(Q83)+N(Q84)+N(Q85)</f>
        <v/>
      </c>
      <c r="R86" s="11">
        <f>N(R82)+N(R83)+N(R84)+N(R85)</f>
        <v/>
      </c>
      <c r="S86" s="11">
        <f>N(S82)+N(S83)+N(S84)+N(S85)</f>
        <v/>
      </c>
      <c r="T86" s="11">
        <f>N(T82)+N(T83)+N(T84)+N(T85)</f>
        <v/>
      </c>
    </row>
    <row r="87">
      <c r="A87" s="12" t="inlineStr">
        <is>
          <t xml:space="preserve">   Capital Expenditures</t>
        </is>
      </c>
      <c r="B87" s="13" t="n">
        <v>-6.781844686483419</v>
      </c>
      <c r="C87" s="13" t="n">
        <v>-7.519996241238314</v>
      </c>
      <c r="D87" s="13" t="n">
        <v>-11.31956027434014</v>
      </c>
      <c r="E87" s="13" t="n">
        <v>-14.87060091966018</v>
      </c>
      <c r="F87" s="13" t="n">
        <v>-6.764534599772248</v>
      </c>
      <c r="G87" s="13" t="n">
        <v>-13.21625120397835</v>
      </c>
      <c r="H87" s="13" t="n">
        <v>-18.84079295034354</v>
      </c>
      <c r="I87" s="13" t="n">
        <v>-28.76441837490433</v>
      </c>
      <c r="J87" s="13" t="n">
        <v>-14.93860483173977</v>
      </c>
      <c r="K87" s="13" t="n">
        <v>-20.87349170414094</v>
      </c>
      <c r="L87" s="13" t="n">
        <v>-15.44677952018912</v>
      </c>
      <c r="M87" s="13" t="n">
        <v>-42.325634878341</v>
      </c>
      <c r="N87" s="13" t="n">
        <v>-31.13713668909972</v>
      </c>
      <c r="O87" s="13" t="n">
        <v>-36.49213565667669</v>
      </c>
      <c r="P87" s="13" t="n">
        <v>-23.1126750637073</v>
      </c>
      <c r="Q87" s="13" t="n">
        <v>-35.0529255901194</v>
      </c>
      <c r="R87" s="13" t="n">
        <v>-17.83186218203534</v>
      </c>
      <c r="S87" s="13" t="n">
        <v>-54.73449418071978</v>
      </c>
      <c r="T87" s="13" t="n">
        <v>-44.4189189356275</v>
      </c>
    </row>
    <row r="88">
      <c r="A88" s="12" t="inlineStr">
        <is>
          <t xml:space="preserve">   Acquisitions</t>
        </is>
      </c>
      <c r="B88" s="13" t="n">
        <v>0</v>
      </c>
      <c r="C88" s="13" t="n">
        <v>0</v>
      </c>
      <c r="D88" s="13" t="n">
        <v>0</v>
      </c>
      <c r="E88" s="13" t="n">
        <v>-4.388106981281614</v>
      </c>
      <c r="F88" s="13" t="n">
        <v>0</v>
      </c>
      <c r="G88" s="13" t="n">
        <v>0</v>
      </c>
      <c r="H88" s="13" t="n">
        <v>0</v>
      </c>
      <c r="I88" s="13" t="n">
        <v>0.1879380842927036</v>
      </c>
      <c r="J88" s="13" t="n">
        <v>0.1755737366418679</v>
      </c>
      <c r="K88" s="13" t="n">
        <v>0.1545543456354471</v>
      </c>
      <c r="L88" s="13" t="n">
        <v>0.004945739060334311</v>
      </c>
      <c r="M88" s="13" t="n">
        <v>0.2052481710038737</v>
      </c>
      <c r="N88" s="13" t="n">
        <v>0.2559419963723004</v>
      </c>
      <c r="O88" s="13" t="n">
        <v>0.07294965113993103</v>
      </c>
      <c r="P88" s="13" t="n">
        <v>0.1619729542259485</v>
      </c>
      <c r="Q88" s="13" t="n">
        <v>0.3672211252298223</v>
      </c>
      <c r="R88" s="13" t="n">
        <v>0</v>
      </c>
      <c r="S88" s="13" t="n">
        <v>0</v>
      </c>
      <c r="T88" s="13" t="n">
        <v>0</v>
      </c>
    </row>
    <row r="89">
      <c r="A89" s="12" t="inlineStr">
        <is>
          <t xml:space="preserve">   Change in Investments</t>
        </is>
      </c>
      <c r="B89" s="13" t="n"/>
      <c r="C89" s="13" t="n"/>
      <c r="D89" s="13" t="n"/>
      <c r="E89" s="13" t="n"/>
      <c r="F89" s="13" t="n"/>
      <c r="G89" s="13" t="n"/>
      <c r="H89" s="13" t="n"/>
      <c r="I89" s="13" t="n">
        <v>-12.64996408157007</v>
      </c>
      <c r="J89" s="13" t="n">
        <v>-3.326009518074822</v>
      </c>
      <c r="K89" s="13" t="n">
        <v>-1.246326243204245</v>
      </c>
      <c r="L89" s="13" t="n">
        <v>-4.129692115379147</v>
      </c>
      <c r="M89" s="13" t="n">
        <v>-75.48557884311745</v>
      </c>
      <c r="N89" s="13" t="n">
        <v>-74.7659738098388</v>
      </c>
      <c r="O89" s="13" t="n">
        <v>-34.36917716502818</v>
      </c>
      <c r="P89" s="13" t="n">
        <v>-31.40791590265302</v>
      </c>
      <c r="Q89" s="13" t="n">
        <v>-0.1199341722131069</v>
      </c>
      <c r="R89" s="13" t="n">
        <v>-0.2769613873787212</v>
      </c>
      <c r="S89" s="13" t="n">
        <v>-49.34363860495538</v>
      </c>
      <c r="T89" s="13" t="n">
        <v>-49.45862703810815</v>
      </c>
    </row>
    <row r="90">
      <c r="A90" s="12" t="inlineStr">
        <is>
          <t xml:space="preserve">   Other Investing Activities</t>
        </is>
      </c>
      <c r="B90" s="13" t="n">
        <v>-0.8012097277741578</v>
      </c>
      <c r="C90" s="13" t="n">
        <v>-3.60544377498371</v>
      </c>
      <c r="D90" s="13" t="n">
        <v>-2.542109877011834</v>
      </c>
      <c r="E90" s="13" t="n">
        <v>-0.8333570316663308</v>
      </c>
      <c r="F90" s="13" t="n">
        <v>-2.272567098223614</v>
      </c>
      <c r="G90" s="13" t="n">
        <v>-2.075973970575325</v>
      </c>
      <c r="H90" s="13" t="n">
        <v>-14.54789144597336</v>
      </c>
      <c r="I90" s="13" t="n">
        <v>23.18562471484723</v>
      </c>
      <c r="J90" s="13" t="n">
        <v>3.212257519687133</v>
      </c>
      <c r="K90" s="13" t="n">
        <v>-3.298807953242983</v>
      </c>
      <c r="L90" s="13" t="n">
        <v>3.97884707403895</v>
      </c>
      <c r="M90" s="13" t="n">
        <v>0.2299768663055453</v>
      </c>
      <c r="N90" s="13" t="n">
        <v>149.0621024089459</v>
      </c>
      <c r="O90" s="13" t="n">
        <v>0.4290428634840011</v>
      </c>
      <c r="P90" s="13" t="n">
        <v>62.71938989362951</v>
      </c>
      <c r="Q90" s="13" t="n">
        <v>0.07171321637484745</v>
      </c>
      <c r="R90" s="13" t="n">
        <v>-2.407338487617724</v>
      </c>
      <c r="S90" s="13" t="n">
        <v>-2.450613704395649</v>
      </c>
      <c r="T90" s="13" t="n">
        <v>93.0750998111964</v>
      </c>
    </row>
    <row r="91">
      <c r="A91" s="5" t="inlineStr">
        <is>
          <t>Investing Cash Flow</t>
        </is>
      </c>
      <c r="B91" s="11">
        <f>N(B87)+N(B88)+N(B89)+N(B90)</f>
        <v/>
      </c>
      <c r="C91" s="11">
        <f>N(C87)+N(C88)+N(C89)+N(C90)</f>
        <v/>
      </c>
      <c r="D91" s="11">
        <f>N(D87)+N(D88)+N(D89)+N(D90)</f>
        <v/>
      </c>
      <c r="E91" s="11">
        <f>N(E87)+N(E88)+N(E89)+N(E90)</f>
        <v/>
      </c>
      <c r="F91" s="11">
        <f>N(F87)+N(F88)+N(F89)+N(F90)</f>
        <v/>
      </c>
      <c r="G91" s="11">
        <f>N(G87)+N(G88)+N(G89)+N(G90)</f>
        <v/>
      </c>
      <c r="H91" s="11">
        <f>N(H87)+N(H88)+N(H89)+N(H90)</f>
        <v/>
      </c>
      <c r="I91" s="11">
        <f>N(I87)+N(I88)+N(I89)+N(I90)</f>
        <v/>
      </c>
      <c r="J91" s="11">
        <f>N(J87)+N(J88)+N(J89)+N(J90)</f>
        <v/>
      </c>
      <c r="K91" s="11">
        <f>N(K87)+N(K88)+N(K89)+N(K90)</f>
        <v/>
      </c>
      <c r="L91" s="11">
        <f>N(L87)+N(L88)+N(L89)+N(L90)</f>
        <v/>
      </c>
      <c r="M91" s="11">
        <f>N(M87)+N(M88)+N(M89)+N(M90)</f>
        <v/>
      </c>
      <c r="N91" s="11">
        <f>N(N87)+N(N88)+N(N89)+N(N90)</f>
        <v/>
      </c>
      <c r="O91" s="11">
        <f>N(O87)+N(O88)+N(O89)+N(O90)</f>
        <v/>
      </c>
      <c r="P91" s="11">
        <f>N(P87)+N(P88)+N(P89)+N(P90)</f>
        <v/>
      </c>
      <c r="Q91" s="11">
        <f>N(Q87)+N(Q88)+N(Q89)+N(Q90)</f>
        <v/>
      </c>
      <c r="R91" s="11">
        <f>N(R87)+N(R88)+N(R89)+N(R90)</f>
        <v/>
      </c>
      <c r="S91" s="11">
        <f>N(S87)+N(S88)+N(S89)+N(S90)</f>
        <v/>
      </c>
      <c r="T91" s="11">
        <f>N(T87)+N(T88)+N(T89)+N(T90)</f>
        <v/>
      </c>
    </row>
    <row r="92">
      <c r="A92" s="12" t="inlineStr">
        <is>
          <t xml:space="preserve">   Dividends Paid</t>
        </is>
      </c>
      <c r="B92" s="13" t="n">
        <v>-49.3794952131428</v>
      </c>
      <c r="C92" s="13" t="n">
        <v>0</v>
      </c>
      <c r="D92" s="13" t="n">
        <v>-56.98975119223222</v>
      </c>
      <c r="E92" s="13" t="n">
        <v>0</v>
      </c>
      <c r="F92" s="13" t="n">
        <v>-64.61113508420739</v>
      </c>
      <c r="G92" s="13" t="n">
        <v>0</v>
      </c>
      <c r="H92" s="13" t="n">
        <v>-76.03331944404947</v>
      </c>
      <c r="I92" s="13" t="n">
        <v>-0.001236434765083577</v>
      </c>
      <c r="J92" s="13" t="n">
        <v>-114.0499791660742</v>
      </c>
      <c r="K92" s="13" t="n">
        <v>0</v>
      </c>
      <c r="L92" s="13" t="n">
        <v>-114.0524520356044</v>
      </c>
      <c r="M92" s="13" t="n">
        <v>0</v>
      </c>
      <c r="N92" s="13" t="n">
        <v>-129.2457624289514</v>
      </c>
      <c r="O92" s="13" t="n">
        <v>0</v>
      </c>
      <c r="P92" s="13" t="n">
        <v>-129.255653907072</v>
      </c>
      <c r="Q92" s="13" t="n">
        <v>0</v>
      </c>
      <c r="R92" s="13" t="n">
        <v>-129.2581267766022</v>
      </c>
      <c r="S92" s="13" t="n">
        <v>0</v>
      </c>
      <c r="T92" s="13" t="n">
        <v>-144.4761658652509</v>
      </c>
    </row>
    <row r="93">
      <c r="A93" s="12" t="inlineStr">
        <is>
          <t xml:space="preserve">   Share Issuance / Repurchase</t>
        </is>
      </c>
      <c r="B93" s="13" t="n">
        <v>0.05193026013351022</v>
      </c>
      <c r="C93" s="13" t="n">
        <v>0.1595000846957814</v>
      </c>
      <c r="D93" s="13" t="n"/>
      <c r="E93" s="13" t="n">
        <v>0.006182173825417883</v>
      </c>
      <c r="F93" s="13" t="n"/>
      <c r="G93" s="13" t="n"/>
      <c r="H93" s="13" t="n"/>
      <c r="I93" s="13" t="n"/>
      <c r="J93" s="13" t="n"/>
      <c r="K93" s="13" t="n">
        <v>4.541424892151977</v>
      </c>
      <c r="L93" s="13" t="n">
        <v>0.128589215568692</v>
      </c>
      <c r="M93" s="13" t="n">
        <v>6.273669998034069</v>
      </c>
      <c r="N93" s="13" t="n">
        <v>0.6837484250912179</v>
      </c>
      <c r="O93" s="13" t="n">
        <v>4.351013938329106</v>
      </c>
      <c r="P93" s="13" t="n"/>
      <c r="Q93" s="13" t="n">
        <v>4.428909328529372</v>
      </c>
      <c r="R93" s="13" t="n"/>
      <c r="S93" s="13" t="n">
        <v>4.938320451743806</v>
      </c>
      <c r="T93" s="13" t="n"/>
    </row>
    <row r="94">
      <c r="A94" s="12" t="inlineStr">
        <is>
          <t xml:space="preserve">   Debt Issued / Paid</t>
        </is>
      </c>
      <c r="B94" s="13" t="n">
        <v>0</v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-2.200853881848766</v>
      </c>
      <c r="I94" s="13" t="n">
        <v>0</v>
      </c>
      <c r="J94" s="13" t="n">
        <v>-2.28493144587445</v>
      </c>
      <c r="K94" s="13" t="n">
        <v>0</v>
      </c>
      <c r="L94" s="13" t="n">
        <v>-2.534691268421332</v>
      </c>
      <c r="M94" s="13" t="n">
        <v>0</v>
      </c>
      <c r="N94" s="13" t="n">
        <v>-2.438249356744813</v>
      </c>
      <c r="O94" s="13" t="n">
        <v>0</v>
      </c>
      <c r="P94" s="13" t="n">
        <v>11.65834339997305</v>
      </c>
      <c r="Q94" s="13" t="n">
        <v>-6.760825295476997</v>
      </c>
      <c r="R94" s="13" t="n">
        <v>-0.7628802500565669</v>
      </c>
      <c r="S94" s="13" t="n">
        <v>5.539227747574423</v>
      </c>
      <c r="T94" s="13" t="n">
        <v>3.156617955258371</v>
      </c>
    </row>
    <row r="95">
      <c r="A95" s="12" t="inlineStr">
        <is>
          <t xml:space="preserve">   Other Financing Activities</t>
        </is>
      </c>
      <c r="B95" s="13" t="n"/>
      <c r="C95" s="13" t="n">
        <v>0.2547055616072168</v>
      </c>
      <c r="D95" s="13" t="n">
        <v>1.026240855019369</v>
      </c>
      <c r="E95" s="13" t="n">
        <v>-0.05193026013351022</v>
      </c>
      <c r="F95" s="13" t="n">
        <v>-0.03832947771759088</v>
      </c>
      <c r="G95" s="13" t="n">
        <v>0.9322718128730169</v>
      </c>
      <c r="H95" s="13" t="n">
        <v>-0.4253335591887504</v>
      </c>
      <c r="I95" s="13" t="n">
        <v>-2.220636838090104</v>
      </c>
      <c r="J95" s="13" t="n">
        <v>-0.001236434765083577</v>
      </c>
      <c r="K95" s="13" t="n">
        <v>-9.012373002694192</v>
      </c>
      <c r="L95" s="13" t="n">
        <v>-0.257178431137384</v>
      </c>
      <c r="M95" s="13" t="n">
        <v>-13.94698415014275</v>
      </c>
      <c r="N95" s="13" t="n">
        <v>-1.366260415417352</v>
      </c>
      <c r="O95" s="13" t="n">
        <v>-10.19564107287917</v>
      </c>
      <c r="P95" s="13" t="n">
        <v>-2.325733793122208</v>
      </c>
      <c r="Q95" s="13" t="n">
        <v>-10.59500950200117</v>
      </c>
      <c r="R95" s="13" t="n">
        <v>-1.021295115959034</v>
      </c>
      <c r="S95" s="13" t="n">
        <v>-12.74516955848151</v>
      </c>
      <c r="T95" s="13" t="n">
        <v>-0.4871552974429292</v>
      </c>
    </row>
    <row r="96">
      <c r="A96" s="5" t="inlineStr">
        <is>
          <t>Financing Cash Flow</t>
        </is>
      </c>
      <c r="B96" s="11">
        <f>N(B92)+N(B93)+N(B94)+N(B95)</f>
        <v/>
      </c>
      <c r="C96" s="11">
        <f>N(C92)+N(C93)+N(C94)+N(C95)</f>
        <v/>
      </c>
      <c r="D96" s="11">
        <f>N(D92)+N(D93)+N(D94)+N(D95)</f>
        <v/>
      </c>
      <c r="E96" s="11">
        <f>N(E92)+N(E93)+N(E94)+N(E95)</f>
        <v/>
      </c>
      <c r="F96" s="11">
        <f>N(F92)+N(F93)+N(F94)+N(F95)</f>
        <v/>
      </c>
      <c r="G96" s="11">
        <f>N(G92)+N(G93)+N(G94)+N(G95)</f>
        <v/>
      </c>
      <c r="H96" s="11">
        <f>N(H92)+N(H93)+N(H94)+N(H95)</f>
        <v/>
      </c>
      <c r="I96" s="11">
        <f>N(I92)+N(I93)+N(I94)+N(I95)</f>
        <v/>
      </c>
      <c r="J96" s="11">
        <f>N(J92)+N(J93)+N(J94)+N(J95)</f>
        <v/>
      </c>
      <c r="K96" s="11">
        <f>N(K92)+N(K93)+N(K94)+N(K95)</f>
        <v/>
      </c>
      <c r="L96" s="11">
        <f>N(L92)+N(L93)+N(L94)+N(L95)</f>
        <v/>
      </c>
      <c r="M96" s="11">
        <f>N(M92)+N(M93)+N(M94)+N(M95)</f>
        <v/>
      </c>
      <c r="N96" s="11">
        <f>N(N92)+N(N93)+N(N94)+N(N95)</f>
        <v/>
      </c>
      <c r="O96" s="11">
        <f>N(O92)+N(O93)+N(O94)+N(O95)</f>
        <v/>
      </c>
      <c r="P96" s="11">
        <f>N(P92)+N(P93)+N(P94)+N(P95)</f>
        <v/>
      </c>
      <c r="Q96" s="11">
        <f>N(Q92)+N(Q93)+N(Q94)+N(Q95)</f>
        <v/>
      </c>
      <c r="R96" s="11">
        <f>N(R92)+N(R93)+N(R94)+N(R95)</f>
        <v/>
      </c>
      <c r="S96" s="11">
        <f>N(S92)+N(S93)+N(S94)+N(S95)</f>
        <v/>
      </c>
      <c r="T96" s="11">
        <f>N(T92)+N(T93)+N(T94)+N(T95)</f>
        <v/>
      </c>
    </row>
    <row r="97">
      <c r="A97" s="12" t="inlineStr">
        <is>
          <t xml:space="preserve">   FX / Other (reconciling)</t>
        </is>
      </c>
      <c r="B97" s="13" t="n">
        <v>-0.2411047791912999</v>
      </c>
      <c r="C97" s="13" t="n">
        <v>0.7257872071040623</v>
      </c>
      <c r="D97" s="13" t="n">
        <v>-1.188213809245315</v>
      </c>
      <c r="E97" s="13" t="n">
        <v>1.126392070991145</v>
      </c>
      <c r="F97" s="13" t="n">
        <v>-0.3202366041566487</v>
      </c>
      <c r="G97" s="13" t="n">
        <v>-0.6293452954275409</v>
      </c>
      <c r="H97" s="13" t="n">
        <v>-0.1854652147625444</v>
      </c>
      <c r="I97" s="13" t="n">
        <v>-0.5131204275096763</v>
      </c>
      <c r="J97" s="13" t="n">
        <v>-1.608601629373723</v>
      </c>
      <c r="K97" s="13" t="n">
        <v>-1.211706069781911</v>
      </c>
      <c r="L97" s="13" t="n">
        <v>2.17241588225184</v>
      </c>
      <c r="M97" s="13" t="n">
        <v>-1.974586319838473</v>
      </c>
      <c r="N97" s="13" t="n">
        <v>0.2349226053658882</v>
      </c>
      <c r="O97" s="13" t="n">
        <v>-2.115539883057995</v>
      </c>
      <c r="P97" s="13" t="n">
        <v>-0.8420120750219198</v>
      </c>
      <c r="Q97" s="13" t="n">
        <v>-3.073776825997761</v>
      </c>
      <c r="R97" s="13" t="n">
        <v>140.2104659257125</v>
      </c>
      <c r="S97" s="13" t="n">
        <v>-0.5489770356971277</v>
      </c>
      <c r="T97" s="13" t="n">
        <v>-3.178873781029875</v>
      </c>
    </row>
    <row r="98">
      <c r="A98" s="5" t="inlineStr">
        <is>
          <t>Net Cash Flow</t>
        </is>
      </c>
      <c r="B98" s="11">
        <f>N(B86)+N(B91)+N(B96)+N(B97)</f>
        <v/>
      </c>
      <c r="C98" s="11">
        <f>N(C86)+N(C91)+N(C96)+N(C97)</f>
        <v/>
      </c>
      <c r="D98" s="11">
        <f>N(D86)+N(D91)+N(D96)+N(D97)</f>
        <v/>
      </c>
      <c r="E98" s="11">
        <f>N(E86)+N(E91)+N(E96)+N(E97)</f>
        <v/>
      </c>
      <c r="F98" s="11">
        <f>N(F86)+N(F91)+N(F96)+N(F97)</f>
        <v/>
      </c>
      <c r="G98" s="11">
        <f>N(G86)+N(G91)+N(G96)+N(G97)</f>
        <v/>
      </c>
      <c r="H98" s="11">
        <f>N(H86)+N(H91)+N(H96)+N(H97)</f>
        <v/>
      </c>
      <c r="I98" s="11">
        <f>N(I86)+N(I91)+N(I96)+N(I97)</f>
        <v/>
      </c>
      <c r="J98" s="11">
        <f>N(J86)+N(J91)+N(J96)+N(J97)</f>
        <v/>
      </c>
      <c r="K98" s="11">
        <f>N(K86)+N(K91)+N(K96)+N(K97)</f>
        <v/>
      </c>
      <c r="L98" s="11">
        <f>N(L86)+N(L91)+N(L96)+N(L97)</f>
        <v/>
      </c>
      <c r="M98" s="11">
        <f>N(M86)+N(M91)+N(M96)+N(M97)</f>
        <v/>
      </c>
      <c r="N98" s="11">
        <f>N(N86)+N(N91)+N(N96)+N(N97)</f>
        <v/>
      </c>
      <c r="O98" s="11">
        <f>N(O86)+N(O91)+N(O96)+N(O97)</f>
        <v/>
      </c>
      <c r="P98" s="11">
        <f>N(P86)+N(P91)+N(P96)+N(P97)</f>
        <v/>
      </c>
      <c r="Q98" s="11">
        <f>N(Q86)+N(Q91)+N(Q96)+N(Q97)</f>
        <v/>
      </c>
      <c r="R98" s="11">
        <f>N(R86)+N(R91)+N(R96)+N(R97)</f>
        <v/>
      </c>
      <c r="S98" s="11">
        <f>N(S86)+N(S91)+N(S96)+N(S97)</f>
        <v/>
      </c>
      <c r="T98" s="11">
        <f>N(T86)+N(T91)+N(T96)+N(T97)</f>
        <v/>
      </c>
    </row>
    <row r="99">
      <c r="A99" s="5" t="inlineStr">
        <is>
          <t>Free Cash Flow</t>
        </is>
      </c>
      <c r="B99" s="11">
        <f>N(B86)+N(B87)</f>
        <v/>
      </c>
      <c r="C99" s="11">
        <f>N(C86)+N(C87)</f>
        <v/>
      </c>
      <c r="D99" s="11">
        <f>N(D86)+N(D87)</f>
        <v/>
      </c>
      <c r="E99" s="11">
        <f>N(E86)+N(E87)</f>
        <v/>
      </c>
      <c r="F99" s="11">
        <f>N(F86)+N(F87)</f>
        <v/>
      </c>
      <c r="G99" s="11">
        <f>N(G86)+N(G87)</f>
        <v/>
      </c>
      <c r="H99" s="11">
        <f>N(H86)+N(H87)</f>
        <v/>
      </c>
      <c r="I99" s="11">
        <f>N(I86)+N(I87)</f>
        <v/>
      </c>
      <c r="J99" s="11">
        <f>N(J86)+N(J87)</f>
        <v/>
      </c>
      <c r="K99" s="11">
        <f>N(K86)+N(K87)</f>
        <v/>
      </c>
      <c r="L99" s="11">
        <f>N(L86)+N(L87)</f>
        <v/>
      </c>
      <c r="M99" s="11">
        <f>N(M86)+N(M87)</f>
        <v/>
      </c>
      <c r="N99" s="11">
        <f>N(N86)+N(N87)</f>
        <v/>
      </c>
      <c r="O99" s="11">
        <f>N(O86)+N(O87)</f>
        <v/>
      </c>
      <c r="P99" s="11">
        <f>N(P86)+N(P87)</f>
        <v/>
      </c>
      <c r="Q99" s="11">
        <f>N(Q86)+N(Q87)</f>
        <v/>
      </c>
      <c r="R99" s="11">
        <f>N(R86)+N(R87)</f>
        <v/>
      </c>
      <c r="S99" s="11">
        <f>N(S86)+N(S87)</f>
        <v/>
      </c>
      <c r="T99" s="11">
        <f>N(T86)+N(T87)</f>
        <v/>
      </c>
    </row>
    <row r="100">
      <c r="A100" s="5" t="inlineStr">
        <is>
          <t>FCFE (OCF - ICF - SBC)</t>
        </is>
      </c>
      <c r="B100" s="11">
        <f>N(B86)-N(B91)-N(B84)</f>
        <v/>
      </c>
      <c r="C100" s="11">
        <f>N(C86)-N(C91)-N(C84)</f>
        <v/>
      </c>
      <c r="D100" s="11">
        <f>N(D86)-N(D91)-N(D84)</f>
        <v/>
      </c>
      <c r="E100" s="11">
        <f>N(E86)-N(E91)-N(E84)</f>
        <v/>
      </c>
      <c r="F100" s="11">
        <f>N(F86)-N(F91)-N(F84)</f>
        <v/>
      </c>
      <c r="G100" s="11">
        <f>N(G86)-N(G91)-N(G84)</f>
        <v/>
      </c>
      <c r="H100" s="11">
        <f>N(H86)-N(H91)-N(H84)</f>
        <v/>
      </c>
      <c r="I100" s="11">
        <f>N(I86)-N(I91)-N(I84)</f>
        <v/>
      </c>
      <c r="J100" s="11">
        <f>N(J86)-N(J91)-N(J84)</f>
        <v/>
      </c>
      <c r="K100" s="11">
        <f>N(K86)-N(K91)-N(K84)</f>
        <v/>
      </c>
      <c r="L100" s="11">
        <f>N(L86)-N(L91)-N(L84)</f>
        <v/>
      </c>
      <c r="M100" s="11">
        <f>N(M86)-N(M91)-N(M84)</f>
        <v/>
      </c>
      <c r="N100" s="11">
        <f>N(N86)-N(N91)-N(N84)</f>
        <v/>
      </c>
      <c r="O100" s="11">
        <f>N(O86)-N(O91)-N(O84)</f>
        <v/>
      </c>
      <c r="P100" s="11">
        <f>N(P86)-N(P91)-N(P84)</f>
        <v/>
      </c>
      <c r="Q100" s="11">
        <f>N(Q86)-N(Q91)-N(Q84)</f>
        <v/>
      </c>
      <c r="R100" s="11">
        <f>N(R86)-N(R91)-N(R84)</f>
        <v/>
      </c>
      <c r="S100" s="11">
        <f>N(S86)-N(S91)-N(S84)</f>
        <v/>
      </c>
      <c r="T100" s="11">
        <f>N(T86)-N(T91)-N(T84)</f>
        <v/>
      </c>
    </row>
    <row r="101"/>
    <row r="102">
      <c r="A102" s="9" t="inlineStr">
        <is>
          <t>SEGMENT REVENUE KPIs (CHF mm, as reported)</t>
        </is>
      </c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</row>
    <row r="103">
      <c r="A103" s="12" t="inlineStr">
        <is>
          <t>Actuator Solutions</t>
        </is>
      </c>
      <c r="B103" s="13" t="n">
        <v>379.89</v>
      </c>
      <c r="C103" s="13" t="n">
        <v>406.09</v>
      </c>
      <c r="D103" s="13" t="n">
        <v>436.95</v>
      </c>
      <c r="E103" s="13" t="n">
        <v>462.34</v>
      </c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R103" s="13" t="n"/>
      <c r="S103" s="13" t="n"/>
      <c r="T103" s="13" t="n"/>
    </row>
    <row r="104">
      <c r="A104" s="12" t="inlineStr">
        <is>
          <t>Asia Pacific</t>
        </is>
      </c>
      <c r="B104" s="13" t="n"/>
      <c r="C104" s="13" t="n"/>
      <c r="D104" s="13" t="n"/>
      <c r="E104" s="13" t="n"/>
      <c r="F104" s="13" t="n"/>
      <c r="G104" s="13" t="n">
        <v>36.25</v>
      </c>
      <c r="H104" s="13" t="n">
        <v>37.94</v>
      </c>
      <c r="I104" s="13" t="n">
        <v>41.08</v>
      </c>
      <c r="J104" s="13" t="n">
        <v>45.54</v>
      </c>
      <c r="K104" s="13" t="n">
        <v>49.82</v>
      </c>
      <c r="L104" s="13" t="n">
        <v>51.78</v>
      </c>
      <c r="M104" s="13" t="n">
        <v>50.68</v>
      </c>
      <c r="N104" s="13" t="n">
        <v>51.04</v>
      </c>
      <c r="O104" s="13" t="n">
        <v>54.75</v>
      </c>
      <c r="P104" s="13" t="n">
        <v>59.05</v>
      </c>
      <c r="Q104" s="13" t="n">
        <v>61.94</v>
      </c>
      <c r="R104" s="13" t="n">
        <v>60.79</v>
      </c>
      <c r="S104" s="13" t="n">
        <v>65.09</v>
      </c>
      <c r="T104" s="13" t="n">
        <v>60.79</v>
      </c>
    </row>
    <row r="105">
      <c r="A105" s="12" t="inlineStr">
        <is>
          <t>Americas</t>
        </is>
      </c>
      <c r="B105" s="13" t="n"/>
      <c r="C105" s="13" t="n"/>
      <c r="D105" s="13" t="n"/>
      <c r="E105" s="13" t="n"/>
      <c r="F105" s="13" t="n"/>
      <c r="G105" s="13" t="n">
        <v>168.89</v>
      </c>
      <c r="H105" s="13" t="n">
        <v>173.09</v>
      </c>
      <c r="I105" s="13" t="n">
        <v>171.32</v>
      </c>
      <c r="J105" s="13" t="n">
        <v>174.76</v>
      </c>
      <c r="K105" s="13" t="n">
        <v>186.06</v>
      </c>
      <c r="L105" s="13" t="n">
        <v>190.37</v>
      </c>
      <c r="M105" s="13" t="n">
        <v>179.75</v>
      </c>
      <c r="N105" s="13" t="n">
        <v>181.24</v>
      </c>
      <c r="O105" s="13" t="n">
        <v>199.41</v>
      </c>
      <c r="P105" s="13" t="n">
        <v>205.05</v>
      </c>
      <c r="Q105" s="13" t="n">
        <v>202.11</v>
      </c>
      <c r="R105" s="13" t="n">
        <v>201.33</v>
      </c>
      <c r="S105" s="13" t="n">
        <v>211.32</v>
      </c>
      <c r="T105" s="13" t="n">
        <v>201.33</v>
      </c>
    </row>
    <row r="106">
      <c r="A106" s="12" t="inlineStr">
        <is>
          <t>EMEA</t>
        </is>
      </c>
      <c r="B106" s="13" t="n"/>
      <c r="C106" s="13" t="n"/>
      <c r="D106" s="13" t="n"/>
      <c r="E106" s="13" t="n"/>
      <c r="F106" s="13" t="n"/>
      <c r="G106" s="13" t="n">
        <v>294.07</v>
      </c>
      <c r="H106" s="13" t="n">
        <v>275.8</v>
      </c>
      <c r="I106" s="13" t="n">
        <v>264.72</v>
      </c>
      <c r="J106" s="13" t="n">
        <v>280.65</v>
      </c>
      <c r="K106" s="13" t="n">
        <v>291.34</v>
      </c>
      <c r="L106" s="13" t="n">
        <v>293.33</v>
      </c>
      <c r="M106" s="13" t="n">
        <v>283.9</v>
      </c>
      <c r="N106" s="13" t="n">
        <v>283.96</v>
      </c>
      <c r="O106" s="13" t="n">
        <v>295.59</v>
      </c>
      <c r="P106" s="13" t="n">
        <v>309.44</v>
      </c>
      <c r="Q106" s="13" t="n">
        <v>320.61</v>
      </c>
      <c r="R106" s="13" t="n">
        <v>331.54</v>
      </c>
      <c r="S106" s="13" t="n">
        <v>334.28</v>
      </c>
      <c r="T106" s="13" t="n">
        <v>331.54</v>
      </c>
    </row>
    <row r="107">
      <c r="A107" s="12" t="inlineStr">
        <is>
          <t>Shared Services</t>
        </is>
      </c>
      <c r="B107" s="13" t="n"/>
      <c r="C107" s="13" t="n"/>
      <c r="D107" s="13" t="n"/>
      <c r="E107" s="13" t="n"/>
      <c r="F107" s="13" t="n"/>
      <c r="G107" s="13" t="n"/>
      <c r="H107" s="13" t="n"/>
      <c r="I107" s="13" t="n">
        <v>0.63676</v>
      </c>
      <c r="J107" s="13" t="n"/>
      <c r="K107" s="13" t="n">
        <v>1.5</v>
      </c>
      <c r="L107" s="13" t="n">
        <v>1.96</v>
      </c>
      <c r="M107" s="13" t="n">
        <v>2.59</v>
      </c>
      <c r="N107" s="13" t="n">
        <v>2.28</v>
      </c>
      <c r="O107" s="13" t="n">
        <v>1.54</v>
      </c>
      <c r="P107" s="13" t="n">
        <v>1.06</v>
      </c>
      <c r="Q107" s="13" t="n">
        <v>1.13</v>
      </c>
      <c r="R107" s="13" t="n">
        <v>1.22</v>
      </c>
      <c r="S107" s="13" t="n">
        <v>0.5564</v>
      </c>
      <c r="T107" s="13" t="n">
        <v>1.22</v>
      </c>
    </row>
    <row r="108">
      <c r="A108" s="12" t="inlineStr">
        <is>
          <t>Segment Adjustment</t>
        </is>
      </c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3" t="n">
        <v>1.33</v>
      </c>
      <c r="K108" s="13" t="n"/>
      <c r="L108" s="13" t="n">
        <v>0.30911</v>
      </c>
      <c r="M108" s="13" t="n"/>
      <c r="N108" s="13" t="n"/>
      <c r="O108" s="13" t="n"/>
      <c r="P108" s="13" t="n"/>
      <c r="Q108" s="13" t="n"/>
      <c r="R108" s="13" t="n">
        <v>0.38824</v>
      </c>
      <c r="S108" s="13" t="n"/>
      <c r="T108" s="13" t="n">
        <v>0.38824</v>
      </c>
    </row>
    <row r="109">
      <c r="A109" s="12" t="inlineStr">
        <is>
          <t>Corporate</t>
        </is>
      </c>
      <c r="B109" s="13" t="n"/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>
        <v>0.30911</v>
      </c>
      <c r="L109" s="13" t="n"/>
      <c r="M109" s="13" t="n"/>
      <c r="N109" s="13" t="n"/>
      <c r="O109" s="13" t="n"/>
      <c r="P109" s="13" t="n">
        <v>0.35733</v>
      </c>
      <c r="Q109" s="13" t="n"/>
      <c r="R109" s="13" t="n"/>
      <c r="S109" s="13" t="n"/>
      <c r="T109" s="13" t="n"/>
    </row>
    <row r="110">
      <c r="A110" s="5" t="inlineStr">
        <is>
          <t>Sum of Segments</t>
        </is>
      </c>
      <c r="B110" s="11">
        <f>N(B103)+N(B104)+N(B105)+N(B106)+N(B107)+N(B108)+N(B109)</f>
        <v/>
      </c>
      <c r="C110" s="11">
        <f>N(C103)+N(C104)+N(C105)+N(C106)+N(C107)+N(C108)+N(C109)</f>
        <v/>
      </c>
      <c r="D110" s="11">
        <f>N(D103)+N(D104)+N(D105)+N(D106)+N(D107)+N(D108)+N(D109)</f>
        <v/>
      </c>
      <c r="E110" s="11">
        <f>N(E103)+N(E104)+N(E105)+N(E106)+N(E107)+N(E108)+N(E109)</f>
        <v/>
      </c>
      <c r="F110" s="11">
        <f>N(F103)+N(F104)+N(F105)+N(F106)+N(F107)+N(F108)+N(F109)</f>
        <v/>
      </c>
      <c r="G110" s="11">
        <f>N(G103)+N(G104)+N(G105)+N(G106)+N(G107)+N(G108)+N(G109)</f>
        <v/>
      </c>
      <c r="H110" s="11">
        <f>N(H103)+N(H104)+N(H105)+N(H106)+N(H107)+N(H108)+N(H109)</f>
        <v/>
      </c>
      <c r="I110" s="11">
        <f>N(I103)+N(I104)+N(I105)+N(I106)+N(I107)+N(I108)+N(I109)</f>
        <v/>
      </c>
      <c r="J110" s="11">
        <f>N(J103)+N(J104)+N(J105)+N(J106)+N(J107)+N(J108)+N(J109)</f>
        <v/>
      </c>
      <c r="K110" s="11">
        <f>N(K103)+N(K104)+N(K105)+N(K106)+N(K107)+N(K108)+N(K109)</f>
        <v/>
      </c>
      <c r="L110" s="11">
        <f>N(L103)+N(L104)+N(L105)+N(L106)+N(L107)+N(L108)+N(L109)</f>
        <v/>
      </c>
      <c r="M110" s="11">
        <f>N(M103)+N(M104)+N(M105)+N(M106)+N(M107)+N(M108)+N(M109)</f>
        <v/>
      </c>
      <c r="N110" s="11">
        <f>N(N103)+N(N104)+N(N105)+N(N106)+N(N107)+N(N108)+N(N109)</f>
        <v/>
      </c>
      <c r="O110" s="11">
        <f>N(O103)+N(O104)+N(O105)+N(O106)+N(O107)+N(O108)+N(O109)</f>
        <v/>
      </c>
      <c r="P110" s="11">
        <f>N(P103)+N(P104)+N(P105)+N(P106)+N(P107)+N(P108)+N(P109)</f>
        <v/>
      </c>
      <c r="Q110" s="11">
        <f>N(Q103)+N(Q104)+N(Q105)+N(Q106)+N(Q107)+N(Q108)+N(Q109)</f>
        <v/>
      </c>
      <c r="R110" s="11">
        <f>N(R103)+N(R104)+N(R105)+N(R106)+N(R107)+N(R108)+N(R109)</f>
        <v/>
      </c>
      <c r="S110" s="11">
        <f>N(S103)+N(S104)+N(S105)+N(S106)+N(S107)+N(S108)+N(S109)</f>
        <v/>
      </c>
      <c r="T110" s="11">
        <f>N(T103)+N(T104)+N(T105)+N(T106)+N(T107)+N(T108)+N(T109)</f>
        <v/>
      </c>
    </row>
    <row r="111">
      <c r="A111" s="5" t="inlineStr">
        <is>
          <t>Reported Total (source)</t>
        </is>
      </c>
      <c r="B111" s="11" t="n">
        <v>379.89</v>
      </c>
      <c r="C111" s="11" t="n">
        <v>406.09</v>
      </c>
      <c r="D111" s="11" t="n">
        <v>436.95</v>
      </c>
      <c r="E111" s="11" t="n">
        <v>462.34</v>
      </c>
      <c r="F111" s="11" t="n"/>
      <c r="G111" s="11" t="n">
        <v>499.22</v>
      </c>
      <c r="H111" s="11" t="n">
        <v>486.83</v>
      </c>
      <c r="I111" s="11" t="n">
        <v>477.76</v>
      </c>
      <c r="J111" s="11" t="n">
        <v>502.28</v>
      </c>
      <c r="K111" s="11" t="n">
        <v>529.03</v>
      </c>
      <c r="L111" s="11" t="n">
        <v>537.75</v>
      </c>
      <c r="M111" s="11" t="n">
        <v>516.9299999999999</v>
      </c>
      <c r="N111" s="11" t="n">
        <v>518.51</v>
      </c>
      <c r="O111" s="11" t="n">
        <v>551.29</v>
      </c>
      <c r="P111" s="11" t="n">
        <v>574.59</v>
      </c>
      <c r="Q111" s="11" t="n">
        <v>586.15</v>
      </c>
      <c r="R111" s="11" t="n">
        <v>595.28</v>
      </c>
      <c r="S111" s="11" t="n">
        <v>611.26</v>
      </c>
      <c r="T111" s="11" t="n">
        <v>595.28</v>
      </c>
    </row>
    <row r="112">
      <c r="A112" s="12" t="inlineStr">
        <is>
          <t xml:space="preserve">  Segment Tie-out Check</t>
        </is>
      </c>
      <c r="B112" s="13">
        <f>IF(B111="","",ROUND(B110-B111,2))</f>
        <v/>
      </c>
      <c r="C112" s="13">
        <f>IF(C111="","",ROUND(C110-C111,2))</f>
        <v/>
      </c>
      <c r="D112" s="13">
        <f>IF(D111="","",ROUND(D110-D111,2))</f>
        <v/>
      </c>
      <c r="E112" s="13">
        <f>IF(E111="","",ROUND(E110-E111,2))</f>
        <v/>
      </c>
      <c r="F112" s="13">
        <f>IF(F111="","",ROUND(F110-F111,2))</f>
        <v/>
      </c>
      <c r="G112" s="13">
        <f>IF(G111="","",ROUND(G110-G111,2))</f>
        <v/>
      </c>
      <c r="H112" s="13">
        <f>IF(H111="","",ROUND(H110-H111,2))</f>
        <v/>
      </c>
      <c r="I112" s="13">
        <f>IF(I111="","",ROUND(I110-I111,2))</f>
        <v/>
      </c>
      <c r="J112" s="13">
        <f>IF(J111="","",ROUND(J110-J111,2))</f>
        <v/>
      </c>
      <c r="K112" s="13">
        <f>IF(K111="","",ROUND(K110-K111,2))</f>
        <v/>
      </c>
      <c r="L112" s="13">
        <f>IF(L111="","",ROUND(L110-L111,2))</f>
        <v/>
      </c>
      <c r="M112" s="13">
        <f>IF(M111="","",ROUND(M110-M111,2))</f>
        <v/>
      </c>
      <c r="N112" s="13">
        <f>IF(N111="","",ROUND(N110-N111,2))</f>
        <v/>
      </c>
      <c r="O112" s="13">
        <f>IF(O111="","",ROUND(O110-O111,2))</f>
        <v/>
      </c>
      <c r="P112" s="13">
        <f>IF(P111="","",ROUND(P110-P111,2))</f>
        <v/>
      </c>
      <c r="Q112" s="13">
        <f>IF(Q111="","",ROUND(Q110-Q111,2))</f>
        <v/>
      </c>
      <c r="R112" s="13">
        <f>IF(R111="","",ROUND(R110-R111,2))</f>
        <v/>
      </c>
      <c r="S112" s="13">
        <f>IF(S111="","",ROUND(S110-S111,2))</f>
        <v/>
      </c>
      <c r="T112" s="13">
        <f>IF(T111="","",ROUND(T110-T111,2))</f>
        <v/>
      </c>
    </row>
    <row r="113">
      <c r="A113" s="15" t="inlineStr">
        <is>
          <t xml:space="preserve">  Total Revenue Growth YoY</t>
        </is>
      </c>
      <c r="B113" s="16" t="n"/>
      <c r="C113" s="16" t="n"/>
      <c r="D113" s="16">
        <f>IF(N(B111)=0,"",D111/B111-1)</f>
        <v/>
      </c>
      <c r="E113" s="16">
        <f>IF(N(C111)=0,"",E111/C111-1)</f>
        <v/>
      </c>
      <c r="F113" s="16">
        <f>IF(N(D111)=0,"",F111/D111-1)</f>
        <v/>
      </c>
      <c r="G113" s="16">
        <f>IF(N(E111)=0,"",G111/E111-1)</f>
        <v/>
      </c>
      <c r="H113" s="16">
        <f>IF(N(F111)=0,"",H111/F111-1)</f>
        <v/>
      </c>
      <c r="I113" s="16">
        <f>IF(N(G111)=0,"",I111/G111-1)</f>
        <v/>
      </c>
      <c r="J113" s="16">
        <f>IF(N(H111)=0,"",J111/H111-1)</f>
        <v/>
      </c>
      <c r="K113" s="16">
        <f>IF(N(I111)=0,"",K111/I111-1)</f>
        <v/>
      </c>
      <c r="L113" s="16">
        <f>IF(N(J111)=0,"",L111/J111-1)</f>
        <v/>
      </c>
      <c r="M113" s="16">
        <f>IF(N(K111)=0,"",M111/K111-1)</f>
        <v/>
      </c>
      <c r="N113" s="16">
        <f>IF(N(L111)=0,"",N111/L111-1)</f>
        <v/>
      </c>
      <c r="O113" s="16">
        <f>IF(N(M111)=0,"",O111/M111-1)</f>
        <v/>
      </c>
      <c r="P113" s="16">
        <f>IF(N(N111)=0,"",P111/N111-1)</f>
        <v/>
      </c>
      <c r="Q113" s="16">
        <f>IF(N(O111)=0,"",Q111/O111-1)</f>
        <v/>
      </c>
      <c r="R113" s="16">
        <f>IF(N(P111)=0,"",R111/P111-1)</f>
        <v/>
      </c>
      <c r="S113" s="16">
        <f>IF(N(Q111)=0,"",S111/Q111-1)</f>
        <v/>
      </c>
      <c r="T113" s="16">
        <f>IF(N(R111)=0,"",T111/R111-1)</f>
        <v/>
      </c>
    </row>
  </sheetData>
  <mergeCells count="5">
    <mergeCell ref="A5:T5"/>
    <mergeCell ref="A8:T8"/>
    <mergeCell ref="A6:T6"/>
    <mergeCell ref="A9:T9"/>
    <mergeCell ref="A7:T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2026-07-01T12:21:32Z</dcterms:created>
  <dcterms:modified xmlns:dcterms="http://purl.org/dc/terms/" xmlns:xsi="http://www.w3.org/2001/XMLSchema-instance" xsi:type="dcterms:W3CDTF">2026-07-01T12:21:32Z</dcterms:modified>
</cp:coreProperties>
</file>