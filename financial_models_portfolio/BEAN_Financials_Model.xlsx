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tommyfoltin/Downloads/"/>
    </mc:Choice>
  </mc:AlternateContent>
  <xr:revisionPtr revIDLastSave="0" documentId="13_ncr:1_{CC623F74-2D42-7243-A31E-CC8BA8767010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BEAN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5" i="1" l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F104" i="1"/>
  <c r="T102" i="1"/>
  <c r="T104" i="1" s="1"/>
  <c r="S102" i="1"/>
  <c r="S104" i="1" s="1"/>
  <c r="R102" i="1"/>
  <c r="R104" i="1" s="1"/>
  <c r="Q102" i="1"/>
  <c r="Q104" i="1" s="1"/>
  <c r="P102" i="1"/>
  <c r="P104" i="1" s="1"/>
  <c r="O102" i="1"/>
  <c r="O104" i="1" s="1"/>
  <c r="N102" i="1"/>
  <c r="N104" i="1" s="1"/>
  <c r="M102" i="1"/>
  <c r="M104" i="1" s="1"/>
  <c r="L102" i="1"/>
  <c r="L104" i="1" s="1"/>
  <c r="K102" i="1"/>
  <c r="K104" i="1" s="1"/>
  <c r="J102" i="1"/>
  <c r="J104" i="1" s="1"/>
  <c r="I102" i="1"/>
  <c r="I104" i="1" s="1"/>
  <c r="H102" i="1"/>
  <c r="H104" i="1" s="1"/>
  <c r="G102" i="1"/>
  <c r="G104" i="1" s="1"/>
  <c r="F102" i="1"/>
  <c r="E102" i="1"/>
  <c r="E104" i="1" s="1"/>
  <c r="D102" i="1"/>
  <c r="D104" i="1" s="1"/>
  <c r="C102" i="1"/>
  <c r="C104" i="1" s="1"/>
  <c r="B102" i="1"/>
  <c r="B104" i="1" s="1"/>
  <c r="R92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T51" i="1"/>
  <c r="S51" i="1"/>
  <c r="R51" i="1"/>
  <c r="Q51" i="1"/>
  <c r="P51" i="1"/>
  <c r="O51" i="1"/>
  <c r="N51" i="1"/>
  <c r="M51" i="1"/>
  <c r="L51" i="1"/>
  <c r="K51" i="1"/>
  <c r="J51" i="1"/>
  <c r="J56" i="1" s="1"/>
  <c r="J63" i="1" s="1"/>
  <c r="I51" i="1"/>
  <c r="I56" i="1" s="1"/>
  <c r="I63" i="1" s="1"/>
  <c r="H51" i="1"/>
  <c r="H56" i="1" s="1"/>
  <c r="H63" i="1" s="1"/>
  <c r="G51" i="1"/>
  <c r="G56" i="1" s="1"/>
  <c r="G63" i="1" s="1"/>
  <c r="F51" i="1"/>
  <c r="F56" i="1" s="1"/>
  <c r="F63" i="1" s="1"/>
  <c r="E51" i="1"/>
  <c r="E56" i="1" s="1"/>
  <c r="E63" i="1" s="1"/>
  <c r="D51" i="1"/>
  <c r="D56" i="1" s="1"/>
  <c r="D63" i="1" s="1"/>
  <c r="C51" i="1"/>
  <c r="C56" i="1" s="1"/>
  <c r="C63" i="1" s="1"/>
  <c r="B51" i="1"/>
  <c r="B56" i="1" s="1"/>
  <c r="B63" i="1" s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T34" i="1"/>
  <c r="S34" i="1"/>
  <c r="R34" i="1"/>
  <c r="R38" i="1" s="1"/>
  <c r="Q34" i="1"/>
  <c r="Q38" i="1" s="1"/>
  <c r="P34" i="1"/>
  <c r="P38" i="1" s="1"/>
  <c r="O34" i="1"/>
  <c r="O38" i="1" s="1"/>
  <c r="N34" i="1"/>
  <c r="N38" i="1" s="1"/>
  <c r="M34" i="1"/>
  <c r="M38" i="1" s="1"/>
  <c r="L34" i="1"/>
  <c r="L38" i="1" s="1"/>
  <c r="K34" i="1"/>
  <c r="K38" i="1" s="1"/>
  <c r="J34" i="1"/>
  <c r="J38" i="1" s="1"/>
  <c r="I34" i="1"/>
  <c r="I38" i="1" s="1"/>
  <c r="H34" i="1"/>
  <c r="H38" i="1" s="1"/>
  <c r="G34" i="1"/>
  <c r="G38" i="1" s="1"/>
  <c r="F34" i="1"/>
  <c r="F38" i="1" s="1"/>
  <c r="E34" i="1"/>
  <c r="E38" i="1" s="1"/>
  <c r="D34" i="1"/>
  <c r="D38" i="1" s="1"/>
  <c r="C34" i="1"/>
  <c r="C38" i="1" s="1"/>
  <c r="B34" i="1"/>
  <c r="B38" i="1" s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R66" i="1" l="1"/>
  <c r="Q66" i="1"/>
  <c r="P66" i="1"/>
  <c r="O66" i="1"/>
  <c r="N66" i="1"/>
  <c r="S56" i="1"/>
  <c r="S63" i="1" s="1"/>
  <c r="R56" i="1"/>
  <c r="R63" i="1" s="1"/>
  <c r="P56" i="1"/>
  <c r="P63" i="1" s="1"/>
  <c r="N56" i="1"/>
  <c r="N63" i="1" s="1"/>
  <c r="L56" i="1"/>
  <c r="L63" i="1" s="1"/>
  <c r="M66" i="1"/>
  <c r="L66" i="1"/>
  <c r="K66" i="1"/>
  <c r="J66" i="1"/>
  <c r="I66" i="1"/>
  <c r="H66" i="1"/>
  <c r="G66" i="1"/>
  <c r="F66" i="1"/>
  <c r="E66" i="1"/>
  <c r="D66" i="1"/>
  <c r="C66" i="1"/>
  <c r="B66" i="1"/>
  <c r="T56" i="1"/>
  <c r="T63" i="1" s="1"/>
  <c r="Q56" i="1"/>
  <c r="Q63" i="1" s="1"/>
  <c r="O56" i="1"/>
  <c r="O63" i="1" s="1"/>
  <c r="M56" i="1"/>
  <c r="M63" i="1" s="1"/>
  <c r="K56" i="1"/>
  <c r="K63" i="1" s="1"/>
  <c r="L25" i="1"/>
  <c r="L12" i="1"/>
  <c r="K12" i="1"/>
  <c r="K25" i="1"/>
  <c r="J25" i="1"/>
  <c r="J12" i="1"/>
  <c r="I25" i="1"/>
  <c r="I12" i="1"/>
  <c r="H25" i="1"/>
  <c r="H12" i="1"/>
  <c r="G12" i="1"/>
  <c r="G25" i="1"/>
  <c r="F12" i="1"/>
  <c r="F25" i="1"/>
  <c r="E25" i="1"/>
  <c r="E12" i="1"/>
  <c r="D25" i="1"/>
  <c r="D12" i="1"/>
  <c r="C25" i="1"/>
  <c r="C12" i="1"/>
  <c r="B25" i="1"/>
  <c r="B12" i="1"/>
  <c r="T90" i="1"/>
  <c r="T91" i="1"/>
  <c r="T92" i="1"/>
  <c r="S91" i="1"/>
  <c r="S92" i="1"/>
  <c r="S90" i="1"/>
  <c r="R91" i="1"/>
  <c r="R90" i="1"/>
  <c r="Q92" i="1"/>
  <c r="Q90" i="1"/>
  <c r="Q91" i="1"/>
  <c r="P92" i="1"/>
  <c r="P91" i="1"/>
  <c r="P90" i="1"/>
  <c r="O92" i="1"/>
  <c r="O91" i="1"/>
  <c r="O90" i="1"/>
  <c r="N91" i="1"/>
  <c r="N90" i="1"/>
  <c r="N92" i="1"/>
  <c r="M90" i="1"/>
  <c r="M91" i="1"/>
  <c r="M92" i="1"/>
  <c r="L90" i="1"/>
  <c r="L91" i="1"/>
  <c r="L92" i="1"/>
  <c r="K90" i="1"/>
  <c r="K91" i="1"/>
  <c r="K92" i="1"/>
  <c r="J92" i="1"/>
  <c r="J90" i="1"/>
  <c r="J91" i="1"/>
  <c r="I92" i="1"/>
  <c r="I90" i="1"/>
  <c r="I91" i="1"/>
  <c r="H92" i="1"/>
  <c r="H90" i="1"/>
  <c r="H91" i="1"/>
  <c r="G91" i="1"/>
  <c r="G90" i="1"/>
  <c r="G92" i="1"/>
  <c r="F92" i="1"/>
  <c r="F91" i="1"/>
  <c r="F90" i="1"/>
  <c r="E91" i="1"/>
  <c r="E92" i="1"/>
  <c r="E90" i="1"/>
  <c r="D92" i="1"/>
  <c r="D91" i="1"/>
  <c r="D90" i="1"/>
  <c r="C90" i="1"/>
  <c r="C91" i="1"/>
  <c r="C92" i="1"/>
  <c r="B91" i="1"/>
  <c r="B90" i="1"/>
  <c r="B92" i="1"/>
  <c r="R67" i="1"/>
  <c r="R45" i="1"/>
  <c r="R71" i="1" s="1"/>
  <c r="R69" i="1"/>
  <c r="Q45" i="1"/>
  <c r="Q67" i="1"/>
  <c r="Q69" i="1"/>
  <c r="P67" i="1"/>
  <c r="P69" i="1"/>
  <c r="P45" i="1"/>
  <c r="P71" i="1" s="1"/>
  <c r="O67" i="1"/>
  <c r="O45" i="1"/>
  <c r="O71" i="1" s="1"/>
  <c r="O69" i="1"/>
  <c r="N45" i="1"/>
  <c r="N71" i="1" s="1"/>
  <c r="N67" i="1"/>
  <c r="N69" i="1"/>
  <c r="M45" i="1"/>
  <c r="M69" i="1"/>
  <c r="M67" i="1"/>
  <c r="L67" i="1"/>
  <c r="L69" i="1"/>
  <c r="L45" i="1"/>
  <c r="L71" i="1" s="1"/>
  <c r="K45" i="1"/>
  <c r="K71" i="1" s="1"/>
  <c r="K67" i="1"/>
  <c r="K69" i="1"/>
  <c r="J45" i="1"/>
  <c r="J71" i="1" s="1"/>
  <c r="J67" i="1"/>
  <c r="J69" i="1"/>
  <c r="I67" i="1"/>
  <c r="I45" i="1"/>
  <c r="I71" i="1" s="1"/>
  <c r="I69" i="1"/>
  <c r="H45" i="1"/>
  <c r="H71" i="1" s="1"/>
  <c r="H67" i="1"/>
  <c r="H69" i="1"/>
  <c r="G69" i="1"/>
  <c r="G45" i="1"/>
  <c r="G71" i="1" s="1"/>
  <c r="G67" i="1"/>
  <c r="F67" i="1"/>
  <c r="F45" i="1"/>
  <c r="F71" i="1" s="1"/>
  <c r="F69" i="1"/>
  <c r="E67" i="1"/>
  <c r="E69" i="1"/>
  <c r="E45" i="1"/>
  <c r="E71" i="1" s="1"/>
  <c r="D45" i="1"/>
  <c r="D71" i="1" s="1"/>
  <c r="D67" i="1"/>
  <c r="D69" i="1"/>
  <c r="C45" i="1"/>
  <c r="C71" i="1" s="1"/>
  <c r="C67" i="1"/>
  <c r="C69" i="1"/>
  <c r="B69" i="1"/>
  <c r="B45" i="1"/>
  <c r="B71" i="1" s="1"/>
  <c r="B67" i="1"/>
  <c r="T66" i="1"/>
  <c r="T38" i="1"/>
  <c r="S38" i="1"/>
  <c r="S66" i="1"/>
  <c r="L16" i="1"/>
  <c r="L19" i="1" s="1"/>
  <c r="L27" i="1" s="1"/>
  <c r="L26" i="1"/>
  <c r="K26" i="1"/>
  <c r="K16" i="1"/>
  <c r="K19" i="1" s="1"/>
  <c r="K27" i="1" s="1"/>
  <c r="J26" i="1"/>
  <c r="J16" i="1"/>
  <c r="J19" i="1" s="1"/>
  <c r="J27" i="1" s="1"/>
  <c r="I26" i="1"/>
  <c r="I16" i="1"/>
  <c r="I19" i="1" s="1"/>
  <c r="I27" i="1" s="1"/>
  <c r="H26" i="1"/>
  <c r="H16" i="1"/>
  <c r="H19" i="1" s="1"/>
  <c r="H27" i="1" s="1"/>
  <c r="G26" i="1"/>
  <c r="G16" i="1"/>
  <c r="G19" i="1" s="1"/>
  <c r="G27" i="1" s="1"/>
  <c r="F16" i="1"/>
  <c r="F19" i="1" s="1"/>
  <c r="F27" i="1" s="1"/>
  <c r="F26" i="1"/>
  <c r="E16" i="1"/>
  <c r="E19" i="1" s="1"/>
  <c r="E27" i="1" s="1"/>
  <c r="E26" i="1"/>
  <c r="D16" i="1"/>
  <c r="D19" i="1" s="1"/>
  <c r="D27" i="1" s="1"/>
  <c r="D26" i="1"/>
  <c r="C16" i="1"/>
  <c r="C19" i="1" s="1"/>
  <c r="C27" i="1" s="1"/>
  <c r="C26" i="1"/>
  <c r="B16" i="1"/>
  <c r="B19" i="1" s="1"/>
  <c r="B27" i="1" s="1"/>
  <c r="B26" i="1"/>
  <c r="T12" i="1"/>
  <c r="T25" i="1"/>
  <c r="S12" i="1"/>
  <c r="S25" i="1"/>
  <c r="R12" i="1"/>
  <c r="R25" i="1"/>
  <c r="Q25" i="1"/>
  <c r="Q12" i="1"/>
  <c r="P25" i="1"/>
  <c r="P12" i="1"/>
  <c r="O25" i="1"/>
  <c r="O12" i="1"/>
  <c r="N12" i="1"/>
  <c r="N25" i="1"/>
  <c r="M12" i="1"/>
  <c r="M25" i="1"/>
  <c r="Q71" i="1" l="1"/>
  <c r="Q70" i="1"/>
  <c r="M71" i="1"/>
  <c r="G70" i="1"/>
  <c r="T45" i="1"/>
  <c r="T71" i="1" s="1"/>
  <c r="T67" i="1"/>
  <c r="T69" i="1"/>
  <c r="S45" i="1"/>
  <c r="S71" i="1" s="1"/>
  <c r="S67" i="1"/>
  <c r="S69" i="1"/>
  <c r="S70" i="1" s="1"/>
  <c r="T16" i="1"/>
  <c r="T19" i="1" s="1"/>
  <c r="T27" i="1" s="1"/>
  <c r="T26" i="1"/>
  <c r="S16" i="1"/>
  <c r="S19" i="1" s="1"/>
  <c r="S27" i="1" s="1"/>
  <c r="S26" i="1"/>
  <c r="R16" i="1"/>
  <c r="R19" i="1" s="1"/>
  <c r="R27" i="1" s="1"/>
  <c r="R26" i="1"/>
  <c r="Q16" i="1"/>
  <c r="Q19" i="1" s="1"/>
  <c r="Q27" i="1" s="1"/>
  <c r="Q26" i="1"/>
  <c r="P16" i="1"/>
  <c r="P19" i="1" s="1"/>
  <c r="P27" i="1" s="1"/>
  <c r="P26" i="1"/>
  <c r="O16" i="1"/>
  <c r="O19" i="1" s="1"/>
  <c r="O27" i="1" s="1"/>
  <c r="O26" i="1"/>
  <c r="N16" i="1"/>
  <c r="N19" i="1" s="1"/>
  <c r="N27" i="1" s="1"/>
  <c r="N26" i="1"/>
  <c r="M16" i="1"/>
  <c r="M19" i="1" s="1"/>
  <c r="M27" i="1" s="1"/>
  <c r="M26" i="1"/>
  <c r="R70" i="1"/>
  <c r="P70" i="1"/>
  <c r="O70" i="1"/>
  <c r="N70" i="1"/>
  <c r="L70" i="1"/>
  <c r="K70" i="1"/>
  <c r="M70" i="1"/>
  <c r="J70" i="1"/>
  <c r="I70" i="1"/>
  <c r="H70" i="1"/>
  <c r="F70" i="1"/>
  <c r="E70" i="1"/>
  <c r="D70" i="1"/>
  <c r="C70" i="1"/>
  <c r="T70" i="1" l="1"/>
</calcChain>
</file>

<file path=xl/sharedStrings.xml><?xml version="1.0" encoding="utf-8"?>
<sst xmlns="http://schemas.openxmlformats.org/spreadsheetml/2006/main" count="139" uniqueCount="139">
  <si>
    <t>BELIMO (BEAN) - Financial Model Over Time</t>
  </si>
  <si>
    <t>Period</t>
  </si>
  <si>
    <t>H1 2016</t>
  </si>
  <si>
    <t>H2 2016</t>
  </si>
  <si>
    <t>H1 2017</t>
  </si>
  <si>
    <t>H2 2017</t>
  </si>
  <si>
    <t>H1 2018</t>
  </si>
  <si>
    <t>H2 2018</t>
  </si>
  <si>
    <t>H1 2019</t>
  </si>
  <si>
    <t>H2 2019</t>
  </si>
  <si>
    <t>H1 2020</t>
  </si>
  <si>
    <t>H2 2020</t>
  </si>
  <si>
    <t>H1 2021</t>
  </si>
  <si>
    <t>H2 2021</t>
  </si>
  <si>
    <t>H1 2022</t>
  </si>
  <si>
    <t>H2 2022</t>
  </si>
  <si>
    <t>H1 2023</t>
  </si>
  <si>
    <t>H2 2023</t>
  </si>
  <si>
    <t>H1 2024</t>
  </si>
  <si>
    <t>H2 2024</t>
  </si>
  <si>
    <t>H1 2025</t>
  </si>
  <si>
    <t>Period Ending</t>
  </si>
  <si>
    <t>2016-06-30</t>
  </si>
  <si>
    <t>2016-12-31</t>
  </si>
  <si>
    <t>2017-06-30</t>
  </si>
  <si>
    <t>2017-12-31</t>
  </si>
  <si>
    <t>2018-06-30</t>
  </si>
  <si>
    <t>2018-12-31</t>
  </si>
  <si>
    <t>2019-06-30</t>
  </si>
  <si>
    <t>2019-12-31</t>
  </si>
  <si>
    <t>2020-06-30</t>
  </si>
  <si>
    <t>2020-12-31</t>
  </si>
  <si>
    <t>2021-06-30</t>
  </si>
  <si>
    <t>2021-12-31</t>
  </si>
  <si>
    <t>2022-06-30</t>
  </si>
  <si>
    <t>2022-12-31</t>
  </si>
  <si>
    <t>2023-06-30</t>
  </si>
  <si>
    <t>2023-12-31</t>
  </si>
  <si>
    <t>2024-06-30</t>
  </si>
  <si>
    <t>2024-12-31</t>
  </si>
  <si>
    <t>2025-06-30</t>
  </si>
  <si>
    <t>INCOME STATEMENT</t>
  </si>
  <si>
    <t>Revenue</t>
  </si>
  <si>
    <t>Cost of Revenue</t>
  </si>
  <si>
    <t>Gross Profit</t>
  </si>
  <si>
    <t xml:space="preserve">   SG&amp;A</t>
  </si>
  <si>
    <t xml:space="preserve">   R&amp;D</t>
  </si>
  <si>
    <t xml:space="preserve">   Other Operating Exp (reconciling)</t>
  </si>
  <si>
    <t>Operating Income</t>
  </si>
  <si>
    <t xml:space="preserve">   Interest Exp / Inc</t>
  </si>
  <si>
    <t xml:space="preserve">   Other Exp / Inc</t>
  </si>
  <si>
    <t xml:space="preserve">   Other Non-Operating (reconciling)</t>
  </si>
  <si>
    <t>Pretax Income</t>
  </si>
  <si>
    <t xml:space="preserve">   Income Tax</t>
  </si>
  <si>
    <t xml:space="preserve">   Minority Int / Rounding (reconciling)</t>
  </si>
  <si>
    <t>Net Income</t>
  </si>
  <si>
    <t>D&amp;A</t>
  </si>
  <si>
    <t>EBIT (source-defined)</t>
  </si>
  <si>
    <t>EBITDA</t>
  </si>
  <si>
    <t>Shares (Diluted)</t>
  </si>
  <si>
    <t>EPS (Diluted)</t>
  </si>
  <si>
    <t xml:space="preserve">  Gross Margin %</t>
  </si>
  <si>
    <t xml:space="preserve">  Operating Margin %</t>
  </si>
  <si>
    <t xml:space="preserve">  Net Margin %</t>
  </si>
  <si>
    <t xml:space="preserve">  Revenue Growth YoY</t>
  </si>
  <si>
    <t>BALANCE SHEET</t>
  </si>
  <si>
    <t>Assets</t>
  </si>
  <si>
    <t xml:space="preserve">   Cash &amp; Equivalents</t>
  </si>
  <si>
    <t xml:space="preserve">   Short-Term Investments</t>
  </si>
  <si>
    <t>Cash &amp; Cash Equivalents</t>
  </si>
  <si>
    <t xml:space="preserve">   Receivables</t>
  </si>
  <si>
    <t xml:space="preserve">   Inventory</t>
  </si>
  <si>
    <t xml:space="preserve">   Other Current Assets</t>
  </si>
  <si>
    <t>Total Current Assets</t>
  </si>
  <si>
    <t xml:space="preserve">   Property, Plant &amp; Equipment</t>
  </si>
  <si>
    <t xml:space="preserve">   Long-Term Investments</t>
  </si>
  <si>
    <t xml:space="preserve">   Goodwill &amp; Intangibles</t>
  </si>
  <si>
    <t xml:space="preserve">   Other Long-Term Assets</t>
  </si>
  <si>
    <t>Total Long-Term Assets</t>
  </si>
  <si>
    <t xml:space="preserve">   Other Assets (reconciling)</t>
  </si>
  <si>
    <t>Total Assets</t>
  </si>
  <si>
    <t>Liabilities</t>
  </si>
  <si>
    <t xml:space="preserve">   Accounts Payable</t>
  </si>
  <si>
    <t xml:space="preserve">   Deferred Revenue</t>
  </si>
  <si>
    <t xml:space="preserve">   Current Debt</t>
  </si>
  <si>
    <t xml:space="preserve">   Other Current Liabilities</t>
  </si>
  <si>
    <t>Total Current Liabilities</t>
  </si>
  <si>
    <t xml:space="preserve">   Long-Term Debt</t>
  </si>
  <si>
    <t xml:space="preserve">   Other Long-Term Liabilities</t>
  </si>
  <si>
    <t>Total Long-Term Liabilities</t>
  </si>
  <si>
    <t xml:space="preserve">   Other Liabilities (reconciling)</t>
  </si>
  <si>
    <t>Total Liabilities</t>
  </si>
  <si>
    <t>Equity</t>
  </si>
  <si>
    <t xml:space="preserve">   Common Stock</t>
  </si>
  <si>
    <t xml:space="preserve">   Retained Earnings</t>
  </si>
  <si>
    <t xml:space="preserve">   Comprehensive Income</t>
  </si>
  <si>
    <t xml:space="preserve">   Other Equity / NCI (reconciling)</t>
  </si>
  <si>
    <t>Shareholders Equity</t>
  </si>
  <si>
    <t>Total Liabilities &amp; Equity</t>
  </si>
  <si>
    <t>Memo &amp; Checks</t>
  </si>
  <si>
    <t>Total Debt</t>
  </si>
  <si>
    <t>Net Cash (Debt)</t>
  </si>
  <si>
    <t>Working Capital</t>
  </si>
  <si>
    <t>Book Value Per Share</t>
  </si>
  <si>
    <t>Net Operating Working Capital</t>
  </si>
  <si>
    <t xml:space="preserve">  Change in NOWC (seq.)</t>
  </si>
  <si>
    <t xml:space="preserve">  Balance Check (A - L&amp;E)</t>
  </si>
  <si>
    <t>CASH FLOW STATEMENT</t>
  </si>
  <si>
    <t xml:space="preserve">   Net Income (CF)</t>
  </si>
  <si>
    <t xml:space="preserve">   D&amp;A (CF)</t>
  </si>
  <si>
    <t xml:space="preserve">   Share-Based Comp</t>
  </si>
  <si>
    <t xml:space="preserve">   Other Operating Activities</t>
  </si>
  <si>
    <t>Operating Cash Flow</t>
  </si>
  <si>
    <t xml:space="preserve">   Capital Expenditures</t>
  </si>
  <si>
    <t xml:space="preserve">   Acquisitions</t>
  </si>
  <si>
    <t xml:space="preserve">   Change in Investments</t>
  </si>
  <si>
    <t xml:space="preserve">   Other Investing Activities</t>
  </si>
  <si>
    <t>Investing Cash Flow</t>
  </si>
  <si>
    <t xml:space="preserve">   Dividends Paid</t>
  </si>
  <si>
    <t xml:space="preserve">   Share Issuance / Repurchase</t>
  </si>
  <si>
    <t xml:space="preserve">   Debt Issued / Paid</t>
  </si>
  <si>
    <t xml:space="preserve">   Other Financing Activities</t>
  </si>
  <si>
    <t>Financing Cash Flow</t>
  </si>
  <si>
    <t xml:space="preserve">   FX / Other (reconciling)</t>
  </si>
  <si>
    <t>Net Cash Flow</t>
  </si>
  <si>
    <t>Free Cash Flow</t>
  </si>
  <si>
    <t>FCFE (OCF - ICF - SBC)</t>
  </si>
  <si>
    <t>SEGMENT REVENUE KPIs (CHF mm, as reported)</t>
  </si>
  <si>
    <t>Actuator Solutions</t>
  </si>
  <si>
    <t>Asia Pacific</t>
  </si>
  <si>
    <t>Americas</t>
  </si>
  <si>
    <t>EMEA</t>
  </si>
  <si>
    <t>Shared Services</t>
  </si>
  <si>
    <t>Segment Adjustment</t>
  </si>
  <si>
    <t>Corporate</t>
  </si>
  <si>
    <t>Sum of Segments</t>
  </si>
  <si>
    <t>Reported Total (source)</t>
  </si>
  <si>
    <t xml:space="preserve">  Segment Tie-out Check</t>
  </si>
  <si>
    <t xml:space="preserve">  Total Revenue Growth 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</si>
</sst>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(#,##0.0\)"/>
    <numFmt numFmtId="165" formatCode="0.0%;\(0.0%\)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9"/>
      <color rgb="FF555555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10"/>
      <name val="Calibri"/>
      <family val="2"/>
    </font>
    <font>
      <b/>
      <i/>
      <sz val="10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164" fontId="4" fillId="0" borderId="0" xfId="0" applyNumberFormat="1" applyFont="1" applyAlignment="1">
      <alignment horizontal="right"/>
    </xf>
    <xf numFmtId="0" fontId="5" fillId="0" borderId="0" xfId="0" applyFont="1"/>
    <xf numFmtId="16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0" borderId="0" xfId="0" applyFont="1"/>
    <xf numFmtId="165" fontId="5" fillId="0" borderId="0" xfId="0" applyNumberFormat="1" applyFont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5"/>
  <sheetViews>
    <sheetView tabSelected="1" workbookViewId="0">
      <pane xSplit="1" ySplit="4" topLeftCell="K5" activePane="bottomRight" state="frozen"/>
      <selection pane="topRight"/>
      <selection pane="bottomLeft"/>
      <selection pane="bottomRight" activeCell="O16" sqref="O16"/>
    </sheetView>
  </sheetViews>
  <sheetFormatPr baseColWidth="10" defaultColWidth="8.83203125" defaultRowHeight="15" x14ac:dyDescent="0.2"/>
  <cols>
    <col min="1" max="1" width="34" customWidth="1"/>
    <col min="2" max="20" width="11" customWidth="1"/>
  </cols>
  <sheetData>
    <row r="1" spans="1:20" ht="19" x14ac:dyDescent="0.25">
      <c r="A1" s="1" t="s">
        <v>0</v>
      </c>
    </row>
    <row r="3" spans="1:20" x14ac:dyDescent="0.2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</row>
    <row r="4" spans="1:20" x14ac:dyDescent="0.2">
      <c r="A4" s="4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  <c r="Q4" s="5" t="s">
        <v>37</v>
      </c>
      <c r="R4" s="5" t="s">
        <v>38</v>
      </c>
      <c r="S4" s="5" t="s">
        <v>39</v>
      </c>
      <c r="T4" s="5" t="s">
        <v>40</v>
      </c>
    </row>
    <row r="5" spans="1:20" x14ac:dyDescent="0.2">
      <c r="A5" s="6" t="s">
        <v>41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">
      <c r="A6" s="2" t="s">
        <v>42</v>
      </c>
      <c r="B6" s="8">
        <v>339.37908718967032</v>
      </c>
      <c r="C6" s="8">
        <v>321.8044034387724</v>
      </c>
      <c r="D6" s="8">
        <v>357.48667432431932</v>
      </c>
      <c r="E6" s="8">
        <v>360.45288132575479</v>
      </c>
      <c r="F6" s="8">
        <v>402.88484959389302</v>
      </c>
      <c r="G6" s="8">
        <v>392.20081678880581</v>
      </c>
      <c r="H6" s="8">
        <v>439.58594272586868</v>
      </c>
      <c r="I6" s="8">
        <v>417.23614791221797</v>
      </c>
      <c r="J6" s="8">
        <v>414.81768151171462</v>
      </c>
      <c r="K6" s="8">
        <v>402.74513246543847</v>
      </c>
      <c r="L6" s="8">
        <v>475.68983786630918</v>
      </c>
      <c r="M6" s="8">
        <v>470.60685454705072</v>
      </c>
      <c r="N6" s="8">
        <v>514.87740131086809</v>
      </c>
      <c r="O6" s="8">
        <v>532.25920123841308</v>
      </c>
      <c r="P6" s="8">
        <v>554.37160057716778</v>
      </c>
      <c r="Q6" s="8">
        <v>507.46002915513168</v>
      </c>
      <c r="R6" s="8">
        <v>585.49266361432137</v>
      </c>
      <c r="S6" s="8">
        <v>581.52865375746342</v>
      </c>
      <c r="T6" s="8">
        <v>694.27172137684431</v>
      </c>
    </row>
    <row r="7" spans="1:20" x14ac:dyDescent="0.2">
      <c r="A7" s="9" t="s">
        <v>43</v>
      </c>
      <c r="B7" s="10">
        <v>140.0447836671913</v>
      </c>
      <c r="C7" s="10">
        <v>132.95630315896719</v>
      </c>
      <c r="D7" s="10">
        <v>146.2022287973075</v>
      </c>
      <c r="E7" s="10">
        <v>149.0559202351204</v>
      </c>
      <c r="F7" s="10">
        <v>164.29374228001041</v>
      </c>
      <c r="G7" s="10">
        <v>164.75493244738661</v>
      </c>
      <c r="H7" s="10">
        <v>176.6642721046716</v>
      </c>
      <c r="I7" s="10">
        <v>304.41271203310669</v>
      </c>
      <c r="J7" s="10">
        <v>306.25499983308129</v>
      </c>
      <c r="K7" s="10">
        <v>299.45708149465179</v>
      </c>
      <c r="L7" s="10">
        <v>334.87970107953117</v>
      </c>
      <c r="M7" s="10">
        <v>341.36109211809929</v>
      </c>
      <c r="N7" s="10">
        <v>369.40343259019483</v>
      </c>
      <c r="O7" s="10">
        <v>383.46664160825537</v>
      </c>
      <c r="P7" s="10">
        <v>391.82370418545531</v>
      </c>
      <c r="Q7" s="10">
        <v>371.24077465110901</v>
      </c>
      <c r="R7" s="10">
        <v>410.35415200976291</v>
      </c>
      <c r="S7" s="10">
        <v>222.97617266564211</v>
      </c>
      <c r="T7" s="10">
        <v>266.5419516133619</v>
      </c>
    </row>
    <row r="8" spans="1:20" x14ac:dyDescent="0.2">
      <c r="A8" s="2" t="s">
        <v>44</v>
      </c>
      <c r="B8" s="8">
        <f t="shared" ref="B8:T8" si="0">N(B6)-N(B7)</f>
        <v>199.33430352247902</v>
      </c>
      <c r="C8" s="8">
        <f t="shared" si="0"/>
        <v>188.84810027980521</v>
      </c>
      <c r="D8" s="8">
        <f t="shared" si="0"/>
        <v>211.28444552701183</v>
      </c>
      <c r="E8" s="8">
        <f t="shared" si="0"/>
        <v>211.39696109063439</v>
      </c>
      <c r="F8" s="8">
        <f t="shared" si="0"/>
        <v>238.59110731388262</v>
      </c>
      <c r="G8" s="8">
        <f t="shared" si="0"/>
        <v>227.4458843414192</v>
      </c>
      <c r="H8" s="8">
        <f t="shared" si="0"/>
        <v>262.92167062119711</v>
      </c>
      <c r="I8" s="8">
        <f t="shared" si="0"/>
        <v>112.82343587911129</v>
      </c>
      <c r="J8" s="8">
        <f t="shared" si="0"/>
        <v>108.56268167863334</v>
      </c>
      <c r="K8" s="8">
        <f t="shared" si="0"/>
        <v>103.28805097078668</v>
      </c>
      <c r="L8" s="8">
        <f t="shared" si="0"/>
        <v>140.810136786778</v>
      </c>
      <c r="M8" s="8">
        <f t="shared" si="0"/>
        <v>129.24576242895142</v>
      </c>
      <c r="N8" s="8">
        <f t="shared" si="0"/>
        <v>145.47396872067327</v>
      </c>
      <c r="O8" s="8">
        <f t="shared" si="0"/>
        <v>148.79255963015771</v>
      </c>
      <c r="P8" s="8">
        <f t="shared" si="0"/>
        <v>162.54789639171247</v>
      </c>
      <c r="Q8" s="8">
        <f t="shared" si="0"/>
        <v>136.21925450402267</v>
      </c>
      <c r="R8" s="8">
        <f t="shared" si="0"/>
        <v>175.13851160455846</v>
      </c>
      <c r="S8" s="8">
        <f t="shared" si="0"/>
        <v>358.55248109182128</v>
      </c>
      <c r="T8" s="8">
        <f t="shared" si="0"/>
        <v>427.72976976348241</v>
      </c>
    </row>
    <row r="9" spans="1:20" x14ac:dyDescent="0.2">
      <c r="A9" s="9" t="s">
        <v>45</v>
      </c>
      <c r="B9" s="10">
        <v>90.77533114814095</v>
      </c>
      <c r="C9" s="10">
        <v>106.9887002226819</v>
      </c>
      <c r="D9" s="10">
        <v>96.18967898444194</v>
      </c>
      <c r="E9" s="10">
        <v>117.51323294307331</v>
      </c>
      <c r="F9" s="10">
        <v>103.9458342658112</v>
      </c>
      <c r="G9" s="10">
        <v>128.49895583084091</v>
      </c>
      <c r="H9" s="10">
        <v>116.1581004405417</v>
      </c>
      <c r="I9" s="10">
        <v>43.400096689198627</v>
      </c>
      <c r="J9" s="10">
        <v>40.871587594602708</v>
      </c>
      <c r="K9" s="10">
        <v>38.695462408055619</v>
      </c>
      <c r="L9" s="10">
        <v>47.317122024983398</v>
      </c>
      <c r="M9" s="10">
        <v>43.005673999136967</v>
      </c>
      <c r="N9" s="10">
        <v>55.067095132527257</v>
      </c>
      <c r="O9" s="10">
        <v>59.821186804273623</v>
      </c>
      <c r="P9" s="10">
        <v>62.274273378199432</v>
      </c>
      <c r="Q9" s="10">
        <v>57.586949183767587</v>
      </c>
      <c r="R9" s="10">
        <v>61.044020786941267</v>
      </c>
      <c r="S9" s="10">
        <v>177.3096910520452</v>
      </c>
      <c r="T9" s="10">
        <v>182.23193785184301</v>
      </c>
    </row>
    <row r="10" spans="1:20" x14ac:dyDescent="0.2">
      <c r="A10" s="9" t="s">
        <v>46</v>
      </c>
      <c r="B10" s="10">
        <v>0</v>
      </c>
      <c r="C10" s="10">
        <v>46.639555773717603</v>
      </c>
      <c r="D10" s="10">
        <v>0</v>
      </c>
      <c r="E10" s="10">
        <v>54.926141569307731</v>
      </c>
      <c r="F10" s="10">
        <v>0</v>
      </c>
      <c r="G10" s="10">
        <v>58.419069780668828</v>
      </c>
      <c r="H10" s="10">
        <v>0</v>
      </c>
      <c r="I10" s="10">
        <v>62.666223198730933</v>
      </c>
      <c r="J10" s="10">
        <v>0</v>
      </c>
      <c r="K10" s="10">
        <v>66.485570188074092</v>
      </c>
      <c r="L10" s="10">
        <v>0</v>
      </c>
      <c r="M10" s="10">
        <v>66.396546884988069</v>
      </c>
      <c r="N10" s="10">
        <v>0</v>
      </c>
      <c r="O10" s="10">
        <v>70.600425086272239</v>
      </c>
      <c r="P10" s="10">
        <v>0</v>
      </c>
      <c r="Q10" s="10">
        <v>86.797720508867087</v>
      </c>
      <c r="R10" s="10">
        <v>0</v>
      </c>
      <c r="S10" s="10">
        <v>88.65237265649246</v>
      </c>
      <c r="T10" s="10">
        <v>0</v>
      </c>
    </row>
    <row r="11" spans="1:20" x14ac:dyDescent="0.2">
      <c r="A11" s="9" t="s">
        <v>47</v>
      </c>
      <c r="B11" s="10">
        <v>-50.552871805207118</v>
      </c>
      <c r="C11" s="10">
        <v>14.29936805819157</v>
      </c>
      <c r="D11" s="10">
        <v>-54.427858358979023</v>
      </c>
      <c r="E11" s="10">
        <v>14.895329614961859</v>
      </c>
      <c r="F11" s="10">
        <v>-61.046493656471441</v>
      </c>
      <c r="G11" s="10">
        <v>21.682120040505598</v>
      </c>
      <c r="H11" s="10">
        <v>-63.964479702068637</v>
      </c>
      <c r="I11" s="10">
        <v>62.666223198730933</v>
      </c>
      <c r="J11" s="10">
        <v>0.8284112926060061</v>
      </c>
      <c r="K11" s="10">
        <v>66.987562702698014</v>
      </c>
      <c r="L11" s="10">
        <v>0</v>
      </c>
      <c r="M11" s="10">
        <v>66.396546884988069</v>
      </c>
      <c r="N11" s="10">
        <v>4.414072111348375</v>
      </c>
      <c r="O11" s="10">
        <v>75.195016673322826</v>
      </c>
      <c r="P11" s="10">
        <v>4.5055682839645641</v>
      </c>
      <c r="Q11" s="10">
        <v>91.90048678436699</v>
      </c>
      <c r="R11" s="10">
        <v>0.95081833434929308</v>
      </c>
      <c r="S11" s="10">
        <v>0</v>
      </c>
      <c r="T11" s="10">
        <v>-2.8421709430404007E-14</v>
      </c>
    </row>
    <row r="12" spans="1:20" x14ac:dyDescent="0.2">
      <c r="A12" s="2" t="s">
        <v>48</v>
      </c>
      <c r="B12" s="8">
        <f t="shared" ref="B12:T12" si="1">N(B8)-N(B9)-N(B10)+N(B11)</f>
        <v>58.00610056913095</v>
      </c>
      <c r="C12" s="8">
        <f t="shared" si="1"/>
        <v>49.519212341597274</v>
      </c>
      <c r="D12" s="8">
        <f t="shared" si="1"/>
        <v>60.666908183590863</v>
      </c>
      <c r="E12" s="8">
        <f t="shared" si="1"/>
        <v>53.852916193215215</v>
      </c>
      <c r="F12" s="8">
        <f t="shared" si="1"/>
        <v>73.59877939159999</v>
      </c>
      <c r="G12" s="8">
        <f t="shared" si="1"/>
        <v>62.209978770415063</v>
      </c>
      <c r="H12" s="8">
        <f t="shared" si="1"/>
        <v>82.799090478586749</v>
      </c>
      <c r="I12" s="8">
        <f t="shared" si="1"/>
        <v>69.423339189912667</v>
      </c>
      <c r="J12" s="8">
        <f t="shared" si="1"/>
        <v>68.51950537663663</v>
      </c>
      <c r="K12" s="8">
        <f t="shared" si="1"/>
        <v>65.094581077354988</v>
      </c>
      <c r="L12" s="8">
        <f t="shared" si="1"/>
        <v>93.493014761794598</v>
      </c>
      <c r="M12" s="8">
        <f t="shared" si="1"/>
        <v>86.240088429814449</v>
      </c>
      <c r="N12" s="8">
        <f t="shared" si="1"/>
        <v>94.820945699494388</v>
      </c>
      <c r="O12" s="8">
        <f t="shared" si="1"/>
        <v>93.565964412934676</v>
      </c>
      <c r="P12" s="8">
        <f t="shared" si="1"/>
        <v>104.7791912974776</v>
      </c>
      <c r="Q12" s="8">
        <f t="shared" si="1"/>
        <v>83.735071595754988</v>
      </c>
      <c r="R12" s="8">
        <f t="shared" si="1"/>
        <v>115.04530915196648</v>
      </c>
      <c r="S12" s="8">
        <f t="shared" si="1"/>
        <v>92.590417383283622</v>
      </c>
      <c r="T12" s="8">
        <f t="shared" si="1"/>
        <v>245.49783191163937</v>
      </c>
    </row>
    <row r="13" spans="1:20" x14ac:dyDescent="0.2">
      <c r="A13" s="9" t="s">
        <v>49</v>
      </c>
      <c r="B13" s="10">
        <v>-1.0522059850861241</v>
      </c>
      <c r="C13" s="10">
        <v>-1.5814000645418951</v>
      </c>
      <c r="D13" s="10">
        <v>-2.9118038717718231</v>
      </c>
      <c r="E13" s="10">
        <v>-3.543622036729531</v>
      </c>
      <c r="F13" s="10">
        <v>-0.69240346844680289</v>
      </c>
      <c r="G13" s="10">
        <v>-1.2735278080360839</v>
      </c>
      <c r="H13" s="10">
        <v>-1.2908378947472541</v>
      </c>
      <c r="I13" s="10">
        <v>0.62192668683703911</v>
      </c>
      <c r="J13" s="10">
        <v>0.93350824763810036</v>
      </c>
      <c r="K13" s="10">
        <v>1.131337810051473</v>
      </c>
      <c r="L13" s="10">
        <v>0.92732607381268251</v>
      </c>
      <c r="M13" s="10">
        <v>0.59719799153536757</v>
      </c>
      <c r="N13" s="10">
        <v>0.28808930026447338</v>
      </c>
      <c r="O13" s="10">
        <v>-1.236434765083577E-2</v>
      </c>
      <c r="P13" s="10">
        <v>3.5114747328373581</v>
      </c>
      <c r="Q13" s="10">
        <v>-0.80862833636465925</v>
      </c>
      <c r="R13" s="10">
        <v>3.3742304739130811</v>
      </c>
      <c r="S13" s="10">
        <v>3.530021254313612</v>
      </c>
      <c r="T13" s="10">
        <v>-5.6529797459621127</v>
      </c>
    </row>
    <row r="14" spans="1:20" x14ac:dyDescent="0.2">
      <c r="A14" s="9" t="s">
        <v>50</v>
      </c>
      <c r="B14" s="10">
        <v>2.1044119701722481</v>
      </c>
      <c r="C14" s="10">
        <v>2.5247997903006629</v>
      </c>
      <c r="D14" s="10">
        <v>5.8236077435436462</v>
      </c>
      <c r="E14" s="10">
        <v>-1.60736519460865</v>
      </c>
      <c r="F14" s="10">
        <v>2.628660310567684</v>
      </c>
      <c r="G14" s="10">
        <v>5.4328943577772364</v>
      </c>
      <c r="H14" s="10">
        <v>3.9454633353816928</v>
      </c>
      <c r="I14" s="10">
        <v>0.97925633394619271</v>
      </c>
      <c r="J14" s="10">
        <v>5.4526773140185734</v>
      </c>
      <c r="K14" s="10">
        <v>1.387279806423773</v>
      </c>
      <c r="L14" s="10">
        <v>-2.7411758741902901</v>
      </c>
      <c r="M14" s="10">
        <v>3.4632537769990979</v>
      </c>
      <c r="N14" s="10">
        <v>1.554198499710056</v>
      </c>
      <c r="O14" s="10">
        <v>4.0493238556487139</v>
      </c>
      <c r="P14" s="10">
        <v>3.4385250816974269</v>
      </c>
      <c r="Q14" s="10">
        <v>6.1426079129352091</v>
      </c>
      <c r="R14" s="10">
        <v>-3.1590908247885392</v>
      </c>
      <c r="S14" s="10">
        <v>-13.908654672425151</v>
      </c>
      <c r="T14" s="10">
        <v>100.2179834490842</v>
      </c>
    </row>
    <row r="15" spans="1:20" x14ac:dyDescent="0.2">
      <c r="A15" s="9" t="s">
        <v>51</v>
      </c>
      <c r="B15" s="10">
        <v>-2.104411970172249</v>
      </c>
      <c r="C15" s="10">
        <v>-1.8867994515175419</v>
      </c>
      <c r="D15" s="10">
        <v>-5.8236077435436542</v>
      </c>
      <c r="E15" s="10">
        <v>10.301974462676361</v>
      </c>
      <c r="F15" s="10">
        <v>-3.8725136842417651</v>
      </c>
      <c r="G15" s="10">
        <v>-8.3187330994823103</v>
      </c>
      <c r="H15" s="10">
        <v>-5.3092508812688859</v>
      </c>
      <c r="I15" s="10">
        <v>-3.2530598669348829</v>
      </c>
      <c r="J15" s="10">
        <v>-12.85397581780887</v>
      </c>
      <c r="K15" s="10">
        <v>-5.0471267110711562</v>
      </c>
      <c r="L15" s="10">
        <v>3.5263119500183642</v>
      </c>
      <c r="M15" s="10">
        <v>-8.2260004921010381</v>
      </c>
      <c r="N15" s="10">
        <v>-3.764943859679478</v>
      </c>
      <c r="O15" s="10">
        <v>-8.1159577980086084</v>
      </c>
      <c r="P15" s="10">
        <v>-13.995205105981009</v>
      </c>
      <c r="Q15" s="10">
        <v>-10.71865297850953</v>
      </c>
      <c r="R15" s="10">
        <v>-0.42904286348400422</v>
      </c>
      <c r="S15" s="10">
        <v>20.757266836223089</v>
      </c>
      <c r="T15" s="10">
        <v>-189.1300074062442</v>
      </c>
    </row>
    <row r="16" spans="1:20" x14ac:dyDescent="0.2">
      <c r="A16" s="2" t="s">
        <v>52</v>
      </c>
      <c r="B16" s="8">
        <f t="shared" ref="B16:T16" si="2">N(B12)+N(B13)+N(B14)+N(B15)</f>
        <v>56.953894584044825</v>
      </c>
      <c r="C16" s="8">
        <f t="shared" si="2"/>
        <v>48.575812615838501</v>
      </c>
      <c r="D16" s="8">
        <f t="shared" si="2"/>
        <v>57.755104311819032</v>
      </c>
      <c r="E16" s="8">
        <f t="shared" si="2"/>
        <v>59.0039034245534</v>
      </c>
      <c r="F16" s="8">
        <f t="shared" si="2"/>
        <v>71.662522549479107</v>
      </c>
      <c r="G16" s="8">
        <f t="shared" si="2"/>
        <v>58.050612220673905</v>
      </c>
      <c r="H16" s="8">
        <f t="shared" si="2"/>
        <v>80.144465037952301</v>
      </c>
      <c r="I16" s="8">
        <f t="shared" si="2"/>
        <v>67.77146234376103</v>
      </c>
      <c r="J16" s="8">
        <f t="shared" si="2"/>
        <v>62.051715120484431</v>
      </c>
      <c r="K16" s="8">
        <f t="shared" si="2"/>
        <v>62.566071982759084</v>
      </c>
      <c r="L16" s="8">
        <f t="shared" si="2"/>
        <v>95.205476911435355</v>
      </c>
      <c r="M16" s="8">
        <f t="shared" si="2"/>
        <v>82.074539706247876</v>
      </c>
      <c r="N16" s="8">
        <f t="shared" si="2"/>
        <v>92.898289639789439</v>
      </c>
      <c r="O16" s="8">
        <f t="shared" si="2"/>
        <v>89.486966122923945</v>
      </c>
      <c r="P16" s="8">
        <f t="shared" si="2"/>
        <v>97.733986006031358</v>
      </c>
      <c r="Q16" s="8">
        <f t="shared" si="2"/>
        <v>78.350398193816005</v>
      </c>
      <c r="R16" s="8">
        <f t="shared" si="2"/>
        <v>114.83140593760703</v>
      </c>
      <c r="S16" s="8">
        <f t="shared" si="2"/>
        <v>102.96905080139518</v>
      </c>
      <c r="T16" s="8">
        <f t="shared" si="2"/>
        <v>150.93282820851726</v>
      </c>
    </row>
    <row r="17" spans="1:20" x14ac:dyDescent="0.2">
      <c r="A17" s="9" t="s">
        <v>53</v>
      </c>
      <c r="B17" s="10">
        <v>10.25128063730793</v>
      </c>
      <c r="C17" s="10">
        <v>9.0333923937006109</v>
      </c>
      <c r="D17" s="10">
        <v>10.337831070863791</v>
      </c>
      <c r="E17" s="10">
        <v>10.609846719182171</v>
      </c>
      <c r="F17" s="10">
        <v>12.828010687742109</v>
      </c>
      <c r="G17" s="10">
        <v>10.293319419320779</v>
      </c>
      <c r="H17" s="10">
        <v>14.29813162342648</v>
      </c>
      <c r="I17" s="10">
        <v>-15.930225513336801</v>
      </c>
      <c r="J17" s="10">
        <v>11.106893494745769</v>
      </c>
      <c r="K17" s="10">
        <v>6.3849491268915903</v>
      </c>
      <c r="L17" s="10">
        <v>16.470547505678329</v>
      </c>
      <c r="M17" s="10">
        <v>17.996308005791459</v>
      </c>
      <c r="N17" s="10">
        <v>17.14935019170921</v>
      </c>
      <c r="O17" s="10">
        <v>13.52783276477941</v>
      </c>
      <c r="P17" s="10">
        <v>17.396637144725929</v>
      </c>
      <c r="Q17" s="10">
        <v>-10.51216837274057</v>
      </c>
      <c r="R17" s="10">
        <v>19.403370768456568</v>
      </c>
      <c r="S17" s="10">
        <v>16.983667933188009</v>
      </c>
      <c r="T17" s="10">
        <v>25.73391676568448</v>
      </c>
    </row>
    <row r="18" spans="1:20" x14ac:dyDescent="0.2">
      <c r="A18" s="9" t="s">
        <v>54</v>
      </c>
      <c r="B18" s="10">
        <v>0</v>
      </c>
      <c r="C18" s="10">
        <v>0</v>
      </c>
      <c r="D18" s="10">
        <v>7.1054273576010019E-15</v>
      </c>
      <c r="E18" s="10">
        <v>0</v>
      </c>
      <c r="F18" s="10">
        <v>0</v>
      </c>
      <c r="G18" s="10">
        <v>7.1054273576010019E-15</v>
      </c>
      <c r="H18" s="10">
        <v>1.4210854715202001E-14</v>
      </c>
      <c r="I18" s="10">
        <v>5.0693825368412597E-2</v>
      </c>
      <c r="J18" s="10">
        <v>8.1604694495517549E-2</v>
      </c>
      <c r="K18" s="10">
        <v>9.8914781206715929E-3</v>
      </c>
      <c r="L18" s="10">
        <v>0.1013876507368536</v>
      </c>
      <c r="M18" s="10">
        <v>0.1050969550321099</v>
      </c>
      <c r="N18" s="10">
        <v>8.0368259730434488E-2</v>
      </c>
      <c r="O18" s="10">
        <v>4.2038782012852487E-2</v>
      </c>
      <c r="P18" s="10">
        <v>9.5205476911459641E-2</v>
      </c>
      <c r="Q18" s="10">
        <v>5.0693825368412597E-2</v>
      </c>
      <c r="R18" s="10">
        <v>-1.2364347650759559E-3</v>
      </c>
      <c r="S18" s="10">
        <v>-1.4210854715202001E-14</v>
      </c>
      <c r="T18" s="10">
        <v>0</v>
      </c>
    </row>
    <row r="19" spans="1:20" x14ac:dyDescent="0.2">
      <c r="A19" s="2" t="s">
        <v>55</v>
      </c>
      <c r="B19" s="8">
        <f t="shared" ref="B19:T19" si="3">N(B16)-N(B17)+N(B18)</f>
        <v>46.702613946736896</v>
      </c>
      <c r="C19" s="8">
        <f t="shared" si="3"/>
        <v>39.542420222137892</v>
      </c>
      <c r="D19" s="8">
        <f t="shared" si="3"/>
        <v>47.417273240955247</v>
      </c>
      <c r="E19" s="8">
        <f t="shared" si="3"/>
        <v>48.394056705371227</v>
      </c>
      <c r="F19" s="8">
        <f t="shared" si="3"/>
        <v>58.834511861736999</v>
      </c>
      <c r="G19" s="8">
        <f t="shared" si="3"/>
        <v>47.757292801353131</v>
      </c>
      <c r="H19" s="8">
        <f t="shared" si="3"/>
        <v>65.84633341452583</v>
      </c>
      <c r="I19" s="8">
        <f t="shared" si="3"/>
        <v>83.752381682466236</v>
      </c>
      <c r="J19" s="8">
        <f t="shared" si="3"/>
        <v>51.026426320234179</v>
      </c>
      <c r="K19" s="8">
        <f t="shared" si="3"/>
        <v>56.191014333988164</v>
      </c>
      <c r="L19" s="8">
        <f t="shared" si="3"/>
        <v>78.836317056493883</v>
      </c>
      <c r="M19" s="8">
        <f t="shared" si="3"/>
        <v>64.183328655488523</v>
      </c>
      <c r="N19" s="8">
        <f t="shared" si="3"/>
        <v>75.829307707810656</v>
      </c>
      <c r="O19" s="8">
        <f t="shared" si="3"/>
        <v>76.001172140157394</v>
      </c>
      <c r="P19" s="8">
        <f t="shared" si="3"/>
        <v>80.432554338216889</v>
      </c>
      <c r="Q19" s="8">
        <f t="shared" si="3"/>
        <v>88.913260391924993</v>
      </c>
      <c r="R19" s="8">
        <f t="shared" si="3"/>
        <v>95.426798734385386</v>
      </c>
      <c r="S19" s="8">
        <f t="shared" si="3"/>
        <v>85.985382868207168</v>
      </c>
      <c r="T19" s="8">
        <f t="shared" si="3"/>
        <v>125.19891144283278</v>
      </c>
    </row>
    <row r="20" spans="1:20" x14ac:dyDescent="0.2">
      <c r="A20" s="9" t="s">
        <v>56</v>
      </c>
      <c r="B20" s="10">
        <v>14.39333710033792</v>
      </c>
      <c r="C20" s="10">
        <v>10.062106118250149</v>
      </c>
      <c r="D20" s="10">
        <v>14.82732570288225</v>
      </c>
      <c r="E20" s="10">
        <v>10.9993236701835</v>
      </c>
      <c r="F20" s="10">
        <v>15.109232829321311</v>
      </c>
      <c r="G20" s="10">
        <v>10.779238281998619</v>
      </c>
      <c r="H20" s="10">
        <v>18.084094874112399</v>
      </c>
      <c r="I20" s="10">
        <v>19.44788241999958</v>
      </c>
      <c r="J20" s="10">
        <v>19.229033466579789</v>
      </c>
      <c r="K20" s="10">
        <v>19.436754507113829</v>
      </c>
      <c r="L20" s="10">
        <v>20.0636269330112</v>
      </c>
      <c r="M20" s="10">
        <v>20.778286227229501</v>
      </c>
      <c r="N20" s="10">
        <v>23.416838015917861</v>
      </c>
      <c r="O20" s="10">
        <v>21.923224819696902</v>
      </c>
      <c r="P20" s="10">
        <v>21.635135519432421</v>
      </c>
      <c r="Q20" s="10">
        <v>22.686105069753459</v>
      </c>
      <c r="R20" s="10">
        <v>21.769906908826538</v>
      </c>
      <c r="S20" s="10">
        <v>23.306795321825419</v>
      </c>
      <c r="T20" s="10">
        <v>23.520698536184881</v>
      </c>
    </row>
    <row r="21" spans="1:20" x14ac:dyDescent="0.2">
      <c r="A21" s="9" t="s">
        <v>57</v>
      </c>
      <c r="B21" s="10">
        <v>58.006100569130922</v>
      </c>
      <c r="C21" s="10">
        <v>49.519212341597253</v>
      </c>
      <c r="D21" s="10">
        <v>60.666908183590778</v>
      </c>
      <c r="E21" s="10">
        <v>65.564426288086821</v>
      </c>
      <c r="F21" s="10">
        <v>73.598779391599905</v>
      </c>
      <c r="G21" s="10">
        <v>62.209978770415077</v>
      </c>
      <c r="H21" s="10">
        <v>82.799090478586805</v>
      </c>
      <c r="I21" s="10">
        <v>68.891672240926724</v>
      </c>
      <c r="J21" s="10">
        <v>68.519505376636573</v>
      </c>
      <c r="K21" s="10">
        <v>63.905130833344657</v>
      </c>
      <c r="L21" s="10">
        <v>93.491778327029564</v>
      </c>
      <c r="M21" s="10">
        <v>86.240088429814392</v>
      </c>
      <c r="N21" s="10">
        <v>94.820945699494416</v>
      </c>
      <c r="O21" s="10">
        <v>90.320323154590199</v>
      </c>
      <c r="P21" s="10">
        <v>104.7791912974775</v>
      </c>
      <c r="Q21" s="10">
        <v>83.735071595755073</v>
      </c>
      <c r="R21" s="10">
        <v>115.04530915196651</v>
      </c>
      <c r="S21" s="10">
        <v>97.573249486570461</v>
      </c>
      <c r="T21" s="10">
        <v>158.37616549432039</v>
      </c>
    </row>
    <row r="22" spans="1:20" x14ac:dyDescent="0.2">
      <c r="A22" s="2" t="s">
        <v>58</v>
      </c>
      <c r="B22" s="8">
        <f t="shared" ref="B22:T22" si="4">N(B21)+N(B20)</f>
        <v>72.399437669468838</v>
      </c>
      <c r="C22" s="8">
        <f t="shared" si="4"/>
        <v>59.581318459847402</v>
      </c>
      <c r="D22" s="8">
        <f t="shared" si="4"/>
        <v>75.494233886473026</v>
      </c>
      <c r="E22" s="8">
        <f t="shared" si="4"/>
        <v>76.563749958270321</v>
      </c>
      <c r="F22" s="8">
        <f t="shared" si="4"/>
        <v>88.708012220921219</v>
      </c>
      <c r="G22" s="8">
        <f t="shared" si="4"/>
        <v>72.989217052413693</v>
      </c>
      <c r="H22" s="8">
        <f t="shared" si="4"/>
        <v>100.8831853526992</v>
      </c>
      <c r="I22" s="8">
        <f t="shared" si="4"/>
        <v>88.339554660926296</v>
      </c>
      <c r="J22" s="8">
        <f t="shared" si="4"/>
        <v>87.748538843216366</v>
      </c>
      <c r="K22" s="8">
        <f t="shared" si="4"/>
        <v>83.341885340458489</v>
      </c>
      <c r="L22" s="8">
        <f t="shared" si="4"/>
        <v>113.55540526004077</v>
      </c>
      <c r="M22" s="8">
        <f t="shared" si="4"/>
        <v>107.01837465704389</v>
      </c>
      <c r="N22" s="8">
        <f t="shared" si="4"/>
        <v>118.23778371541228</v>
      </c>
      <c r="O22" s="8">
        <f t="shared" si="4"/>
        <v>112.2435479742871</v>
      </c>
      <c r="P22" s="8">
        <f t="shared" si="4"/>
        <v>126.41432681690992</v>
      </c>
      <c r="Q22" s="8">
        <f t="shared" si="4"/>
        <v>106.42117666550854</v>
      </c>
      <c r="R22" s="8">
        <f t="shared" si="4"/>
        <v>136.81521606079303</v>
      </c>
      <c r="S22" s="8">
        <f t="shared" si="4"/>
        <v>120.88004480839588</v>
      </c>
      <c r="T22" s="8">
        <f t="shared" si="4"/>
        <v>181.89686403050527</v>
      </c>
    </row>
    <row r="23" spans="1:20" x14ac:dyDescent="0.2">
      <c r="A23" s="9" t="s">
        <v>59</v>
      </c>
      <c r="B23" s="10">
        <v>12.289572</v>
      </c>
      <c r="C23" s="10">
        <v>12.290148</v>
      </c>
      <c r="D23" s="10">
        <v>12.291665999999999</v>
      </c>
      <c r="E23" s="10">
        <v>12.295973999999999</v>
      </c>
      <c r="F23" s="10">
        <v>12.295607</v>
      </c>
      <c r="G23" s="10">
        <v>12.297753</v>
      </c>
      <c r="H23" s="10">
        <v>12.299075999999999</v>
      </c>
      <c r="I23" s="10">
        <v>12.298859999999999</v>
      </c>
      <c r="J23" s="10">
        <v>12.298859999999999</v>
      </c>
      <c r="K23" s="10">
        <v>12.29942</v>
      </c>
      <c r="L23" s="10">
        <v>12.29942</v>
      </c>
      <c r="M23" s="10">
        <v>12.298871999999999</v>
      </c>
      <c r="N23" s="10">
        <v>12.298871999999999</v>
      </c>
      <c r="O23" s="10">
        <v>12.298743</v>
      </c>
      <c r="P23" s="10">
        <v>12.298743</v>
      </c>
      <c r="Q23" s="10">
        <v>12.298908000000001</v>
      </c>
      <c r="R23" s="10">
        <v>12.299203</v>
      </c>
      <c r="S23" s="10">
        <v>12.29988</v>
      </c>
      <c r="T23" s="10">
        <v>12.303523</v>
      </c>
    </row>
    <row r="24" spans="1:20" x14ac:dyDescent="0.2">
      <c r="A24" s="9" t="s">
        <v>60</v>
      </c>
      <c r="B24" s="11">
        <v>3.7958547288065798</v>
      </c>
      <c r="C24" s="11">
        <v>3.2147303892173</v>
      </c>
      <c r="D24" s="11">
        <v>3.85767646706076</v>
      </c>
      <c r="E24" s="11">
        <v>3.9318625529657738</v>
      </c>
      <c r="F24" s="11">
        <v>4.7850025408734416</v>
      </c>
      <c r="G24" s="11">
        <v>3.8824051623624309</v>
      </c>
      <c r="H24" s="11">
        <v>5.3537625328118876</v>
      </c>
      <c r="I24" s="11">
        <v>6.8127555556105079</v>
      </c>
      <c r="J24" s="11">
        <v>4.1544208106808176</v>
      </c>
      <c r="K24" s="11">
        <v>4.5624442831583982</v>
      </c>
      <c r="L24" s="11">
        <v>6.4047320831329273</v>
      </c>
      <c r="M24" s="11">
        <v>5.2177547086526932</v>
      </c>
      <c r="N24" s="11">
        <v>6.169809477767048</v>
      </c>
      <c r="O24" s="11">
        <v>6.182173825417884</v>
      </c>
      <c r="P24" s="11">
        <v>6.5407399072921208</v>
      </c>
      <c r="Q24" s="11">
        <v>7.2331433757389236</v>
      </c>
      <c r="R24" s="11">
        <v>7.7648103247248619</v>
      </c>
      <c r="S24" s="11">
        <v>6.9858564227222093</v>
      </c>
      <c r="T24" s="11">
        <v>10.175858116637841</v>
      </c>
    </row>
    <row r="25" spans="1:20" x14ac:dyDescent="0.2">
      <c r="A25" s="12" t="s">
        <v>61</v>
      </c>
      <c r="B25" s="13">
        <f t="shared" ref="B25:T25" si="5">IF(N(B6)=0,"",B8/B6)</f>
        <v>0.58734999016328948</v>
      </c>
      <c r="C25" s="13">
        <f t="shared" si="5"/>
        <v>0.58684125593618885</v>
      </c>
      <c r="D25" s="13">
        <f t="shared" si="5"/>
        <v>0.5910274723564386</v>
      </c>
      <c r="E25" s="13">
        <f t="shared" si="5"/>
        <v>0.58647599184978361</v>
      </c>
      <c r="F25" s="13">
        <f t="shared" si="5"/>
        <v>0.59220670013871679</v>
      </c>
      <c r="G25" s="13">
        <f t="shared" si="5"/>
        <v>0.57992200578178643</v>
      </c>
      <c r="H25" s="13">
        <f t="shared" si="5"/>
        <v>0.59811209837790102</v>
      </c>
      <c r="I25" s="13">
        <f t="shared" si="5"/>
        <v>0.27040666644935119</v>
      </c>
      <c r="J25" s="13">
        <f t="shared" si="5"/>
        <v>0.26171179898359148</v>
      </c>
      <c r="K25" s="13">
        <f t="shared" si="5"/>
        <v>0.25646008516229635</v>
      </c>
      <c r="L25" s="13">
        <f t="shared" si="5"/>
        <v>0.29601249717332023</v>
      </c>
      <c r="M25" s="13">
        <f t="shared" si="5"/>
        <v>0.27463637892258874</v>
      </c>
      <c r="N25" s="13">
        <f t="shared" si="5"/>
        <v>0.2825409861654431</v>
      </c>
      <c r="O25" s="13">
        <f t="shared" si="5"/>
        <v>0.27954906046520284</v>
      </c>
      <c r="P25" s="13">
        <f t="shared" si="5"/>
        <v>0.29321108119983147</v>
      </c>
      <c r="Q25" s="13">
        <f t="shared" si="5"/>
        <v>0.26843346604226859</v>
      </c>
      <c r="R25" s="13">
        <f t="shared" si="5"/>
        <v>0.29913015565968998</v>
      </c>
      <c r="S25" s="13">
        <f t="shared" si="5"/>
        <v>0.61656889780939628</v>
      </c>
      <c r="T25" s="13">
        <f t="shared" si="5"/>
        <v>0.61608410164716276</v>
      </c>
    </row>
    <row r="26" spans="1:20" x14ac:dyDescent="0.2">
      <c r="A26" s="12" t="s">
        <v>62</v>
      </c>
      <c r="B26" s="13">
        <f t="shared" ref="B26:T26" si="6">IF(N(B6)=0,"",B12/B6)</f>
        <v>0.17091831158327331</v>
      </c>
      <c r="C26" s="13">
        <f t="shared" si="6"/>
        <v>0.15387984692701376</v>
      </c>
      <c r="D26" s="13">
        <f t="shared" si="6"/>
        <v>0.16970397091935402</v>
      </c>
      <c r="E26" s="13">
        <f t="shared" si="6"/>
        <v>0.14940348373729967</v>
      </c>
      <c r="F26" s="13">
        <f t="shared" si="6"/>
        <v>0.18267944169602651</v>
      </c>
      <c r="G26" s="13">
        <f t="shared" si="6"/>
        <v>0.15861766755043294</v>
      </c>
      <c r="H26" s="13">
        <f t="shared" si="6"/>
        <v>0.18835700242175693</v>
      </c>
      <c r="I26" s="13">
        <f t="shared" si="6"/>
        <v>0.16638860160438113</v>
      </c>
      <c r="J26" s="13">
        <f t="shared" si="6"/>
        <v>0.1651798089390305</v>
      </c>
      <c r="K26" s="13">
        <f t="shared" si="6"/>
        <v>0.16162723228676407</v>
      </c>
      <c r="L26" s="13">
        <f t="shared" si="6"/>
        <v>0.19654196352218575</v>
      </c>
      <c r="M26" s="13">
        <f t="shared" si="6"/>
        <v>0.18325293734367457</v>
      </c>
      <c r="N26" s="13">
        <f t="shared" si="6"/>
        <v>0.18416218202252044</v>
      </c>
      <c r="O26" s="13">
        <f t="shared" si="6"/>
        <v>0.17579022437796052</v>
      </c>
      <c r="P26" s="13">
        <f t="shared" si="6"/>
        <v>0.18900533719330104</v>
      </c>
      <c r="Q26" s="13">
        <f t="shared" si="6"/>
        <v>0.16500821106081043</v>
      </c>
      <c r="R26" s="13">
        <f t="shared" si="6"/>
        <v>0.19649316943064157</v>
      </c>
      <c r="S26" s="13">
        <f t="shared" si="6"/>
        <v>0.15921901145373321</v>
      </c>
      <c r="T26" s="13">
        <f t="shared" si="6"/>
        <v>0.35360482697578488</v>
      </c>
    </row>
    <row r="27" spans="1:20" x14ac:dyDescent="0.2">
      <c r="A27" s="12" t="s">
        <v>63</v>
      </c>
      <c r="B27" s="13">
        <f t="shared" ref="B27:T27" si="7">IF(N(B6)=0,"",B19/B6)</f>
        <v>0.13761193812344719</v>
      </c>
      <c r="C27" s="13">
        <f t="shared" si="7"/>
        <v>0.12287718812915924</v>
      </c>
      <c r="D27" s="13">
        <f t="shared" si="7"/>
        <v>0.13264067347567007</v>
      </c>
      <c r="E27" s="13">
        <f t="shared" si="7"/>
        <v>0.13425903692981081</v>
      </c>
      <c r="F27" s="13">
        <f t="shared" si="7"/>
        <v>0.14603307104012983</v>
      </c>
      <c r="G27" s="13">
        <f t="shared" si="7"/>
        <v>0.12176744860546711</v>
      </c>
      <c r="H27" s="13">
        <f t="shared" si="7"/>
        <v>0.14979171764732346</v>
      </c>
      <c r="I27" s="13">
        <f t="shared" si="7"/>
        <v>0.20073136544268652</v>
      </c>
      <c r="J27" s="13">
        <f t="shared" si="7"/>
        <v>0.12300928478814896</v>
      </c>
      <c r="K27" s="13">
        <f t="shared" si="7"/>
        <v>0.13952003340179459</v>
      </c>
      <c r="L27" s="13">
        <f t="shared" si="7"/>
        <v>0.16573050500744674</v>
      </c>
      <c r="M27" s="13">
        <f t="shared" si="7"/>
        <v>0.13638417722849286</v>
      </c>
      <c r="N27" s="13">
        <f t="shared" si="7"/>
        <v>0.1472764341855958</v>
      </c>
      <c r="O27" s="13">
        <f t="shared" si="7"/>
        <v>0.14278977604017867</v>
      </c>
      <c r="P27" s="13">
        <f t="shared" si="7"/>
        <v>0.1450877971643513</v>
      </c>
      <c r="Q27" s="13">
        <f t="shared" si="7"/>
        <v>0.17521234241829126</v>
      </c>
      <c r="R27" s="13">
        <f t="shared" si="7"/>
        <v>0.16298547302933483</v>
      </c>
      <c r="S27" s="13">
        <f t="shared" si="7"/>
        <v>0.14786095631337345</v>
      </c>
      <c r="T27" s="13">
        <f t="shared" si="7"/>
        <v>0.18033128469433363</v>
      </c>
    </row>
    <row r="28" spans="1:20" x14ac:dyDescent="0.2">
      <c r="A28" s="12" t="s">
        <v>64</v>
      </c>
      <c r="B28" s="13"/>
      <c r="C28" s="13"/>
      <c r="D28" s="13">
        <f t="shared" ref="D28:T28" si="8">IF(N(B6)=0,"",D6/B6-1)</f>
        <v>5.3355046961185204E-2</v>
      </c>
      <c r="E28" s="13">
        <f t="shared" si="8"/>
        <v>0.12009928227826694</v>
      </c>
      <c r="F28" s="13">
        <f t="shared" si="8"/>
        <v>0.12699263645387671</v>
      </c>
      <c r="G28" s="13">
        <f t="shared" si="8"/>
        <v>8.8077907287857693E-2</v>
      </c>
      <c r="H28" s="13">
        <f t="shared" si="8"/>
        <v>9.1095739065319314E-2</v>
      </c>
      <c r="I28" s="13">
        <f t="shared" si="8"/>
        <v>6.383293978934601E-2</v>
      </c>
      <c r="J28" s="13">
        <f t="shared" si="8"/>
        <v>-5.6344525169677362E-2</v>
      </c>
      <c r="K28" s="13">
        <f t="shared" si="8"/>
        <v>-3.473096834799716E-2</v>
      </c>
      <c r="L28" s="13">
        <f t="shared" si="8"/>
        <v>0.14674436280719516</v>
      </c>
      <c r="M28" s="13">
        <f t="shared" si="8"/>
        <v>0.16849793234294586</v>
      </c>
      <c r="N28" s="13">
        <f t="shared" si="8"/>
        <v>8.2380493180878922E-2</v>
      </c>
      <c r="O28" s="13">
        <f t="shared" si="8"/>
        <v>0.13100605334510362</v>
      </c>
      <c r="P28" s="13">
        <f t="shared" si="8"/>
        <v>7.6706025872854688E-2</v>
      </c>
      <c r="Q28" s="13">
        <f t="shared" si="8"/>
        <v>-4.6592284408763507E-2</v>
      </c>
      <c r="R28" s="13">
        <f t="shared" si="8"/>
        <v>5.6137549262539332E-2</v>
      </c>
      <c r="S28" s="13">
        <f t="shared" si="8"/>
        <v>0.14595952458688877</v>
      </c>
      <c r="T28" s="13">
        <f t="shared" si="8"/>
        <v>0.18579064183488803</v>
      </c>
    </row>
    <row r="30" spans="1:20" x14ac:dyDescent="0.2">
      <c r="A30" s="6" t="s">
        <v>65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">
      <c r="A31" s="14" t="s">
        <v>66</v>
      </c>
    </row>
    <row r="32" spans="1:20" x14ac:dyDescent="0.2">
      <c r="A32" s="9" t="s">
        <v>67</v>
      </c>
      <c r="B32" s="10">
        <v>89.401652124133093</v>
      </c>
      <c r="C32" s="10">
        <v>128.1811920962144</v>
      </c>
      <c r="D32" s="10">
        <v>100.83743726639111</v>
      </c>
      <c r="E32" s="10">
        <v>139.93721384262901</v>
      </c>
      <c r="F32" s="10">
        <v>136.34784371959151</v>
      </c>
      <c r="G32" s="10">
        <v>191.81801658553599</v>
      </c>
      <c r="H32" s="10">
        <v>145.08820107396721</v>
      </c>
      <c r="I32" s="10">
        <v>213.3628923671173</v>
      </c>
      <c r="J32" s="10">
        <v>142.83541693198501</v>
      </c>
      <c r="K32" s="10">
        <v>203.94002302241529</v>
      </c>
      <c r="L32" s="10">
        <v>153.27463565358559</v>
      </c>
      <c r="M32" s="10">
        <v>135.27585477826389</v>
      </c>
      <c r="N32" s="10">
        <v>103.7690240944043</v>
      </c>
      <c r="O32" s="10">
        <v>107.29780891395281</v>
      </c>
      <c r="P32" s="10">
        <v>83.777110377767912</v>
      </c>
      <c r="Q32" s="10">
        <v>137.0377743185081</v>
      </c>
      <c r="R32" s="10">
        <v>94.467325356680519</v>
      </c>
      <c r="S32" s="10">
        <v>120.13942038411081</v>
      </c>
      <c r="T32" s="10">
        <v>89.928373334058705</v>
      </c>
    </row>
    <row r="33" spans="1:20" x14ac:dyDescent="0.2">
      <c r="A33" s="9" t="s">
        <v>68</v>
      </c>
      <c r="B33" s="10">
        <v>0.47479094979209352</v>
      </c>
      <c r="C33" s="10">
        <v>0.13848069368936061</v>
      </c>
      <c r="D33" s="10">
        <v>0</v>
      </c>
      <c r="E33" s="10">
        <v>0</v>
      </c>
      <c r="F33" s="10">
        <v>0</v>
      </c>
      <c r="G33" s="10">
        <v>0</v>
      </c>
      <c r="H33" s="10">
        <v>12.55846790895389</v>
      </c>
      <c r="I33" s="10">
        <v>0</v>
      </c>
      <c r="J33" s="10">
        <v>0</v>
      </c>
      <c r="K33" s="10">
        <v>0</v>
      </c>
      <c r="L33" s="10">
        <v>0</v>
      </c>
      <c r="M33" s="10">
        <v>74.186085905014608</v>
      </c>
      <c r="N33" s="10">
        <v>0</v>
      </c>
      <c r="O33" s="10">
        <v>30.91086912708942</v>
      </c>
      <c r="P33" s="10">
        <v>0</v>
      </c>
      <c r="Q33" s="10">
        <v>0</v>
      </c>
      <c r="R33" s="10">
        <v>0</v>
      </c>
      <c r="S33" s="10">
        <v>49.49942938535591</v>
      </c>
      <c r="T33" s="10">
        <v>3.6487189917616352</v>
      </c>
    </row>
    <row r="34" spans="1:20" x14ac:dyDescent="0.2">
      <c r="A34" s="2" t="s">
        <v>69</v>
      </c>
      <c r="B34" s="8">
        <f t="shared" ref="B34:T34" si="9">N(B32)+N(B33)</f>
        <v>89.876443073925188</v>
      </c>
      <c r="C34" s="8">
        <f t="shared" si="9"/>
        <v>128.31967278990376</v>
      </c>
      <c r="D34" s="8">
        <f t="shared" si="9"/>
        <v>100.83743726639111</v>
      </c>
      <c r="E34" s="8">
        <f t="shared" si="9"/>
        <v>139.93721384262901</v>
      </c>
      <c r="F34" s="8">
        <f t="shared" si="9"/>
        <v>136.34784371959151</v>
      </c>
      <c r="G34" s="8">
        <f t="shared" si="9"/>
        <v>191.81801658553599</v>
      </c>
      <c r="H34" s="8">
        <f t="shared" si="9"/>
        <v>157.64666898292111</v>
      </c>
      <c r="I34" s="8">
        <f t="shared" si="9"/>
        <v>213.3628923671173</v>
      </c>
      <c r="J34" s="8">
        <f t="shared" si="9"/>
        <v>142.83541693198501</v>
      </c>
      <c r="K34" s="8">
        <f t="shared" si="9"/>
        <v>203.94002302241529</v>
      </c>
      <c r="L34" s="8">
        <f t="shared" si="9"/>
        <v>153.27463565358559</v>
      </c>
      <c r="M34" s="8">
        <f t="shared" si="9"/>
        <v>209.4619406832785</v>
      </c>
      <c r="N34" s="8">
        <f t="shared" si="9"/>
        <v>103.7690240944043</v>
      </c>
      <c r="O34" s="8">
        <f t="shared" si="9"/>
        <v>138.20867804104222</v>
      </c>
      <c r="P34" s="8">
        <f t="shared" si="9"/>
        <v>83.777110377767912</v>
      </c>
      <c r="Q34" s="8">
        <f t="shared" si="9"/>
        <v>137.0377743185081</v>
      </c>
      <c r="R34" s="8">
        <f t="shared" si="9"/>
        <v>94.467325356680519</v>
      </c>
      <c r="S34" s="8">
        <f t="shared" si="9"/>
        <v>169.63884976946673</v>
      </c>
      <c r="T34" s="8">
        <f t="shared" si="9"/>
        <v>93.577092325820345</v>
      </c>
    </row>
    <row r="35" spans="1:20" x14ac:dyDescent="0.2">
      <c r="A35" s="9" t="s">
        <v>70</v>
      </c>
      <c r="B35" s="10">
        <v>105.6162576334391</v>
      </c>
      <c r="C35" s="10">
        <v>92.115626433491556</v>
      </c>
      <c r="D35" s="10">
        <v>121.4240761050327</v>
      </c>
      <c r="E35" s="10">
        <v>103.34987270904089</v>
      </c>
      <c r="F35" s="10">
        <v>126.976904635023</v>
      </c>
      <c r="G35" s="10">
        <v>107.7837277766306</v>
      </c>
      <c r="H35" s="10">
        <v>140.8880321769783</v>
      </c>
      <c r="I35" s="10">
        <v>109.5951047074781</v>
      </c>
      <c r="J35" s="10">
        <v>124.5819304950561</v>
      </c>
      <c r="K35" s="10">
        <v>100.8980225698802</v>
      </c>
      <c r="L35" s="10">
        <v>149.5134010982014</v>
      </c>
      <c r="M35" s="10">
        <v>122.0262198356284</v>
      </c>
      <c r="N35" s="10">
        <v>164.40378497410279</v>
      </c>
      <c r="O35" s="10">
        <v>137.58798778897031</v>
      </c>
      <c r="P35" s="10">
        <v>171.3970600054156</v>
      </c>
      <c r="Q35" s="10">
        <v>139.21019020075991</v>
      </c>
      <c r="R35" s="10">
        <v>188.46604193739441</v>
      </c>
      <c r="S35" s="10">
        <v>156.8627693418581</v>
      </c>
      <c r="T35" s="10">
        <v>207.31178062679831</v>
      </c>
    </row>
    <row r="36" spans="1:20" x14ac:dyDescent="0.2">
      <c r="A36" s="9" t="s">
        <v>71</v>
      </c>
      <c r="B36" s="10">
        <v>102.255627941942</v>
      </c>
      <c r="C36" s="10">
        <v>99.13981233393136</v>
      </c>
      <c r="D36" s="10">
        <v>104.5689973874133</v>
      </c>
      <c r="E36" s="10">
        <v>117.62451207193079</v>
      </c>
      <c r="F36" s="10">
        <v>119.10081518144059</v>
      </c>
      <c r="G36" s="10">
        <v>121.0506728059774</v>
      </c>
      <c r="H36" s="10">
        <v>127.5778119308536</v>
      </c>
      <c r="I36" s="10">
        <v>127.9400873170231</v>
      </c>
      <c r="J36" s="10">
        <v>141.3492223443545</v>
      </c>
      <c r="K36" s="10">
        <v>130.39564676047911</v>
      </c>
      <c r="L36" s="10">
        <v>139.34743445968419</v>
      </c>
      <c r="M36" s="10">
        <v>156.26309848079259</v>
      </c>
      <c r="N36" s="10">
        <v>186.4358160531271</v>
      </c>
      <c r="O36" s="10">
        <v>217.73368926168769</v>
      </c>
      <c r="P36" s="10">
        <v>202.278254698143</v>
      </c>
      <c r="Q36" s="10">
        <v>188.5773210662519</v>
      </c>
      <c r="R36" s="10">
        <v>188.5674295881312</v>
      </c>
      <c r="S36" s="10">
        <v>201.59203340352161</v>
      </c>
      <c r="T36" s="10">
        <v>199.8795712538809</v>
      </c>
    </row>
    <row r="37" spans="1:20" x14ac:dyDescent="0.2">
      <c r="A37" s="9" t="s">
        <v>72</v>
      </c>
      <c r="B37" s="10">
        <v>10.979540713942161</v>
      </c>
      <c r="C37" s="10">
        <v>10.567807937169331</v>
      </c>
      <c r="D37" s="10">
        <v>10.791602629649461</v>
      </c>
      <c r="E37" s="10">
        <v>13.113627118476421</v>
      </c>
      <c r="F37" s="10">
        <v>9.6565555153027347</v>
      </c>
      <c r="G37" s="10">
        <v>9.9743192499292146</v>
      </c>
      <c r="H37" s="10">
        <v>18.08038556981715</v>
      </c>
      <c r="I37" s="10">
        <v>12.63759973391924</v>
      </c>
      <c r="J37" s="10">
        <v>17.85164513827668</v>
      </c>
      <c r="K37" s="10">
        <v>11.509971228163019</v>
      </c>
      <c r="L37" s="10">
        <v>11.570556531652111</v>
      </c>
      <c r="M37" s="10">
        <v>17.041780367146941</v>
      </c>
      <c r="N37" s="10">
        <v>15.12036074220706</v>
      </c>
      <c r="O37" s="10">
        <v>18.412986521624621</v>
      </c>
      <c r="P37" s="10">
        <v>18.497064085650312</v>
      </c>
      <c r="Q37" s="10">
        <v>17.144404452648871</v>
      </c>
      <c r="R37" s="10">
        <v>20.449394579717271</v>
      </c>
      <c r="S37" s="10">
        <v>22.056759774325929</v>
      </c>
      <c r="T37" s="10">
        <v>30.717985303736381</v>
      </c>
    </row>
    <row r="38" spans="1:20" x14ac:dyDescent="0.2">
      <c r="A38" s="2" t="s">
        <v>73</v>
      </c>
      <c r="B38" s="8">
        <f t="shared" ref="B38:T38" si="10">N(B34)+N(B35)+N(B36)+N(B37)</f>
        <v>308.72786936324849</v>
      </c>
      <c r="C38" s="8">
        <f t="shared" si="10"/>
        <v>330.14291949449597</v>
      </c>
      <c r="D38" s="8">
        <f t="shared" si="10"/>
        <v>337.62211338848658</v>
      </c>
      <c r="E38" s="8">
        <f t="shared" si="10"/>
        <v>374.02522574207711</v>
      </c>
      <c r="F38" s="8">
        <f t="shared" si="10"/>
        <v>392.08211905135778</v>
      </c>
      <c r="G38" s="8">
        <f t="shared" si="10"/>
        <v>430.62673641807322</v>
      </c>
      <c r="H38" s="8">
        <f t="shared" si="10"/>
        <v>444.19289866057022</v>
      </c>
      <c r="I38" s="8">
        <f t="shared" si="10"/>
        <v>463.53568412553767</v>
      </c>
      <c r="J38" s="8">
        <f t="shared" si="10"/>
        <v>426.61821490967236</v>
      </c>
      <c r="K38" s="8">
        <f t="shared" si="10"/>
        <v>446.74366358093761</v>
      </c>
      <c r="L38" s="8">
        <f t="shared" si="10"/>
        <v>453.70602774312334</v>
      </c>
      <c r="M38" s="8">
        <f t="shared" si="10"/>
        <v>504.79303936684647</v>
      </c>
      <c r="N38" s="8">
        <f t="shared" si="10"/>
        <v>469.72898586384127</v>
      </c>
      <c r="O38" s="8">
        <f t="shared" si="10"/>
        <v>511.94334161332489</v>
      </c>
      <c r="P38" s="8">
        <f t="shared" si="10"/>
        <v>475.94948916697683</v>
      </c>
      <c r="Q38" s="8">
        <f t="shared" si="10"/>
        <v>481.96969003816878</v>
      </c>
      <c r="R38" s="8">
        <f t="shared" si="10"/>
        <v>491.9501914619234</v>
      </c>
      <c r="S38" s="8">
        <f t="shared" si="10"/>
        <v>550.15041228917232</v>
      </c>
      <c r="T38" s="8">
        <f t="shared" si="10"/>
        <v>531.48642951023589</v>
      </c>
    </row>
    <row r="39" spans="1:20" x14ac:dyDescent="0.2">
      <c r="A39" s="9" t="s">
        <v>74</v>
      </c>
      <c r="B39" s="10">
        <v>207.20544723700101</v>
      </c>
      <c r="C39" s="10">
        <v>205.7575821270882</v>
      </c>
      <c r="D39" s="10">
        <v>201.00225402057669</v>
      </c>
      <c r="E39" s="10">
        <v>202.80744877759881</v>
      </c>
      <c r="F39" s="10">
        <v>201.22852158258701</v>
      </c>
      <c r="G39" s="10">
        <v>200.67212593829939</v>
      </c>
      <c r="H39" s="10">
        <v>222.96257188322619</v>
      </c>
      <c r="I39" s="10">
        <v>232.87259652537099</v>
      </c>
      <c r="J39" s="10">
        <v>230.3032850835273</v>
      </c>
      <c r="K39" s="10">
        <v>230.8065140329164</v>
      </c>
      <c r="L39" s="10">
        <v>231.7981347145134</v>
      </c>
      <c r="M39" s="10">
        <v>248.21056978623281</v>
      </c>
      <c r="N39" s="10">
        <v>260.82344082485042</v>
      </c>
      <c r="O39" s="10">
        <v>268.31499906649168</v>
      </c>
      <c r="P39" s="10">
        <v>268.16168115562141</v>
      </c>
      <c r="Q39" s="10">
        <v>276.0637357392705</v>
      </c>
      <c r="R39" s="10">
        <v>285.84640760061183</v>
      </c>
      <c r="S39" s="10">
        <v>254.29630169997421</v>
      </c>
      <c r="T39" s="10">
        <v>341.1706811642764</v>
      </c>
    </row>
    <row r="40" spans="1:20" x14ac:dyDescent="0.2">
      <c r="A40" s="9" t="s">
        <v>75</v>
      </c>
      <c r="B40" s="10">
        <v>1.53812484776397</v>
      </c>
      <c r="C40" s="10">
        <v>2.2589663158076951</v>
      </c>
      <c r="D40" s="10">
        <v>2.3071872716459541</v>
      </c>
      <c r="E40" s="10">
        <v>1.9733498850733879</v>
      </c>
      <c r="F40" s="10">
        <v>1.99807858037506</v>
      </c>
      <c r="G40" s="10">
        <v>2.2404197943314408</v>
      </c>
      <c r="H40" s="10">
        <v>2.2738035329886981</v>
      </c>
      <c r="I40" s="10">
        <v>2.330679532182542</v>
      </c>
      <c r="J40" s="10">
        <v>2.318315184531706</v>
      </c>
      <c r="K40" s="10">
        <v>3.5374398629041131</v>
      </c>
      <c r="L40" s="10">
        <v>3.690757773774477</v>
      </c>
      <c r="M40" s="10">
        <v>5.9299411333408338</v>
      </c>
      <c r="N40" s="10">
        <v>5.4390765316026526</v>
      </c>
      <c r="O40" s="10">
        <v>8.4089928373334057</v>
      </c>
      <c r="P40" s="10">
        <v>7.9601670176080672</v>
      </c>
      <c r="Q40" s="10">
        <v>7.2826007663422674</v>
      </c>
      <c r="R40" s="10">
        <v>8.976516394506767</v>
      </c>
      <c r="S40" s="10">
        <v>9.3449739545016737</v>
      </c>
      <c r="T40" s="10">
        <v>4.63910323859358</v>
      </c>
    </row>
    <row r="41" spans="1:20" x14ac:dyDescent="0.2">
      <c r="A41" s="9" t="s">
        <v>76</v>
      </c>
      <c r="B41" s="10">
        <v>13.147010857133671</v>
      </c>
      <c r="C41" s="10">
        <v>12.57701443043014</v>
      </c>
      <c r="D41" s="10">
        <v>14.41559292610942</v>
      </c>
      <c r="E41" s="10">
        <v>20.262692930189651</v>
      </c>
      <c r="F41" s="10">
        <v>19.923909804556761</v>
      </c>
      <c r="G41" s="10">
        <v>17.9406684413627</v>
      </c>
      <c r="H41" s="10">
        <v>17.09989280110587</v>
      </c>
      <c r="I41" s="10">
        <v>14.284530841010559</v>
      </c>
      <c r="J41" s="10">
        <v>15.89189603561921</v>
      </c>
      <c r="K41" s="10">
        <v>21.72539525728353</v>
      </c>
      <c r="L41" s="10">
        <v>22.072833426272009</v>
      </c>
      <c r="M41" s="10">
        <v>22.867860980220751</v>
      </c>
      <c r="N41" s="10">
        <v>21.47068969567631</v>
      </c>
      <c r="O41" s="10">
        <v>27.621952651967099</v>
      </c>
      <c r="P41" s="10">
        <v>27.693665868341949</v>
      </c>
      <c r="Q41" s="10">
        <v>28.89053472094286</v>
      </c>
      <c r="R41" s="10">
        <v>27.53292934888109</v>
      </c>
      <c r="S41" s="10">
        <v>21.506546303863729</v>
      </c>
      <c r="T41" s="10">
        <v>28.44541820551277</v>
      </c>
    </row>
    <row r="42" spans="1:20" x14ac:dyDescent="0.2">
      <c r="A42" s="9" t="s">
        <v>77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13.950693454437999</v>
      </c>
      <c r="K42" s="10">
        <v>39.139342488720622</v>
      </c>
      <c r="L42" s="10">
        <v>15.12901578556265</v>
      </c>
      <c r="M42" s="10">
        <v>35.310104021256777</v>
      </c>
      <c r="N42" s="10">
        <v>9.5477492559753809</v>
      </c>
      <c r="O42" s="10">
        <v>35.040561242468563</v>
      </c>
      <c r="P42" s="10">
        <v>15.543221431865639</v>
      </c>
      <c r="Q42" s="10">
        <v>49.887669901592147</v>
      </c>
      <c r="R42" s="10">
        <v>25.461901117366089</v>
      </c>
      <c r="S42" s="10">
        <v>108.9484493253394</v>
      </c>
      <c r="T42" s="10">
        <v>26.887510401507459</v>
      </c>
    </row>
    <row r="43" spans="1:20" x14ac:dyDescent="0.2">
      <c r="A43" s="2" t="s">
        <v>78</v>
      </c>
      <c r="B43" s="8">
        <f t="shared" ref="B43:T43" si="11">N(B39)+N(B40)+N(B41)+N(B42)</f>
        <v>221.89058294189866</v>
      </c>
      <c r="C43" s="8">
        <f t="shared" si="11"/>
        <v>220.59356287332605</v>
      </c>
      <c r="D43" s="8">
        <f t="shared" si="11"/>
        <v>217.72503421833204</v>
      </c>
      <c r="E43" s="8">
        <f t="shared" si="11"/>
        <v>225.04349159286184</v>
      </c>
      <c r="F43" s="8">
        <f t="shared" si="11"/>
        <v>223.15050996751881</v>
      </c>
      <c r="G43" s="8">
        <f t="shared" si="11"/>
        <v>220.85321417399354</v>
      </c>
      <c r="H43" s="8">
        <f t="shared" si="11"/>
        <v>242.33626821732076</v>
      </c>
      <c r="I43" s="8">
        <f t="shared" si="11"/>
        <v>249.48780689856409</v>
      </c>
      <c r="J43" s="8">
        <f t="shared" si="11"/>
        <v>262.46418975811622</v>
      </c>
      <c r="K43" s="8">
        <f t="shared" si="11"/>
        <v>295.20869164182466</v>
      </c>
      <c r="L43" s="8">
        <f t="shared" si="11"/>
        <v>272.69074170012254</v>
      </c>
      <c r="M43" s="8">
        <f t="shared" si="11"/>
        <v>312.31847592105117</v>
      </c>
      <c r="N43" s="8">
        <f t="shared" si="11"/>
        <v>297.28095630810475</v>
      </c>
      <c r="O43" s="8">
        <f t="shared" si="11"/>
        <v>339.38650579826077</v>
      </c>
      <c r="P43" s="8">
        <f t="shared" si="11"/>
        <v>319.35873547343704</v>
      </c>
      <c r="Q43" s="8">
        <f t="shared" si="11"/>
        <v>362.12454112814783</v>
      </c>
      <c r="R43" s="8">
        <f t="shared" si="11"/>
        <v>347.81775446136578</v>
      </c>
      <c r="S43" s="8">
        <f t="shared" si="11"/>
        <v>394.09627128367902</v>
      </c>
      <c r="T43" s="8">
        <f t="shared" si="11"/>
        <v>401.14271300989026</v>
      </c>
    </row>
    <row r="44" spans="1:20" x14ac:dyDescent="0.2">
      <c r="A44" s="9" t="s">
        <v>79</v>
      </c>
      <c r="B44" s="10">
        <v>6.5605228635332651</v>
      </c>
      <c r="C44" s="10">
        <v>7.9700584957288356</v>
      </c>
      <c r="D44" s="10">
        <v>3.6957035128348248</v>
      </c>
      <c r="E44" s="10">
        <v>9.1162335229612381</v>
      </c>
      <c r="F44" s="10">
        <v>12.279033652044969</v>
      </c>
      <c r="G44" s="10">
        <v>5.6505068764319049</v>
      </c>
      <c r="H44" s="10">
        <v>2.8462728292223569</v>
      </c>
      <c r="I44" s="10">
        <v>31.31271042574167</v>
      </c>
      <c r="J44" s="10">
        <v>0</v>
      </c>
      <c r="K44" s="10">
        <v>0</v>
      </c>
      <c r="L44" s="10">
        <v>-1.13686837721616E-13</v>
      </c>
      <c r="M44" s="10">
        <v>0</v>
      </c>
      <c r="N44" s="10">
        <v>0</v>
      </c>
      <c r="O44" s="10">
        <v>-1.13686837721616E-13</v>
      </c>
      <c r="P44" s="10">
        <v>0</v>
      </c>
      <c r="Q44" s="10">
        <v>0</v>
      </c>
      <c r="R44" s="10">
        <v>0</v>
      </c>
      <c r="S44" s="10">
        <v>0</v>
      </c>
      <c r="T44" s="10">
        <v>1.13686837721616E-13</v>
      </c>
    </row>
    <row r="45" spans="1:20" x14ac:dyDescent="0.2">
      <c r="A45" s="2" t="s">
        <v>80</v>
      </c>
      <c r="B45" s="8">
        <f t="shared" ref="B45:T45" si="12">N(B38)+N(B43)+N(B44)</f>
        <v>537.17897516868038</v>
      </c>
      <c r="C45" s="8">
        <f t="shared" si="12"/>
        <v>558.7065408635508</v>
      </c>
      <c r="D45" s="8">
        <f t="shared" si="12"/>
        <v>559.04285111965351</v>
      </c>
      <c r="E45" s="8">
        <f t="shared" si="12"/>
        <v>608.18495085790016</v>
      </c>
      <c r="F45" s="8">
        <f t="shared" si="12"/>
        <v>627.51166267092162</v>
      </c>
      <c r="G45" s="8">
        <f t="shared" si="12"/>
        <v>657.13045746849866</v>
      </c>
      <c r="H45" s="8">
        <f t="shared" si="12"/>
        <v>689.37543970711329</v>
      </c>
      <c r="I45" s="8">
        <f t="shared" si="12"/>
        <v>744.33620144984343</v>
      </c>
      <c r="J45" s="8">
        <f t="shared" si="12"/>
        <v>689.08240466778852</v>
      </c>
      <c r="K45" s="8">
        <f t="shared" si="12"/>
        <v>741.95235522276221</v>
      </c>
      <c r="L45" s="8">
        <f t="shared" si="12"/>
        <v>726.39676944324572</v>
      </c>
      <c r="M45" s="8">
        <f t="shared" si="12"/>
        <v>817.11151528789765</v>
      </c>
      <c r="N45" s="8">
        <f t="shared" si="12"/>
        <v>767.00994217194602</v>
      </c>
      <c r="O45" s="8">
        <f t="shared" si="12"/>
        <v>851.32984741158555</v>
      </c>
      <c r="P45" s="8">
        <f t="shared" si="12"/>
        <v>795.30822464041387</v>
      </c>
      <c r="Q45" s="8">
        <f t="shared" si="12"/>
        <v>844.0942311663166</v>
      </c>
      <c r="R45" s="8">
        <f t="shared" si="12"/>
        <v>839.76794592328918</v>
      </c>
      <c r="S45" s="8">
        <f t="shared" si="12"/>
        <v>944.24668357285134</v>
      </c>
      <c r="T45" s="8">
        <f t="shared" si="12"/>
        <v>932.62914252012627</v>
      </c>
    </row>
    <row r="46" spans="1:20" x14ac:dyDescent="0.2">
      <c r="A46" s="14" t="s">
        <v>81</v>
      </c>
    </row>
    <row r="47" spans="1:20" x14ac:dyDescent="0.2">
      <c r="A47" s="9" t="s">
        <v>82</v>
      </c>
      <c r="B47" s="10">
        <v>27.504491349284169</v>
      </c>
      <c r="C47" s="10">
        <v>20.330696842269251</v>
      </c>
      <c r="D47" s="10">
        <v>27.66893717304028</v>
      </c>
      <c r="E47" s="10">
        <v>21.152925961049831</v>
      </c>
      <c r="F47" s="10">
        <v>31.087679298496369</v>
      </c>
      <c r="G47" s="10">
        <v>22.761527590423569</v>
      </c>
      <c r="H47" s="10">
        <v>36.487189917616362</v>
      </c>
      <c r="I47" s="10">
        <v>19.36256842120881</v>
      </c>
      <c r="J47" s="10">
        <v>37.790392160014441</v>
      </c>
      <c r="K47" s="10">
        <v>23.28330306128883</v>
      </c>
      <c r="L47" s="10">
        <v>31.35598564251951</v>
      </c>
      <c r="M47" s="10">
        <v>31.616873377952139</v>
      </c>
      <c r="N47" s="10">
        <v>45.366027965681518</v>
      </c>
      <c r="O47" s="10">
        <v>32.629513450555592</v>
      </c>
      <c r="P47" s="10">
        <v>38.906892752884907</v>
      </c>
      <c r="Q47" s="10">
        <v>26.750266142583179</v>
      </c>
      <c r="R47" s="10">
        <v>43.311073386112611</v>
      </c>
      <c r="S47" s="10">
        <v>48.635161484562502</v>
      </c>
      <c r="T47" s="10">
        <v>62.835614761547369</v>
      </c>
    </row>
    <row r="48" spans="1:20" x14ac:dyDescent="0.2">
      <c r="A48" s="9" t="s">
        <v>83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-1.8089040613172731</v>
      </c>
      <c r="H48" s="10">
        <v>-6.5407399072921208</v>
      </c>
      <c r="I48" s="10">
        <v>-4.965522016575644</v>
      </c>
      <c r="J48" s="10">
        <v>5.5008982698568332</v>
      </c>
      <c r="K48" s="10">
        <v>6.7311508611149922</v>
      </c>
      <c r="L48" s="10">
        <v>5.1225492317412593</v>
      </c>
      <c r="M48" s="10">
        <v>11.72882018158281</v>
      </c>
      <c r="N48" s="10">
        <v>12.750115297541839</v>
      </c>
      <c r="O48" s="10">
        <v>24.247722178054019</v>
      </c>
      <c r="P48" s="10">
        <v>24.09316783241858</v>
      </c>
      <c r="Q48" s="10">
        <v>11.387564186419739</v>
      </c>
      <c r="R48" s="10">
        <v>17.704509401231739</v>
      </c>
      <c r="S48" s="10">
        <v>0</v>
      </c>
      <c r="T48" s="10">
        <v>0</v>
      </c>
    </row>
    <row r="49" spans="1:20" x14ac:dyDescent="0.2">
      <c r="A49" s="9" t="s">
        <v>84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1.8089040613172731</v>
      </c>
      <c r="H49" s="10">
        <v>6.5407399072921208</v>
      </c>
      <c r="I49" s="10">
        <v>0.2361590401309632</v>
      </c>
      <c r="J49" s="10">
        <v>4.9185374955024681</v>
      </c>
      <c r="K49" s="10">
        <v>0.54774060093202459</v>
      </c>
      <c r="L49" s="10">
        <v>5.7123286146861254</v>
      </c>
      <c r="M49" s="10">
        <v>4.3831612422212798</v>
      </c>
      <c r="N49" s="10">
        <v>4.299083678195597</v>
      </c>
      <c r="O49" s="10">
        <v>2.2218732728551869</v>
      </c>
      <c r="P49" s="10">
        <v>15.58278734434832</v>
      </c>
      <c r="Q49" s="10">
        <v>4.7157621940287617</v>
      </c>
      <c r="R49" s="10">
        <v>6.0214373059570194</v>
      </c>
      <c r="S49" s="10">
        <v>9.3511561283270908</v>
      </c>
      <c r="T49" s="10">
        <v>5.9262318290455838</v>
      </c>
    </row>
    <row r="50" spans="1:20" x14ac:dyDescent="0.2">
      <c r="A50" s="9" t="s">
        <v>85</v>
      </c>
      <c r="B50" s="10">
        <v>58.384449607246488</v>
      </c>
      <c r="C50" s="10">
        <v>45.863074741245107</v>
      </c>
      <c r="D50" s="10">
        <v>56.237998855061413</v>
      </c>
      <c r="E50" s="10">
        <v>57.337189361220702</v>
      </c>
      <c r="F50" s="10">
        <v>60.265066884938612</v>
      </c>
      <c r="G50" s="10">
        <v>65.135383424602821</v>
      </c>
      <c r="H50" s="10">
        <v>85.379529833316226</v>
      </c>
      <c r="I50" s="10">
        <v>81.497124670953795</v>
      </c>
      <c r="J50" s="10">
        <v>72.342561670274989</v>
      </c>
      <c r="K50" s="10">
        <v>66.329779407673556</v>
      </c>
      <c r="L50" s="10">
        <v>88.147907272338358</v>
      </c>
      <c r="M50" s="10">
        <v>93.788522670649627</v>
      </c>
      <c r="N50" s="10">
        <v>104.0806056552053</v>
      </c>
      <c r="O50" s="10">
        <v>106.1343238000091</v>
      </c>
      <c r="P50" s="10">
        <v>109.53451940398899</v>
      </c>
      <c r="Q50" s="10">
        <v>97.241884969528058</v>
      </c>
      <c r="R50" s="10">
        <v>113.51831221708829</v>
      </c>
      <c r="S50" s="10">
        <v>134.06167583895191</v>
      </c>
      <c r="T50" s="10">
        <v>154.70024493772689</v>
      </c>
    </row>
    <row r="51" spans="1:20" x14ac:dyDescent="0.2">
      <c r="A51" s="2" t="s">
        <v>86</v>
      </c>
      <c r="B51" s="8">
        <f t="shared" ref="B51:T51" si="13">N(B47)+N(B48)+N(B49)+N(B50)</f>
        <v>85.888940956530661</v>
      </c>
      <c r="C51" s="8">
        <f t="shared" si="13"/>
        <v>66.193771583514362</v>
      </c>
      <c r="D51" s="8">
        <f t="shared" si="13"/>
        <v>83.906936028101697</v>
      </c>
      <c r="E51" s="8">
        <f t="shared" si="13"/>
        <v>78.490115322270526</v>
      </c>
      <c r="F51" s="8">
        <f t="shared" si="13"/>
        <v>91.352746183434988</v>
      </c>
      <c r="G51" s="8">
        <f t="shared" si="13"/>
        <v>87.89691101502639</v>
      </c>
      <c r="H51" s="8">
        <f t="shared" si="13"/>
        <v>121.86671975093259</v>
      </c>
      <c r="I51" s="8">
        <f t="shared" si="13"/>
        <v>96.130330115717925</v>
      </c>
      <c r="J51" s="8">
        <f t="shared" si="13"/>
        <v>120.55238959564873</v>
      </c>
      <c r="K51" s="8">
        <f t="shared" si="13"/>
        <v>96.891973931009403</v>
      </c>
      <c r="L51" s="8">
        <f t="shared" si="13"/>
        <v>130.33877076128525</v>
      </c>
      <c r="M51" s="8">
        <f t="shared" si="13"/>
        <v>141.51737747240585</v>
      </c>
      <c r="N51" s="8">
        <f t="shared" si="13"/>
        <v>166.49583259662427</v>
      </c>
      <c r="O51" s="8">
        <f t="shared" si="13"/>
        <v>165.2334327014739</v>
      </c>
      <c r="P51" s="8">
        <f t="shared" si="13"/>
        <v>188.1173673336408</v>
      </c>
      <c r="Q51" s="8">
        <f t="shared" si="13"/>
        <v>140.09547749255972</v>
      </c>
      <c r="R51" s="8">
        <f t="shared" si="13"/>
        <v>180.55533231038964</v>
      </c>
      <c r="S51" s="8">
        <f t="shared" si="13"/>
        <v>192.04799345184151</v>
      </c>
      <c r="T51" s="8">
        <f t="shared" si="13"/>
        <v>223.46209152831983</v>
      </c>
    </row>
    <row r="52" spans="1:20" x14ac:dyDescent="0.2">
      <c r="A52" s="9" t="s">
        <v>87</v>
      </c>
      <c r="B52" s="10">
        <v>0</v>
      </c>
      <c r="C52" s="10">
        <v>0</v>
      </c>
      <c r="D52" s="10">
        <v>0</v>
      </c>
      <c r="E52" s="10">
        <v>1.8731986691016189</v>
      </c>
      <c r="F52" s="10">
        <v>1.7767567574251</v>
      </c>
      <c r="G52" s="10">
        <v>0</v>
      </c>
      <c r="H52" s="10">
        <v>0</v>
      </c>
      <c r="I52" s="10">
        <v>0</v>
      </c>
      <c r="J52" s="10">
        <v>10.403362113413211</v>
      </c>
      <c r="K52" s="10">
        <v>0</v>
      </c>
      <c r="L52" s="10">
        <v>10.807676281595541</v>
      </c>
      <c r="M52" s="10">
        <v>1.517105456757549</v>
      </c>
      <c r="N52" s="10">
        <v>8.7737410930330597</v>
      </c>
      <c r="O52" s="10">
        <v>1.86330719098095</v>
      </c>
      <c r="P52" s="10">
        <v>9.2584235209458221</v>
      </c>
      <c r="Q52" s="10">
        <v>13.61067389404001</v>
      </c>
      <c r="R52" s="10">
        <v>17.452276709154681</v>
      </c>
      <c r="S52" s="10">
        <v>7.1453565074179899</v>
      </c>
      <c r="T52" s="10">
        <v>11.05249036508209</v>
      </c>
    </row>
    <row r="53" spans="1:20" x14ac:dyDescent="0.2">
      <c r="A53" s="9" t="s">
        <v>88</v>
      </c>
      <c r="B53" s="10">
        <v>57.778596572355539</v>
      </c>
      <c r="C53" s="10">
        <v>36.311616180974482</v>
      </c>
      <c r="D53" s="10">
        <v>24.624834781404509</v>
      </c>
      <c r="E53" s="10">
        <v>0</v>
      </c>
      <c r="F53" s="10">
        <v>22.971721500487771</v>
      </c>
      <c r="G53" s="10">
        <v>24.853575212944978</v>
      </c>
      <c r="H53" s="10">
        <v>30.164062528978938</v>
      </c>
      <c r="I53" s="10">
        <v>0.10015121597176969</v>
      </c>
      <c r="J53" s="10">
        <v>9.264605694771241</v>
      </c>
      <c r="K53" s="10">
        <v>40.118598822666819</v>
      </c>
      <c r="L53" s="10">
        <v>11.176133841590451</v>
      </c>
      <c r="M53" s="10">
        <v>41.843425319958413</v>
      </c>
      <c r="N53" s="10">
        <v>11.30719592668931</v>
      </c>
      <c r="O53" s="10">
        <v>39.114613793418947</v>
      </c>
      <c r="P53" s="10">
        <v>11.33316105675606</v>
      </c>
      <c r="Q53" s="10">
        <v>34.473037685295203</v>
      </c>
      <c r="R53" s="10">
        <v>9.1706366526248875</v>
      </c>
      <c r="S53" s="10">
        <v>27.011153878015811</v>
      </c>
      <c r="T53" s="10">
        <v>27.25596796150236</v>
      </c>
    </row>
    <row r="54" spans="1:20" x14ac:dyDescent="0.2">
      <c r="A54" s="2" t="s">
        <v>89</v>
      </c>
      <c r="B54" s="8">
        <f t="shared" ref="B54:T54" si="14">N(B52)+N(B53)</f>
        <v>57.778596572355539</v>
      </c>
      <c r="C54" s="8">
        <f t="shared" si="14"/>
        <v>36.311616180974482</v>
      </c>
      <c r="D54" s="8">
        <f t="shared" si="14"/>
        <v>24.624834781404509</v>
      </c>
      <c r="E54" s="8">
        <f t="shared" si="14"/>
        <v>1.8731986691016189</v>
      </c>
      <c r="F54" s="8">
        <f t="shared" si="14"/>
        <v>24.748478257912872</v>
      </c>
      <c r="G54" s="8">
        <f t="shared" si="14"/>
        <v>24.853575212944978</v>
      </c>
      <c r="H54" s="8">
        <f t="shared" si="14"/>
        <v>30.164062528978938</v>
      </c>
      <c r="I54" s="8">
        <f t="shared" si="14"/>
        <v>0.10015121597176969</v>
      </c>
      <c r="J54" s="8">
        <f t="shared" si="14"/>
        <v>19.66796780818445</v>
      </c>
      <c r="K54" s="8">
        <f t="shared" si="14"/>
        <v>40.118598822666819</v>
      </c>
      <c r="L54" s="8">
        <f t="shared" si="14"/>
        <v>21.983810123185989</v>
      </c>
      <c r="M54" s="8">
        <f t="shared" si="14"/>
        <v>43.360530776715962</v>
      </c>
      <c r="N54" s="8">
        <f t="shared" si="14"/>
        <v>20.08093701972237</v>
      </c>
      <c r="O54" s="8">
        <f t="shared" si="14"/>
        <v>40.977920984399894</v>
      </c>
      <c r="P54" s="8">
        <f t="shared" si="14"/>
        <v>20.59158457770188</v>
      </c>
      <c r="Q54" s="8">
        <f t="shared" si="14"/>
        <v>48.083711579335215</v>
      </c>
      <c r="R54" s="8">
        <f t="shared" si="14"/>
        <v>26.622913361779567</v>
      </c>
      <c r="S54" s="8">
        <f t="shared" si="14"/>
        <v>34.156510385433805</v>
      </c>
      <c r="T54" s="8">
        <f t="shared" si="14"/>
        <v>38.30845832658445</v>
      </c>
    </row>
    <row r="55" spans="1:20" x14ac:dyDescent="0.2">
      <c r="A55" s="9" t="s">
        <v>90</v>
      </c>
      <c r="B55" s="10">
        <v>-2.8421709430404007E-14</v>
      </c>
      <c r="C55" s="10">
        <v>0</v>
      </c>
      <c r="D55" s="10">
        <v>0</v>
      </c>
      <c r="E55" s="10">
        <v>16.370396289706559</v>
      </c>
      <c r="F55" s="10">
        <v>0</v>
      </c>
      <c r="G55" s="10">
        <v>3.757525251088992</v>
      </c>
      <c r="H55" s="10">
        <v>0</v>
      </c>
      <c r="I55" s="10">
        <v>20.807960661591519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-2.8421709430404007E-14</v>
      </c>
      <c r="P55" s="10">
        <v>2.8421709430404007E-14</v>
      </c>
      <c r="Q55" s="10">
        <v>0</v>
      </c>
      <c r="R55" s="10">
        <v>-2.8421709430404007E-14</v>
      </c>
      <c r="S55" s="10">
        <v>0</v>
      </c>
      <c r="T55" s="10">
        <v>0</v>
      </c>
    </row>
    <row r="56" spans="1:20" x14ac:dyDescent="0.2">
      <c r="A56" s="2" t="s">
        <v>91</v>
      </c>
      <c r="B56" s="8">
        <f t="shared" ref="B56:T56" si="15">N(B51)+N(B54)+N(B55)</f>
        <v>143.66753752888619</v>
      </c>
      <c r="C56" s="8">
        <f t="shared" si="15"/>
        <v>102.50538776448884</v>
      </c>
      <c r="D56" s="8">
        <f t="shared" si="15"/>
        <v>108.53177080950621</v>
      </c>
      <c r="E56" s="8">
        <f t="shared" si="15"/>
        <v>96.7337102810787</v>
      </c>
      <c r="F56" s="8">
        <f t="shared" si="15"/>
        <v>116.10122444134785</v>
      </c>
      <c r="G56" s="8">
        <f t="shared" si="15"/>
        <v>116.50801147906036</v>
      </c>
      <c r="H56" s="8">
        <f t="shared" si="15"/>
        <v>152.03078227991153</v>
      </c>
      <c r="I56" s="8">
        <f t="shared" si="15"/>
        <v>117.03844199328121</v>
      </c>
      <c r="J56" s="8">
        <f t="shared" si="15"/>
        <v>140.22035740383319</v>
      </c>
      <c r="K56" s="8">
        <f t="shared" si="15"/>
        <v>137.01057275367623</v>
      </c>
      <c r="L56" s="8">
        <f t="shared" si="15"/>
        <v>152.32258088447122</v>
      </c>
      <c r="M56" s="8">
        <f t="shared" si="15"/>
        <v>184.87790824912182</v>
      </c>
      <c r="N56" s="8">
        <f t="shared" si="15"/>
        <v>186.57676961634664</v>
      </c>
      <c r="O56" s="8">
        <f t="shared" si="15"/>
        <v>206.21135368587377</v>
      </c>
      <c r="P56" s="8">
        <f t="shared" si="15"/>
        <v>208.70895191134272</v>
      </c>
      <c r="Q56" s="8">
        <f t="shared" si="15"/>
        <v>188.17918907189494</v>
      </c>
      <c r="R56" s="8">
        <f t="shared" si="15"/>
        <v>207.1782456721692</v>
      </c>
      <c r="S56" s="8">
        <f t="shared" si="15"/>
        <v>226.2045038372753</v>
      </c>
      <c r="T56" s="8">
        <f t="shared" si="15"/>
        <v>261.77054985490429</v>
      </c>
    </row>
    <row r="57" spans="1:20" x14ac:dyDescent="0.2">
      <c r="A57" s="14" t="s">
        <v>92</v>
      </c>
    </row>
    <row r="58" spans="1:20" x14ac:dyDescent="0.2">
      <c r="A58" s="9" t="s">
        <v>93</v>
      </c>
      <c r="B58" s="10">
        <v>0.76040738052639967</v>
      </c>
      <c r="C58" s="10">
        <v>0.76040738052639967</v>
      </c>
      <c r="D58" s="10">
        <v>0.76040738052639967</v>
      </c>
      <c r="E58" s="10">
        <v>0.76040738052639967</v>
      </c>
      <c r="F58" s="10">
        <v>0.76040738052639967</v>
      </c>
      <c r="G58" s="10">
        <v>0.76040738052639967</v>
      </c>
      <c r="H58" s="10">
        <v>0.76040738052639967</v>
      </c>
      <c r="I58" s="10">
        <v>0.76040738052639967</v>
      </c>
      <c r="J58" s="10">
        <v>0.76040738052639967</v>
      </c>
      <c r="K58" s="10">
        <v>0.76040738052639967</v>
      </c>
      <c r="L58" s="10">
        <v>0.76040738052639967</v>
      </c>
      <c r="M58" s="10">
        <v>0.76040738052639967</v>
      </c>
      <c r="N58" s="10">
        <v>0.76040738052639967</v>
      </c>
      <c r="O58" s="10">
        <v>0.76040738052639967</v>
      </c>
      <c r="P58" s="10">
        <v>0.76040738052639967</v>
      </c>
      <c r="Q58" s="10">
        <v>0.76040738052639967</v>
      </c>
      <c r="R58" s="10">
        <v>0.76040738052639967</v>
      </c>
      <c r="S58" s="10">
        <v>0.76040738052639967</v>
      </c>
      <c r="T58" s="10">
        <v>0.76040738052639967</v>
      </c>
    </row>
    <row r="59" spans="1:20" x14ac:dyDescent="0.2">
      <c r="A59" s="9" t="s">
        <v>94</v>
      </c>
      <c r="B59" s="10">
        <v>365.85362837963987</v>
      </c>
      <c r="C59" s="10">
        <v>429.17639843863009</v>
      </c>
      <c r="D59" s="10">
        <v>421.35965785377181</v>
      </c>
      <c r="E59" s="10">
        <v>485.9349363297917</v>
      </c>
      <c r="F59" s="10">
        <v>485.91886267784571</v>
      </c>
      <c r="G59" s="10">
        <v>516.17318494467565</v>
      </c>
      <c r="H59" s="10">
        <v>514.22085445060873</v>
      </c>
      <c r="I59" s="10">
        <v>605.88765506437494</v>
      </c>
      <c r="J59" s="10">
        <v>532.41375558404854</v>
      </c>
      <c r="K59" s="10">
        <v>595.29017269284361</v>
      </c>
      <c r="L59" s="10">
        <v>558.90684329549435</v>
      </c>
      <c r="M59" s="10">
        <v>622.14429935569376</v>
      </c>
      <c r="N59" s="10">
        <v>567.64843708463513</v>
      </c>
      <c r="O59" s="10">
        <v>642.44779463313125</v>
      </c>
      <c r="P59" s="10">
        <v>590.29373980714081</v>
      </c>
      <c r="Q59" s="10">
        <v>675.77589372595901</v>
      </c>
      <c r="R59" s="10">
        <v>638.85471520579836</v>
      </c>
      <c r="S59" s="10">
        <v>722.26584089310154</v>
      </c>
      <c r="T59" s="10">
        <v>701.59388805566914</v>
      </c>
    </row>
    <row r="60" spans="1:20" x14ac:dyDescent="0.2">
      <c r="A60" s="9" t="s">
        <v>95</v>
      </c>
      <c r="B60" s="10">
        <v>27.563840218008171</v>
      </c>
      <c r="C60" s="10">
        <v>26.908529792513882</v>
      </c>
      <c r="D60" s="10">
        <v>28.714960984300991</v>
      </c>
      <c r="E60" s="10">
        <v>25.079842774955271</v>
      </c>
      <c r="F60" s="10">
        <v>25.055114079653599</v>
      </c>
      <c r="G60" s="10">
        <v>23.771694793496849</v>
      </c>
      <c r="H60" s="10">
        <v>22.415325856200159</v>
      </c>
      <c r="I60" s="10">
        <v>20.66453422884182</v>
      </c>
      <c r="J60" s="10">
        <v>15.78556264582202</v>
      </c>
      <c r="K60" s="10">
        <v>9.1928924783963932</v>
      </c>
      <c r="L60" s="10">
        <v>14.93860483173977</v>
      </c>
      <c r="M60" s="10">
        <v>10.03243168388814</v>
      </c>
      <c r="N60" s="10">
        <v>13.498158330417411</v>
      </c>
      <c r="O60" s="10">
        <v>2.6805905707011939</v>
      </c>
      <c r="P60" s="10">
        <v>-3.5893701230376229</v>
      </c>
      <c r="Q60" s="10">
        <v>-19.860851631537489</v>
      </c>
      <c r="R60" s="10">
        <v>-6.4405886913203512</v>
      </c>
      <c r="S60" s="10">
        <v>-4.8962816697309641</v>
      </c>
      <c r="T60" s="10">
        <v>-31.40791466621825</v>
      </c>
    </row>
    <row r="61" spans="1:20" x14ac:dyDescent="0.2">
      <c r="A61" s="9" t="s">
        <v>96</v>
      </c>
      <c r="B61" s="10">
        <v>-0.66643833838003275</v>
      </c>
      <c r="C61" s="10">
        <v>-0.64418251260849502</v>
      </c>
      <c r="D61" s="10">
        <v>-0.32394590845188992</v>
      </c>
      <c r="E61" s="10">
        <v>-0.32394590845183302</v>
      </c>
      <c r="F61" s="10">
        <v>-0.32394590845183302</v>
      </c>
      <c r="G61" s="10">
        <v>-8.284112926060061E-2</v>
      </c>
      <c r="H61" s="10">
        <v>-8.284112926060061E-2</v>
      </c>
      <c r="I61" s="10">
        <v>-8.284112926060061E-2</v>
      </c>
      <c r="J61" s="10">
        <v>-8.284112926060061E-2</v>
      </c>
      <c r="K61" s="10">
        <v>-0.27696138737871928</v>
      </c>
      <c r="L61" s="10">
        <v>-0.4055506029475282</v>
      </c>
      <c r="M61" s="10">
        <v>-0.7492794676406902</v>
      </c>
      <c r="N61" s="10">
        <v>-1.4317914579668241</v>
      </c>
      <c r="O61" s="10">
        <v>-0.68251199032624754</v>
      </c>
      <c r="P61" s="10">
        <v>-0.68251199032613385</v>
      </c>
      <c r="Q61" s="10">
        <v>-0.58483364388450809</v>
      </c>
      <c r="R61" s="10">
        <v>-0.58483364388450809</v>
      </c>
      <c r="S61" s="10">
        <v>-8.7786868320904432E-2</v>
      </c>
      <c r="T61" s="10">
        <v>-8.7788104755645691E-2</v>
      </c>
    </row>
    <row r="62" spans="1:20" x14ac:dyDescent="0.2">
      <c r="A62" s="2" t="s">
        <v>97</v>
      </c>
      <c r="B62" s="8">
        <f t="shared" ref="B62:T62" si="16">N(B58)+N(B59)+N(B60)+N(B61)</f>
        <v>393.51143763979439</v>
      </c>
      <c r="C62" s="8">
        <f t="shared" si="16"/>
        <v>456.20115309906186</v>
      </c>
      <c r="D62" s="8">
        <f t="shared" si="16"/>
        <v>450.51108031014729</v>
      </c>
      <c r="E62" s="8">
        <f t="shared" si="16"/>
        <v>511.45124057682153</v>
      </c>
      <c r="F62" s="8">
        <f t="shared" si="16"/>
        <v>511.41043822957386</v>
      </c>
      <c r="G62" s="8">
        <f t="shared" si="16"/>
        <v>540.62244598943835</v>
      </c>
      <c r="H62" s="8">
        <f t="shared" si="16"/>
        <v>537.31374655807474</v>
      </c>
      <c r="I62" s="8">
        <f t="shared" si="16"/>
        <v>627.2297555444826</v>
      </c>
      <c r="J62" s="8">
        <f t="shared" si="16"/>
        <v>548.87688448113636</v>
      </c>
      <c r="K62" s="8">
        <f t="shared" si="16"/>
        <v>604.96651116438773</v>
      </c>
      <c r="L62" s="8">
        <f t="shared" si="16"/>
        <v>574.20030490481304</v>
      </c>
      <c r="M62" s="8">
        <f t="shared" si="16"/>
        <v>632.18785895246765</v>
      </c>
      <c r="N62" s="8">
        <f t="shared" si="16"/>
        <v>580.47521133761211</v>
      </c>
      <c r="O62" s="8">
        <f t="shared" si="16"/>
        <v>645.20628059403259</v>
      </c>
      <c r="P62" s="8">
        <f t="shared" si="16"/>
        <v>586.7822650743035</v>
      </c>
      <c r="Q62" s="8">
        <f t="shared" si="16"/>
        <v>656.09061583106347</v>
      </c>
      <c r="R62" s="8">
        <f t="shared" si="16"/>
        <v>632.58970025111989</v>
      </c>
      <c r="S62" s="8">
        <f t="shared" si="16"/>
        <v>718.04217973557616</v>
      </c>
      <c r="T62" s="8">
        <f t="shared" si="16"/>
        <v>670.85859266522164</v>
      </c>
    </row>
    <row r="63" spans="1:20" x14ac:dyDescent="0.2">
      <c r="A63" s="2" t="s">
        <v>98</v>
      </c>
      <c r="B63" s="8">
        <f t="shared" ref="B63:T63" si="17">N(B56)+N(B62)</f>
        <v>537.17897516868061</v>
      </c>
      <c r="C63" s="8">
        <f t="shared" si="17"/>
        <v>558.70654086355069</v>
      </c>
      <c r="D63" s="8">
        <f t="shared" si="17"/>
        <v>559.04285111965351</v>
      </c>
      <c r="E63" s="8">
        <f t="shared" si="17"/>
        <v>608.18495085790028</v>
      </c>
      <c r="F63" s="8">
        <f t="shared" si="17"/>
        <v>627.51166267092174</v>
      </c>
      <c r="G63" s="8">
        <f t="shared" si="17"/>
        <v>657.13045746849866</v>
      </c>
      <c r="H63" s="8">
        <f t="shared" si="17"/>
        <v>689.34452883798622</v>
      </c>
      <c r="I63" s="8">
        <f t="shared" si="17"/>
        <v>744.26819753776385</v>
      </c>
      <c r="J63" s="8">
        <f t="shared" si="17"/>
        <v>689.09724188496955</v>
      </c>
      <c r="K63" s="8">
        <f t="shared" si="17"/>
        <v>741.97708391806395</v>
      </c>
      <c r="L63" s="8">
        <f t="shared" si="17"/>
        <v>726.52288578928426</v>
      </c>
      <c r="M63" s="8">
        <f t="shared" si="17"/>
        <v>817.06576720158944</v>
      </c>
      <c r="N63" s="8">
        <f t="shared" si="17"/>
        <v>767.05198095395872</v>
      </c>
      <c r="O63" s="8">
        <f t="shared" si="17"/>
        <v>851.41763427990634</v>
      </c>
      <c r="P63" s="8">
        <f t="shared" si="17"/>
        <v>795.49121698564625</v>
      </c>
      <c r="Q63" s="8">
        <f t="shared" si="17"/>
        <v>844.26980490295841</v>
      </c>
      <c r="R63" s="8">
        <f t="shared" si="17"/>
        <v>839.76794592328906</v>
      </c>
      <c r="S63" s="8">
        <f t="shared" si="17"/>
        <v>944.24668357285145</v>
      </c>
      <c r="T63" s="8">
        <f t="shared" si="17"/>
        <v>932.62914252012592</v>
      </c>
    </row>
    <row r="64" spans="1:20" x14ac:dyDescent="0.2">
      <c r="A64" s="14" t="s">
        <v>99</v>
      </c>
    </row>
    <row r="65" spans="1:20" x14ac:dyDescent="0.2">
      <c r="A65" s="9" t="s">
        <v>100</v>
      </c>
      <c r="B65" s="10">
        <f t="shared" ref="B65:T65" si="18">N(B49)+N(B52)</f>
        <v>0</v>
      </c>
      <c r="C65" s="10">
        <f t="shared" si="18"/>
        <v>0</v>
      </c>
      <c r="D65" s="10">
        <f t="shared" si="18"/>
        <v>0</v>
      </c>
      <c r="E65" s="10">
        <f t="shared" si="18"/>
        <v>1.8731986691016189</v>
      </c>
      <c r="F65" s="10">
        <f t="shared" si="18"/>
        <v>1.7767567574251</v>
      </c>
      <c r="G65" s="10">
        <f t="shared" si="18"/>
        <v>1.8089040613172731</v>
      </c>
      <c r="H65" s="10">
        <f t="shared" si="18"/>
        <v>6.5407399072921208</v>
      </c>
      <c r="I65" s="10">
        <f t="shared" si="18"/>
        <v>0.2361590401309632</v>
      </c>
      <c r="J65" s="10">
        <f t="shared" si="18"/>
        <v>15.321899608915679</v>
      </c>
      <c r="K65" s="10">
        <f t="shared" si="18"/>
        <v>0.54774060093202459</v>
      </c>
      <c r="L65" s="10">
        <f t="shared" si="18"/>
        <v>16.520004896281666</v>
      </c>
      <c r="M65" s="10">
        <f t="shared" si="18"/>
        <v>5.9002666989788288</v>
      </c>
      <c r="N65" s="10">
        <f t="shared" si="18"/>
        <v>13.072824771228657</v>
      </c>
      <c r="O65" s="10">
        <f t="shared" si="18"/>
        <v>4.0851804638361369</v>
      </c>
      <c r="P65" s="10">
        <f t="shared" si="18"/>
        <v>24.841210865294144</v>
      </c>
      <c r="Q65" s="10">
        <f t="shared" si="18"/>
        <v>18.326436088068771</v>
      </c>
      <c r="R65" s="10">
        <f t="shared" si="18"/>
        <v>23.4737140151117</v>
      </c>
      <c r="S65" s="10">
        <f t="shared" si="18"/>
        <v>16.496512635745081</v>
      </c>
      <c r="T65" s="10">
        <f t="shared" si="18"/>
        <v>16.978722194127673</v>
      </c>
    </row>
    <row r="66" spans="1:20" x14ac:dyDescent="0.2">
      <c r="A66" s="9" t="s">
        <v>101</v>
      </c>
      <c r="B66" s="10">
        <f t="shared" ref="B66:T66" si="19">N(B34)-N(B65)</f>
        <v>89.876443073925188</v>
      </c>
      <c r="C66" s="10">
        <f t="shared" si="19"/>
        <v>128.31967278990376</v>
      </c>
      <c r="D66" s="10">
        <f t="shared" si="19"/>
        <v>100.83743726639111</v>
      </c>
      <c r="E66" s="10">
        <f t="shared" si="19"/>
        <v>138.06401517352739</v>
      </c>
      <c r="F66" s="10">
        <f t="shared" si="19"/>
        <v>134.57108696216642</v>
      </c>
      <c r="G66" s="10">
        <f t="shared" si="19"/>
        <v>190.00911252421872</v>
      </c>
      <c r="H66" s="10">
        <f t="shared" si="19"/>
        <v>151.10592907562898</v>
      </c>
      <c r="I66" s="10">
        <f t="shared" si="19"/>
        <v>213.12673332698634</v>
      </c>
      <c r="J66" s="10">
        <f t="shared" si="19"/>
        <v>127.51351732306932</v>
      </c>
      <c r="K66" s="10">
        <f t="shared" si="19"/>
        <v>203.39228242148326</v>
      </c>
      <c r="L66" s="10">
        <f t="shared" si="19"/>
        <v>136.75463075730391</v>
      </c>
      <c r="M66" s="10">
        <f t="shared" si="19"/>
        <v>203.56167398429966</v>
      </c>
      <c r="N66" s="10">
        <f t="shared" si="19"/>
        <v>90.696199323175648</v>
      </c>
      <c r="O66" s="10">
        <f t="shared" si="19"/>
        <v>134.12349757720608</v>
      </c>
      <c r="P66" s="10">
        <f t="shared" si="19"/>
        <v>58.935899512473767</v>
      </c>
      <c r="Q66" s="10">
        <f t="shared" si="19"/>
        <v>118.71133823043932</v>
      </c>
      <c r="R66" s="10">
        <f t="shared" si="19"/>
        <v>70.993611341568823</v>
      </c>
      <c r="S66" s="10">
        <f t="shared" si="19"/>
        <v>153.14233713372164</v>
      </c>
      <c r="T66" s="10">
        <f t="shared" si="19"/>
        <v>76.598370131692675</v>
      </c>
    </row>
    <row r="67" spans="1:20" x14ac:dyDescent="0.2">
      <c r="A67" s="9" t="s">
        <v>102</v>
      </c>
      <c r="B67" s="10">
        <f t="shared" ref="B67:T67" si="20">N(B38)-N(B51)</f>
        <v>222.83892840671783</v>
      </c>
      <c r="C67" s="10">
        <f t="shared" si="20"/>
        <v>263.94914791098159</v>
      </c>
      <c r="D67" s="10">
        <f t="shared" si="20"/>
        <v>253.71517736038487</v>
      </c>
      <c r="E67" s="10">
        <f t="shared" si="20"/>
        <v>295.53511041980659</v>
      </c>
      <c r="F67" s="10">
        <f t="shared" si="20"/>
        <v>300.72937286792279</v>
      </c>
      <c r="G67" s="10">
        <f t="shared" si="20"/>
        <v>342.72982540304685</v>
      </c>
      <c r="H67" s="10">
        <f t="shared" si="20"/>
        <v>322.32617890963763</v>
      </c>
      <c r="I67" s="10">
        <f t="shared" si="20"/>
        <v>367.40535400981975</v>
      </c>
      <c r="J67" s="10">
        <f t="shared" si="20"/>
        <v>306.06582531402364</v>
      </c>
      <c r="K67" s="10">
        <f t="shared" si="20"/>
        <v>349.85168964992818</v>
      </c>
      <c r="L67" s="10">
        <f t="shared" si="20"/>
        <v>323.36725698183807</v>
      </c>
      <c r="M67" s="10">
        <f t="shared" si="20"/>
        <v>363.27566189444065</v>
      </c>
      <c r="N67" s="10">
        <f t="shared" si="20"/>
        <v>303.23315326721701</v>
      </c>
      <c r="O67" s="10">
        <f t="shared" si="20"/>
        <v>346.70990891185102</v>
      </c>
      <c r="P67" s="10">
        <f t="shared" si="20"/>
        <v>287.83212183333603</v>
      </c>
      <c r="Q67" s="10">
        <f t="shared" si="20"/>
        <v>341.87421254560905</v>
      </c>
      <c r="R67" s="10">
        <f t="shared" si="20"/>
        <v>311.39485915153375</v>
      </c>
      <c r="S67" s="10">
        <f t="shared" si="20"/>
        <v>358.10241883733079</v>
      </c>
      <c r="T67" s="10">
        <f t="shared" si="20"/>
        <v>308.02433798191606</v>
      </c>
    </row>
    <row r="68" spans="1:20" x14ac:dyDescent="0.2">
      <c r="A68" s="9" t="s">
        <v>103</v>
      </c>
      <c r="B68" s="11">
        <v>32.019946474929668</v>
      </c>
      <c r="C68" s="11">
        <v>37.119256261117592</v>
      </c>
      <c r="D68" s="11">
        <v>36.651750894479832</v>
      </c>
      <c r="E68" s="11">
        <v>41.595016431949311</v>
      </c>
      <c r="F68" s="11">
        <v>41.592939513240268</v>
      </c>
      <c r="G68" s="11">
        <v>43.961075327292583</v>
      </c>
      <c r="H68" s="11">
        <v>43.687326312812012</v>
      </c>
      <c r="I68" s="11">
        <v>50.999015806707497</v>
      </c>
      <c r="J68" s="11">
        <v>44.62827322866805</v>
      </c>
      <c r="K68" s="11">
        <v>49.186588567947737</v>
      </c>
      <c r="L68" s="11">
        <v>46.685153031997693</v>
      </c>
      <c r="M68" s="11">
        <v>51.402100855466067</v>
      </c>
      <c r="N68" s="11">
        <v>47.197434962947177</v>
      </c>
      <c r="O68" s="11">
        <v>52.461156444527113</v>
      </c>
      <c r="P68" s="11">
        <v>47.710751015311359</v>
      </c>
      <c r="Q68" s="11">
        <v>53.345436507945543</v>
      </c>
      <c r="R68" s="11">
        <v>51.433389647371449</v>
      </c>
      <c r="S68" s="11">
        <v>58.377982527925148</v>
      </c>
      <c r="T68" s="11">
        <v>54.525731586409982</v>
      </c>
    </row>
    <row r="69" spans="1:20" x14ac:dyDescent="0.2">
      <c r="A69" s="2" t="s">
        <v>104</v>
      </c>
      <c r="B69" s="8">
        <f t="shared" ref="B69:T69" si="21">(B38-N(B34))-(B51-N(B49))</f>
        <v>132.96248533279262</v>
      </c>
      <c r="C69" s="8">
        <f t="shared" si="21"/>
        <v>135.62947512107786</v>
      </c>
      <c r="D69" s="8">
        <f t="shared" si="21"/>
        <v>152.87774009399379</v>
      </c>
      <c r="E69" s="8">
        <f t="shared" si="21"/>
        <v>155.59789657717758</v>
      </c>
      <c r="F69" s="8">
        <f t="shared" si="21"/>
        <v>164.38152914833128</v>
      </c>
      <c r="G69" s="8">
        <f t="shared" si="21"/>
        <v>152.72071287882812</v>
      </c>
      <c r="H69" s="8">
        <f t="shared" si="21"/>
        <v>171.2202498340086</v>
      </c>
      <c r="I69" s="8">
        <f t="shared" si="21"/>
        <v>154.27862068283341</v>
      </c>
      <c r="J69" s="8">
        <f t="shared" si="21"/>
        <v>168.14894587754105</v>
      </c>
      <c r="K69" s="8">
        <f t="shared" si="21"/>
        <v>146.45940722844495</v>
      </c>
      <c r="L69" s="8">
        <f t="shared" si="21"/>
        <v>175.80494994293866</v>
      </c>
      <c r="M69" s="8">
        <f t="shared" si="21"/>
        <v>158.19688245338341</v>
      </c>
      <c r="N69" s="8">
        <f t="shared" si="21"/>
        <v>203.76321285100829</v>
      </c>
      <c r="O69" s="8">
        <f t="shared" si="21"/>
        <v>210.72310414366396</v>
      </c>
      <c r="P69" s="8">
        <f t="shared" si="21"/>
        <v>219.63779879991642</v>
      </c>
      <c r="Q69" s="8">
        <f t="shared" si="21"/>
        <v>209.5522004211297</v>
      </c>
      <c r="R69" s="8">
        <f t="shared" si="21"/>
        <v>222.94897110081024</v>
      </c>
      <c r="S69" s="8">
        <f t="shared" si="21"/>
        <v>197.81472519619118</v>
      </c>
      <c r="T69" s="8">
        <f t="shared" si="21"/>
        <v>220.37347748514131</v>
      </c>
    </row>
    <row r="70" spans="1:20" x14ac:dyDescent="0.2">
      <c r="A70" s="9" t="s">
        <v>105</v>
      </c>
      <c r="B70" s="10"/>
      <c r="C70" s="10">
        <f t="shared" ref="C70:T70" si="22">C69-B69</f>
        <v>2.6669897882852354</v>
      </c>
      <c r="D70" s="10">
        <f t="shared" si="22"/>
        <v>17.248264972915933</v>
      </c>
      <c r="E70" s="10">
        <f t="shared" si="22"/>
        <v>2.7201564831837857</v>
      </c>
      <c r="F70" s="10">
        <f t="shared" si="22"/>
        <v>8.7836325711537029</v>
      </c>
      <c r="G70" s="10">
        <f t="shared" si="22"/>
        <v>-11.660816269503158</v>
      </c>
      <c r="H70" s="10">
        <f t="shared" si="22"/>
        <v>18.499536955180474</v>
      </c>
      <c r="I70" s="10">
        <f t="shared" si="22"/>
        <v>-16.941629151175192</v>
      </c>
      <c r="J70" s="10">
        <f t="shared" si="22"/>
        <v>13.870325194707647</v>
      </c>
      <c r="K70" s="10">
        <f t="shared" si="22"/>
        <v>-21.689538649096107</v>
      </c>
      <c r="L70" s="10">
        <f t="shared" si="22"/>
        <v>29.345542714493718</v>
      </c>
      <c r="M70" s="10">
        <f t="shared" si="22"/>
        <v>-17.608067489555253</v>
      </c>
      <c r="N70" s="10">
        <f t="shared" si="22"/>
        <v>45.566330397624881</v>
      </c>
      <c r="O70" s="10">
        <f t="shared" si="22"/>
        <v>6.9598912926556693</v>
      </c>
      <c r="P70" s="10">
        <f t="shared" si="22"/>
        <v>8.9146946562524647</v>
      </c>
      <c r="Q70" s="10">
        <f t="shared" si="22"/>
        <v>-10.085598378786727</v>
      </c>
      <c r="R70" s="10">
        <f t="shared" si="22"/>
        <v>13.396770679680543</v>
      </c>
      <c r="S70" s="10">
        <f t="shared" si="22"/>
        <v>-25.134245904619064</v>
      </c>
      <c r="T70" s="10">
        <f t="shared" si="22"/>
        <v>22.558752288950132</v>
      </c>
    </row>
    <row r="71" spans="1:20" x14ac:dyDescent="0.2">
      <c r="A71" s="2" t="s">
        <v>106</v>
      </c>
      <c r="B71" s="8">
        <f t="shared" ref="B71:T71" si="23">ROUND(B45-B63,2)</f>
        <v>0</v>
      </c>
      <c r="C71" s="8">
        <f t="shared" si="23"/>
        <v>0</v>
      </c>
      <c r="D71" s="8">
        <f t="shared" si="23"/>
        <v>0</v>
      </c>
      <c r="E71" s="8">
        <f t="shared" si="23"/>
        <v>0</v>
      </c>
      <c r="F71" s="8">
        <f t="shared" si="23"/>
        <v>0</v>
      </c>
      <c r="G71" s="8">
        <f t="shared" si="23"/>
        <v>0</v>
      </c>
      <c r="H71" s="8">
        <f t="shared" si="23"/>
        <v>0.03</v>
      </c>
      <c r="I71" s="8">
        <f t="shared" si="23"/>
        <v>7.0000000000000007E-2</v>
      </c>
      <c r="J71" s="8">
        <f t="shared" si="23"/>
        <v>-0.01</v>
      </c>
      <c r="K71" s="8">
        <f t="shared" si="23"/>
        <v>-0.02</v>
      </c>
      <c r="L71" s="8">
        <f t="shared" si="23"/>
        <v>-0.13</v>
      </c>
      <c r="M71" s="8">
        <f t="shared" si="23"/>
        <v>0.05</v>
      </c>
      <c r="N71" s="8">
        <f t="shared" si="23"/>
        <v>-0.04</v>
      </c>
      <c r="O71" s="8">
        <f t="shared" si="23"/>
        <v>-0.09</v>
      </c>
      <c r="P71" s="8">
        <f t="shared" si="23"/>
        <v>-0.18</v>
      </c>
      <c r="Q71" s="8">
        <f t="shared" si="23"/>
        <v>-0.18</v>
      </c>
      <c r="R71" s="8">
        <f t="shared" si="23"/>
        <v>0</v>
      </c>
      <c r="S71" s="8">
        <f t="shared" si="23"/>
        <v>0</v>
      </c>
      <c r="T71" s="8">
        <f t="shared" si="23"/>
        <v>0</v>
      </c>
    </row>
    <row r="73" spans="1:20" x14ac:dyDescent="0.2">
      <c r="A73" s="6" t="s">
        <v>107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x14ac:dyDescent="0.2">
      <c r="A74" s="9" t="s">
        <v>108</v>
      </c>
      <c r="B74" s="10">
        <v>46.702613946736861</v>
      </c>
      <c r="C74" s="10">
        <v>39.542420222137871</v>
      </c>
      <c r="D74" s="10">
        <v>47.417273240955168</v>
      </c>
      <c r="E74" s="10">
        <v>48.394056705371192</v>
      </c>
      <c r="F74" s="10">
        <v>58.834511861736907</v>
      </c>
      <c r="G74" s="10">
        <v>47.757292801353152</v>
      </c>
      <c r="H74" s="10">
        <v>65.846333414525887</v>
      </c>
      <c r="I74" s="10">
        <v>83.752381682466236</v>
      </c>
      <c r="J74" s="10">
        <v>51.02642632023413</v>
      </c>
      <c r="K74" s="10">
        <v>56.191014333988228</v>
      </c>
      <c r="L74" s="10">
        <v>78.83631705649394</v>
      </c>
      <c r="M74" s="10">
        <v>64.183328655488467</v>
      </c>
      <c r="N74" s="10">
        <v>75.829307707810685</v>
      </c>
      <c r="O74" s="10">
        <v>76.001172140157294</v>
      </c>
      <c r="P74" s="10">
        <v>80.432554338216846</v>
      </c>
      <c r="Q74" s="10">
        <v>88.913260391925078</v>
      </c>
      <c r="R74" s="10">
        <v>95.426798734385372</v>
      </c>
      <c r="S74" s="10">
        <v>85.985382868207168</v>
      </c>
      <c r="T74" s="10">
        <v>125.1989114428328</v>
      </c>
    </row>
    <row r="75" spans="1:20" x14ac:dyDescent="0.2">
      <c r="A75" s="9" t="s">
        <v>109</v>
      </c>
      <c r="B75" s="10">
        <v>14.39333710033792</v>
      </c>
      <c r="C75" s="10">
        <v>10.062106118250149</v>
      </c>
      <c r="D75" s="10">
        <v>14.82732570288225</v>
      </c>
      <c r="E75" s="10">
        <v>10.9993236701835</v>
      </c>
      <c r="F75" s="10">
        <v>15.109232829321311</v>
      </c>
      <c r="G75" s="10">
        <v>10.779238281998619</v>
      </c>
      <c r="H75" s="10">
        <v>18.084094874112399</v>
      </c>
      <c r="I75" s="10">
        <v>19.44788241999958</v>
      </c>
      <c r="J75" s="10">
        <v>19.229033466579789</v>
      </c>
      <c r="K75" s="10">
        <v>19.436754507113829</v>
      </c>
      <c r="L75" s="10">
        <v>20.0636269330112</v>
      </c>
      <c r="M75" s="10">
        <v>20.778286227229501</v>
      </c>
      <c r="N75" s="10">
        <v>23.416838015917861</v>
      </c>
      <c r="O75" s="10">
        <v>21.923224819696902</v>
      </c>
      <c r="P75" s="10">
        <v>21.635135519432421</v>
      </c>
      <c r="Q75" s="10">
        <v>22.686105069753459</v>
      </c>
      <c r="R75" s="10">
        <v>21.769906908826538</v>
      </c>
      <c r="S75" s="10">
        <v>23.306795321825419</v>
      </c>
      <c r="T75" s="10">
        <v>23.520698536184881</v>
      </c>
    </row>
    <row r="76" spans="1:20" x14ac:dyDescent="0.2">
      <c r="A76" s="9" t="s">
        <v>110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24.919106255494409</v>
      </c>
      <c r="J76" s="10">
        <v>0</v>
      </c>
      <c r="K76" s="10">
        <v>4.0616882032995498</v>
      </c>
      <c r="L76" s="10">
        <v>0</v>
      </c>
      <c r="M76" s="10">
        <v>4.8146769752354484</v>
      </c>
      <c r="N76" s="10">
        <v>0</v>
      </c>
      <c r="O76" s="10">
        <v>4.01346724746129</v>
      </c>
      <c r="P76" s="10">
        <v>0</v>
      </c>
      <c r="Q76" s="10">
        <v>4.0616882032995498</v>
      </c>
      <c r="R76" s="10">
        <v>0</v>
      </c>
      <c r="S76" s="10">
        <v>4.9222467997977191</v>
      </c>
      <c r="T76" s="10">
        <v>0</v>
      </c>
    </row>
    <row r="77" spans="1:20" x14ac:dyDescent="0.2">
      <c r="A77" s="9" t="s">
        <v>111</v>
      </c>
      <c r="B77" s="10">
        <v>1.766865279304431</v>
      </c>
      <c r="C77" s="10">
        <v>-0.83953920549174865</v>
      </c>
      <c r="D77" s="10">
        <v>-18.574959475850569</v>
      </c>
      <c r="E77" s="10">
        <v>-1.2821828513916691</v>
      </c>
      <c r="F77" s="10">
        <v>-3.5238390804881941</v>
      </c>
      <c r="G77" s="10">
        <v>11.920467570170761</v>
      </c>
      <c r="H77" s="10">
        <v>-18.425350869275459</v>
      </c>
      <c r="I77" s="10">
        <v>-39.068865707110859</v>
      </c>
      <c r="J77" s="10">
        <v>-7.9614034523731512</v>
      </c>
      <c r="K77" s="10">
        <v>12.3618747813056</v>
      </c>
      <c r="L77" s="10">
        <v>-19.42933589852332</v>
      </c>
      <c r="M77" s="10">
        <v>19.248816422821118</v>
      </c>
      <c r="N77" s="10">
        <v>-42.036309143311442</v>
      </c>
      <c r="O77" s="10">
        <v>-20.089592063077951</v>
      </c>
      <c r="P77" s="10">
        <v>-13.18410390008618</v>
      </c>
      <c r="Q77" s="10">
        <v>-11.665762008563551</v>
      </c>
      <c r="R77" s="10">
        <v>-11.381382012594321</v>
      </c>
      <c r="S77" s="10">
        <v>20.80301492253118</v>
      </c>
      <c r="T77" s="10">
        <v>-33.142633878065283</v>
      </c>
    </row>
    <row r="78" spans="1:20" x14ac:dyDescent="0.2">
      <c r="A78" s="2" t="s">
        <v>112</v>
      </c>
      <c r="B78" s="8">
        <f t="shared" ref="B78:T78" si="24">N(B74)+N(B75)+N(B76)+N(B77)</f>
        <v>62.86281632637921</v>
      </c>
      <c r="C78" s="8">
        <f t="shared" si="24"/>
        <v>48.764987134896273</v>
      </c>
      <c r="D78" s="8">
        <f t="shared" si="24"/>
        <v>43.669639467986848</v>
      </c>
      <c r="E78" s="8">
        <f t="shared" si="24"/>
        <v>58.111197524163025</v>
      </c>
      <c r="F78" s="8">
        <f t="shared" si="24"/>
        <v>70.419905610570027</v>
      </c>
      <c r="G78" s="8">
        <f t="shared" si="24"/>
        <v>70.456998653522533</v>
      </c>
      <c r="H78" s="8">
        <f t="shared" si="24"/>
        <v>65.50507741936282</v>
      </c>
      <c r="I78" s="8">
        <f t="shared" si="24"/>
        <v>89.050504650849348</v>
      </c>
      <c r="J78" s="8">
        <f t="shared" si="24"/>
        <v>62.294056334440768</v>
      </c>
      <c r="K78" s="8">
        <f t="shared" si="24"/>
        <v>92.051331825707209</v>
      </c>
      <c r="L78" s="8">
        <f t="shared" si="24"/>
        <v>79.470608090981827</v>
      </c>
      <c r="M78" s="8">
        <f t="shared" si="24"/>
        <v>109.02510828077453</v>
      </c>
      <c r="N78" s="8">
        <f t="shared" si="24"/>
        <v>57.209836580417104</v>
      </c>
      <c r="O78" s="8">
        <f t="shared" si="24"/>
        <v>81.848272144237541</v>
      </c>
      <c r="P78" s="8">
        <f t="shared" si="24"/>
        <v>88.883585957563085</v>
      </c>
      <c r="Q78" s="8">
        <f t="shared" si="24"/>
        <v>103.99529165641454</v>
      </c>
      <c r="R78" s="8">
        <f t="shared" si="24"/>
        <v>105.8153236306176</v>
      </c>
      <c r="S78" s="8">
        <f t="shared" si="24"/>
        <v>135.01743991236148</v>
      </c>
      <c r="T78" s="8">
        <f t="shared" si="24"/>
        <v>115.57697610095238</v>
      </c>
    </row>
    <row r="79" spans="1:20" x14ac:dyDescent="0.2">
      <c r="A79" s="9" t="s">
        <v>113</v>
      </c>
      <c r="B79" s="10">
        <v>-6.781844686483419</v>
      </c>
      <c r="C79" s="10">
        <v>-7.5199962412383137</v>
      </c>
      <c r="D79" s="10">
        <v>-11.319560274340139</v>
      </c>
      <c r="E79" s="10">
        <v>-14.87060091966018</v>
      </c>
      <c r="F79" s="10">
        <v>-6.7645345997722481</v>
      </c>
      <c r="G79" s="10">
        <v>-13.21625120397835</v>
      </c>
      <c r="H79" s="10">
        <v>-18.840792950343541</v>
      </c>
      <c r="I79" s="10">
        <v>-28.764418374904331</v>
      </c>
      <c r="J79" s="10">
        <v>-14.93860483173977</v>
      </c>
      <c r="K79" s="10">
        <v>-20.873491704140939</v>
      </c>
      <c r="L79" s="10">
        <v>-15.44677952018912</v>
      </c>
      <c r="M79" s="10">
        <v>-42.325634878340999</v>
      </c>
      <c r="N79" s="10">
        <v>-31.137136689099719</v>
      </c>
      <c r="O79" s="10">
        <v>-36.492135656676687</v>
      </c>
      <c r="P79" s="10">
        <v>-23.1126750637073</v>
      </c>
      <c r="Q79" s="10">
        <v>-35.052925590119401</v>
      </c>
      <c r="R79" s="10">
        <v>-17.831862182035341</v>
      </c>
      <c r="S79" s="10">
        <v>-54.734494180719778</v>
      </c>
      <c r="T79" s="10">
        <v>-44.418918935627502</v>
      </c>
    </row>
    <row r="80" spans="1:20" x14ac:dyDescent="0.2">
      <c r="A80" s="9" t="s">
        <v>114</v>
      </c>
      <c r="B80" s="10">
        <v>0</v>
      </c>
      <c r="C80" s="10">
        <v>0</v>
      </c>
      <c r="D80" s="10">
        <v>0</v>
      </c>
      <c r="E80" s="10">
        <v>-4.3881069812816138</v>
      </c>
      <c r="F80" s="10">
        <v>0</v>
      </c>
      <c r="G80" s="10">
        <v>0</v>
      </c>
      <c r="H80" s="10">
        <v>0</v>
      </c>
      <c r="I80" s="10">
        <v>0.18793808429270359</v>
      </c>
      <c r="J80" s="10">
        <v>0.1755737366418679</v>
      </c>
      <c r="K80" s="10">
        <v>0.15455434563544709</v>
      </c>
      <c r="L80" s="10">
        <v>4.9457390603343107E-3</v>
      </c>
      <c r="M80" s="10">
        <v>0.20524817100387369</v>
      </c>
      <c r="N80" s="10">
        <v>0.25594199637230042</v>
      </c>
      <c r="O80" s="10">
        <v>7.2949651139931029E-2</v>
      </c>
      <c r="P80" s="10">
        <v>0.16197295422594851</v>
      </c>
      <c r="Q80" s="10">
        <v>0.36722112522982231</v>
      </c>
      <c r="R80" s="10">
        <v>0</v>
      </c>
      <c r="S80" s="10">
        <v>0</v>
      </c>
      <c r="T80" s="10">
        <v>0</v>
      </c>
    </row>
    <row r="81" spans="1:20" x14ac:dyDescent="0.2">
      <c r="A81" s="9" t="s">
        <v>115</v>
      </c>
      <c r="B81" s="10"/>
      <c r="C81" s="10"/>
      <c r="D81" s="10"/>
      <c r="E81" s="10"/>
      <c r="F81" s="10"/>
      <c r="G81" s="10"/>
      <c r="H81" s="10"/>
      <c r="I81" s="10">
        <v>-12.64996408157007</v>
      </c>
      <c r="J81" s="10">
        <v>-3.3260095180748221</v>
      </c>
      <c r="K81" s="10">
        <v>-1.246326243204245</v>
      </c>
      <c r="L81" s="10">
        <v>-4.1296921153791466</v>
      </c>
      <c r="M81" s="10">
        <v>-75.485578843117452</v>
      </c>
      <c r="N81" s="10">
        <v>-74.765973809838798</v>
      </c>
      <c r="O81" s="10">
        <v>-34.369177165028177</v>
      </c>
      <c r="P81" s="10">
        <v>-31.40791590265302</v>
      </c>
      <c r="Q81" s="10">
        <v>-0.1199341722131069</v>
      </c>
      <c r="R81" s="10">
        <v>-0.27696138737872122</v>
      </c>
      <c r="S81" s="10">
        <v>-49.34363860495538</v>
      </c>
      <c r="T81" s="10">
        <v>-49.458627038108148</v>
      </c>
    </row>
    <row r="82" spans="1:20" x14ac:dyDescent="0.2">
      <c r="A82" s="9" t="s">
        <v>116</v>
      </c>
      <c r="B82" s="10">
        <v>-0.80120972777415778</v>
      </c>
      <c r="C82" s="10">
        <v>-3.6054437749837098</v>
      </c>
      <c r="D82" s="10">
        <v>-2.5421098770118342</v>
      </c>
      <c r="E82" s="10">
        <v>-0.83335703166633079</v>
      </c>
      <c r="F82" s="10">
        <v>-2.2725670982236141</v>
      </c>
      <c r="G82" s="10">
        <v>-2.0759739705753248</v>
      </c>
      <c r="H82" s="10">
        <v>-14.547891445973359</v>
      </c>
      <c r="I82" s="10">
        <v>23.185624714847229</v>
      </c>
      <c r="J82" s="10">
        <v>3.212257519687133</v>
      </c>
      <c r="K82" s="10">
        <v>-3.2988079532429828</v>
      </c>
      <c r="L82" s="10">
        <v>3.9788470740389501</v>
      </c>
      <c r="M82" s="10">
        <v>0.22997686630554531</v>
      </c>
      <c r="N82" s="10">
        <v>149.06210240894589</v>
      </c>
      <c r="O82" s="10">
        <v>0.42904286348400111</v>
      </c>
      <c r="P82" s="10">
        <v>62.719389893629511</v>
      </c>
      <c r="Q82" s="10">
        <v>7.1713216374847455E-2</v>
      </c>
      <c r="R82" s="10">
        <v>-2.4073384876177242</v>
      </c>
      <c r="S82" s="10">
        <v>-2.4506137043956491</v>
      </c>
      <c r="T82" s="10">
        <v>93.075099811196395</v>
      </c>
    </row>
    <row r="83" spans="1:20" x14ac:dyDescent="0.2">
      <c r="A83" s="2" t="s">
        <v>117</v>
      </c>
      <c r="B83" s="8">
        <f t="shared" ref="B83:T83" si="25">N(B79)+N(B80)+N(B81)+N(B82)</f>
        <v>-7.5830544142575764</v>
      </c>
      <c r="C83" s="8">
        <f t="shared" si="25"/>
        <v>-11.125440016222024</v>
      </c>
      <c r="D83" s="8">
        <f t="shared" si="25"/>
        <v>-13.861670151351973</v>
      </c>
      <c r="E83" s="8">
        <f t="shared" si="25"/>
        <v>-20.092064932608125</v>
      </c>
      <c r="F83" s="8">
        <f t="shared" si="25"/>
        <v>-9.0371016979958618</v>
      </c>
      <c r="G83" s="8">
        <f t="shared" si="25"/>
        <v>-15.292225174553675</v>
      </c>
      <c r="H83" s="8">
        <f t="shared" si="25"/>
        <v>-33.388684396316904</v>
      </c>
      <c r="I83" s="8">
        <f t="shared" si="25"/>
        <v>-18.040819657334467</v>
      </c>
      <c r="J83" s="8">
        <f t="shared" si="25"/>
        <v>-14.87678309348559</v>
      </c>
      <c r="K83" s="8">
        <f t="shared" si="25"/>
        <v>-25.264071554952718</v>
      </c>
      <c r="L83" s="8">
        <f t="shared" si="25"/>
        <v>-15.592678822468983</v>
      </c>
      <c r="M83" s="8">
        <f t="shared" si="25"/>
        <v>-117.37598868414904</v>
      </c>
      <c r="N83" s="8">
        <f t="shared" si="25"/>
        <v>43.414933906379673</v>
      </c>
      <c r="O83" s="8">
        <f t="shared" si="25"/>
        <v>-70.359320307080935</v>
      </c>
      <c r="P83" s="8">
        <f t="shared" si="25"/>
        <v>8.3607718814951397</v>
      </c>
      <c r="Q83" s="8">
        <f t="shared" si="25"/>
        <v>-34.733925420727836</v>
      </c>
      <c r="R83" s="8">
        <f t="shared" si="25"/>
        <v>-20.516162057031789</v>
      </c>
      <c r="S83" s="8">
        <f t="shared" si="25"/>
        <v>-106.52874649007082</v>
      </c>
      <c r="T83" s="8">
        <f t="shared" si="25"/>
        <v>-0.80244616253925471</v>
      </c>
    </row>
    <row r="84" spans="1:20" x14ac:dyDescent="0.2">
      <c r="A84" s="9" t="s">
        <v>118</v>
      </c>
      <c r="B84" s="10">
        <v>-49.379495213142803</v>
      </c>
      <c r="C84" s="10">
        <v>0</v>
      </c>
      <c r="D84" s="10">
        <v>-56.98975119223222</v>
      </c>
      <c r="E84" s="10">
        <v>0</v>
      </c>
      <c r="F84" s="10">
        <v>-64.61113508420739</v>
      </c>
      <c r="G84" s="10">
        <v>0</v>
      </c>
      <c r="H84" s="10">
        <v>-76.033319444049468</v>
      </c>
      <c r="I84" s="10">
        <v>-1.236434765083577E-3</v>
      </c>
      <c r="J84" s="10">
        <v>-114.04997916607419</v>
      </c>
      <c r="K84" s="10">
        <v>0</v>
      </c>
      <c r="L84" s="10">
        <v>-114.0524520356044</v>
      </c>
      <c r="M84" s="10">
        <v>0</v>
      </c>
      <c r="N84" s="10">
        <v>-129.24576242895139</v>
      </c>
      <c r="O84" s="10">
        <v>0</v>
      </c>
      <c r="P84" s="10">
        <v>-129.255653907072</v>
      </c>
      <c r="Q84" s="10">
        <v>0</v>
      </c>
      <c r="R84" s="10">
        <v>-129.25812677660221</v>
      </c>
      <c r="S84" s="10">
        <v>0</v>
      </c>
      <c r="T84" s="10">
        <v>-144.47616586525089</v>
      </c>
    </row>
    <row r="85" spans="1:20" x14ac:dyDescent="0.2">
      <c r="A85" s="9" t="s">
        <v>119</v>
      </c>
      <c r="B85" s="10">
        <v>5.1930260133510223E-2</v>
      </c>
      <c r="C85" s="10">
        <v>0.15950008469578139</v>
      </c>
      <c r="D85" s="10"/>
      <c r="E85" s="10">
        <v>6.1821738254178834E-3</v>
      </c>
      <c r="F85" s="10"/>
      <c r="G85" s="10"/>
      <c r="H85" s="10"/>
      <c r="I85" s="10"/>
      <c r="J85" s="10"/>
      <c r="K85" s="10">
        <v>4.5414248921519773</v>
      </c>
      <c r="L85" s="10">
        <v>0.12858921556869199</v>
      </c>
      <c r="M85" s="10">
        <v>6.2736699980340687</v>
      </c>
      <c r="N85" s="10">
        <v>0.68374842509121792</v>
      </c>
      <c r="O85" s="10">
        <v>4.351013938329106</v>
      </c>
      <c r="P85" s="10"/>
      <c r="Q85" s="10">
        <v>4.4289093285293717</v>
      </c>
      <c r="R85" s="10"/>
      <c r="S85" s="10">
        <v>4.938320451743806</v>
      </c>
      <c r="T85" s="10"/>
    </row>
    <row r="86" spans="1:20" x14ac:dyDescent="0.2">
      <c r="A86" s="9" t="s">
        <v>120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-2.200853881848766</v>
      </c>
      <c r="I86" s="10">
        <v>0</v>
      </c>
      <c r="J86" s="10">
        <v>-2.2849314458744501</v>
      </c>
      <c r="K86" s="10">
        <v>0</v>
      </c>
      <c r="L86" s="10">
        <v>-2.5346912684213319</v>
      </c>
      <c r="M86" s="10">
        <v>0</v>
      </c>
      <c r="N86" s="10">
        <v>-2.4382493567448131</v>
      </c>
      <c r="O86" s="10">
        <v>0</v>
      </c>
      <c r="P86" s="10">
        <v>11.658343399973051</v>
      </c>
      <c r="Q86" s="10">
        <v>-6.7608252954769972</v>
      </c>
      <c r="R86" s="10">
        <v>-0.7628802500565669</v>
      </c>
      <c r="S86" s="10">
        <v>5.5392277475744232</v>
      </c>
      <c r="T86" s="10">
        <v>3.1566179552583709</v>
      </c>
    </row>
    <row r="87" spans="1:20" x14ac:dyDescent="0.2">
      <c r="A87" s="9" t="s">
        <v>121</v>
      </c>
      <c r="B87" s="10"/>
      <c r="C87" s="10">
        <v>0.2547055616072168</v>
      </c>
      <c r="D87" s="10">
        <v>1.0262408550193689</v>
      </c>
      <c r="E87" s="10">
        <v>-5.1930260133510223E-2</v>
      </c>
      <c r="F87" s="10">
        <v>-3.8329477717590883E-2</v>
      </c>
      <c r="G87" s="10">
        <v>0.93227181287301686</v>
      </c>
      <c r="H87" s="10">
        <v>-0.42533355918875038</v>
      </c>
      <c r="I87" s="10">
        <v>-2.2206368380901038</v>
      </c>
      <c r="J87" s="10">
        <v>-1.236434765083577E-3</v>
      </c>
      <c r="K87" s="10">
        <v>-9.0123730026941917</v>
      </c>
      <c r="L87" s="10">
        <v>-0.25717843113738398</v>
      </c>
      <c r="M87" s="10">
        <v>-13.94698415014275</v>
      </c>
      <c r="N87" s="10">
        <v>-1.3662604154173521</v>
      </c>
      <c r="O87" s="10">
        <v>-10.19564107287917</v>
      </c>
      <c r="P87" s="10">
        <v>-2.325733793122208</v>
      </c>
      <c r="Q87" s="10">
        <v>-10.595009502001171</v>
      </c>
      <c r="R87" s="10">
        <v>-1.021295115959034</v>
      </c>
      <c r="S87" s="10">
        <v>-12.745169558481511</v>
      </c>
      <c r="T87" s="10">
        <v>-0.48715529744292918</v>
      </c>
    </row>
    <row r="88" spans="1:20" x14ac:dyDescent="0.2">
      <c r="A88" s="2" t="s">
        <v>122</v>
      </c>
      <c r="B88" s="8">
        <f t="shared" ref="B88:T88" si="26">N(B84)+N(B85)+N(B86)+N(B87)</f>
        <v>-49.327564953009293</v>
      </c>
      <c r="C88" s="8">
        <f t="shared" si="26"/>
        <v>0.41420564630299816</v>
      </c>
      <c r="D88" s="8">
        <f t="shared" si="26"/>
        <v>-55.963510337212853</v>
      </c>
      <c r="E88" s="8">
        <f t="shared" si="26"/>
        <v>-4.5748086308092337E-2</v>
      </c>
      <c r="F88" s="8">
        <f t="shared" si="26"/>
        <v>-64.649464561924987</v>
      </c>
      <c r="G88" s="8">
        <f t="shared" si="26"/>
        <v>0.93227181287301686</v>
      </c>
      <c r="H88" s="8">
        <f t="shared" si="26"/>
        <v>-78.659506885086984</v>
      </c>
      <c r="I88" s="8">
        <f t="shared" si="26"/>
        <v>-2.2218732728551873</v>
      </c>
      <c r="J88" s="8">
        <f t="shared" si="26"/>
        <v>-116.33614704671373</v>
      </c>
      <c r="K88" s="8">
        <f t="shared" si="26"/>
        <v>-4.4709481105422144</v>
      </c>
      <c r="L88" s="8">
        <f t="shared" si="26"/>
        <v>-116.71573251959443</v>
      </c>
      <c r="M88" s="8">
        <f t="shared" si="26"/>
        <v>-7.6733141521086816</v>
      </c>
      <c r="N88" s="8">
        <f t="shared" si="26"/>
        <v>-132.36652377602235</v>
      </c>
      <c r="O88" s="8">
        <f t="shared" si="26"/>
        <v>-5.8446271345500636</v>
      </c>
      <c r="P88" s="8">
        <f t="shared" si="26"/>
        <v>-119.92304430022116</v>
      </c>
      <c r="Q88" s="8">
        <f t="shared" si="26"/>
        <v>-12.926925468948795</v>
      </c>
      <c r="R88" s="8">
        <f t="shared" si="26"/>
        <v>-131.04230214261779</v>
      </c>
      <c r="S88" s="8">
        <f t="shared" si="26"/>
        <v>-2.2676213591632823</v>
      </c>
      <c r="T88" s="8">
        <f t="shared" si="26"/>
        <v>-141.80670320743545</v>
      </c>
    </row>
    <row r="89" spans="1:20" x14ac:dyDescent="0.2">
      <c r="A89" s="9" t="s">
        <v>123</v>
      </c>
      <c r="B89" s="10">
        <v>-0.24110477919129991</v>
      </c>
      <c r="C89" s="10">
        <v>0.7257872071040623</v>
      </c>
      <c r="D89" s="10">
        <v>-1.1882138092453149</v>
      </c>
      <c r="E89" s="10">
        <v>1.126392070991145</v>
      </c>
      <c r="F89" s="10">
        <v>-0.32023660415664867</v>
      </c>
      <c r="G89" s="10">
        <v>-0.62934529542754092</v>
      </c>
      <c r="H89" s="10">
        <v>-0.18546521476254441</v>
      </c>
      <c r="I89" s="10">
        <v>-0.51312042750967635</v>
      </c>
      <c r="J89" s="10">
        <v>-1.6086016293737231</v>
      </c>
      <c r="K89" s="10">
        <v>-1.2117060697819111</v>
      </c>
      <c r="L89" s="10">
        <v>2.17241588225184</v>
      </c>
      <c r="M89" s="10">
        <v>-1.974586319838473</v>
      </c>
      <c r="N89" s="10">
        <v>0.23492260536588819</v>
      </c>
      <c r="O89" s="10">
        <v>-2.1155398830579948</v>
      </c>
      <c r="P89" s="10">
        <v>-0.84201207502191977</v>
      </c>
      <c r="Q89" s="10">
        <v>-3.0737768259977609</v>
      </c>
      <c r="R89" s="10">
        <v>140.2104659257125</v>
      </c>
      <c r="S89" s="10">
        <v>-0.54897703569712775</v>
      </c>
      <c r="T89" s="10">
        <v>-3.1788737810298748</v>
      </c>
    </row>
    <row r="90" spans="1:20" x14ac:dyDescent="0.2">
      <c r="A90" s="2" t="s">
        <v>124</v>
      </c>
      <c r="B90" s="8">
        <f t="shared" ref="B90:T90" si="27">N(B78)+N(B83)+N(B88)+N(B89)</f>
        <v>5.7110921799210423</v>
      </c>
      <c r="C90" s="8">
        <f t="shared" si="27"/>
        <v>38.779539972081309</v>
      </c>
      <c r="D90" s="8">
        <f t="shared" si="27"/>
        <v>-27.343754829823293</v>
      </c>
      <c r="E90" s="8">
        <f t="shared" si="27"/>
        <v>39.09977657623795</v>
      </c>
      <c r="F90" s="8">
        <f t="shared" si="27"/>
        <v>-3.5868972535074741</v>
      </c>
      <c r="G90" s="8">
        <f t="shared" si="27"/>
        <v>55.467699996414332</v>
      </c>
      <c r="H90" s="8">
        <f t="shared" si="27"/>
        <v>-46.728579076803612</v>
      </c>
      <c r="I90" s="8">
        <f t="shared" si="27"/>
        <v>68.274691293150013</v>
      </c>
      <c r="J90" s="8">
        <f t="shared" si="27"/>
        <v>-70.527475435132274</v>
      </c>
      <c r="K90" s="8">
        <f t="shared" si="27"/>
        <v>61.104606090430359</v>
      </c>
      <c r="L90" s="8">
        <f t="shared" si="27"/>
        <v>-50.665387368829741</v>
      </c>
      <c r="M90" s="8">
        <f t="shared" si="27"/>
        <v>-17.998780875321657</v>
      </c>
      <c r="N90" s="8">
        <f t="shared" si="27"/>
        <v>-31.506830683859683</v>
      </c>
      <c r="O90" s="8">
        <f t="shared" si="27"/>
        <v>3.5287848195485472</v>
      </c>
      <c r="P90" s="8">
        <f t="shared" si="27"/>
        <v>-23.52069853618486</v>
      </c>
      <c r="Q90" s="8">
        <f t="shared" si="27"/>
        <v>53.260663940740137</v>
      </c>
      <c r="R90" s="8">
        <f t="shared" si="27"/>
        <v>94.467325356680519</v>
      </c>
      <c r="S90" s="8">
        <f t="shared" si="27"/>
        <v>25.672095027430256</v>
      </c>
      <c r="T90" s="8">
        <f t="shared" si="27"/>
        <v>-30.211047050052198</v>
      </c>
    </row>
    <row r="91" spans="1:20" x14ac:dyDescent="0.2">
      <c r="A91" s="2" t="s">
        <v>125</v>
      </c>
      <c r="B91" s="8">
        <f t="shared" ref="B91:T91" si="28">N(B78)+N(B79)</f>
        <v>56.080971639895793</v>
      </c>
      <c r="C91" s="8">
        <f t="shared" si="28"/>
        <v>41.244990893657956</v>
      </c>
      <c r="D91" s="8">
        <f t="shared" si="28"/>
        <v>32.350079193646707</v>
      </c>
      <c r="E91" s="8">
        <f t="shared" si="28"/>
        <v>43.240596604502841</v>
      </c>
      <c r="F91" s="8">
        <f t="shared" si="28"/>
        <v>63.655371010797779</v>
      </c>
      <c r="G91" s="8">
        <f t="shared" si="28"/>
        <v>57.24074744954418</v>
      </c>
      <c r="H91" s="8">
        <f t="shared" si="28"/>
        <v>46.664284469019279</v>
      </c>
      <c r="I91" s="8">
        <f t="shared" si="28"/>
        <v>60.286086275945017</v>
      </c>
      <c r="J91" s="8">
        <f t="shared" si="28"/>
        <v>47.355451502701001</v>
      </c>
      <c r="K91" s="8">
        <f t="shared" si="28"/>
        <v>71.177840121566277</v>
      </c>
      <c r="L91" s="8">
        <f t="shared" si="28"/>
        <v>64.023828570792702</v>
      </c>
      <c r="M91" s="8">
        <f t="shared" si="28"/>
        <v>66.69947340243354</v>
      </c>
      <c r="N91" s="8">
        <f t="shared" si="28"/>
        <v>26.072699891317384</v>
      </c>
      <c r="O91" s="8">
        <f t="shared" si="28"/>
        <v>45.356136487560853</v>
      </c>
      <c r="P91" s="8">
        <f t="shared" si="28"/>
        <v>65.770910893855785</v>
      </c>
      <c r="Q91" s="8">
        <f t="shared" si="28"/>
        <v>68.942366066295136</v>
      </c>
      <c r="R91" s="8">
        <f t="shared" si="28"/>
        <v>87.983461448582261</v>
      </c>
      <c r="S91" s="8">
        <f t="shared" si="28"/>
        <v>80.282945731641703</v>
      </c>
      <c r="T91" s="8">
        <f t="shared" si="28"/>
        <v>71.158057165324877</v>
      </c>
    </row>
    <row r="92" spans="1:20" x14ac:dyDescent="0.2">
      <c r="A92" s="2" t="s">
        <v>126</v>
      </c>
      <c r="B92" s="8">
        <f t="shared" ref="B92:T92" si="29">N(B78)-N(B83)-N(B76)</f>
        <v>70.445870740636792</v>
      </c>
      <c r="C92" s="8">
        <f t="shared" si="29"/>
        <v>59.890427151118296</v>
      </c>
      <c r="D92" s="8">
        <f t="shared" si="29"/>
        <v>57.53130961933882</v>
      </c>
      <c r="E92" s="8">
        <f t="shared" si="29"/>
        <v>78.203262456771142</v>
      </c>
      <c r="F92" s="8">
        <f t="shared" si="29"/>
        <v>79.457007308565892</v>
      </c>
      <c r="G92" s="8">
        <f t="shared" si="29"/>
        <v>85.749223828076211</v>
      </c>
      <c r="H92" s="8">
        <f t="shared" si="29"/>
        <v>98.893761815679724</v>
      </c>
      <c r="I92" s="8">
        <f t="shared" si="29"/>
        <v>82.172218052689402</v>
      </c>
      <c r="J92" s="8">
        <f t="shared" si="29"/>
        <v>77.170839427926353</v>
      </c>
      <c r="K92" s="8">
        <f t="shared" si="29"/>
        <v>113.25371517736038</v>
      </c>
      <c r="L92" s="8">
        <f t="shared" si="29"/>
        <v>95.06328691345081</v>
      </c>
      <c r="M92" s="8">
        <f t="shared" si="29"/>
        <v>221.58641998968812</v>
      </c>
      <c r="N92" s="8">
        <f t="shared" si="29"/>
        <v>13.794902674037431</v>
      </c>
      <c r="O92" s="8">
        <f t="shared" si="29"/>
        <v>148.1941252038572</v>
      </c>
      <c r="P92" s="8">
        <f t="shared" si="29"/>
        <v>80.522814076067945</v>
      </c>
      <c r="Q92" s="8">
        <f t="shared" si="29"/>
        <v>134.66752887384283</v>
      </c>
      <c r="R92" s="8">
        <f t="shared" si="29"/>
        <v>126.33148568764939</v>
      </c>
      <c r="S92" s="8">
        <f t="shared" si="29"/>
        <v>236.62393960263455</v>
      </c>
      <c r="T92" s="8">
        <f t="shared" si="29"/>
        <v>116.37942226349163</v>
      </c>
    </row>
    <row r="94" spans="1:20" x14ac:dyDescent="0.2">
      <c r="A94" s="6" t="s">
        <v>127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x14ac:dyDescent="0.2">
      <c r="A95" s="9" t="s">
        <v>128</v>
      </c>
      <c r="B95" s="10">
        <v>379.89</v>
      </c>
      <c r="C95" s="10">
        <v>406.09</v>
      </c>
      <c r="D95" s="10">
        <v>436.95</v>
      </c>
      <c r="E95" s="10">
        <v>462.34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 x14ac:dyDescent="0.2">
      <c r="A96" s="9" t="s">
        <v>129</v>
      </c>
      <c r="B96" s="10"/>
      <c r="C96" s="10"/>
      <c r="D96" s="10"/>
      <c r="E96" s="10"/>
      <c r="F96" s="10"/>
      <c r="G96" s="10">
        <v>36.25</v>
      </c>
      <c r="H96" s="10">
        <v>37.94</v>
      </c>
      <c r="I96" s="10">
        <v>41.08</v>
      </c>
      <c r="J96" s="10">
        <v>45.54</v>
      </c>
      <c r="K96" s="10">
        <v>49.82</v>
      </c>
      <c r="L96" s="10">
        <v>51.78</v>
      </c>
      <c r="M96" s="10">
        <v>50.68</v>
      </c>
      <c r="N96" s="10">
        <v>51.04</v>
      </c>
      <c r="O96" s="10">
        <v>54.75</v>
      </c>
      <c r="P96" s="10">
        <v>59.05</v>
      </c>
      <c r="Q96" s="10">
        <v>61.94</v>
      </c>
      <c r="R96" s="10">
        <v>60.79</v>
      </c>
      <c r="S96" s="10">
        <v>65.09</v>
      </c>
      <c r="T96" s="10">
        <v>60.79</v>
      </c>
    </row>
    <row r="97" spans="1:20" x14ac:dyDescent="0.2">
      <c r="A97" s="9" t="s">
        <v>130</v>
      </c>
      <c r="B97" s="10"/>
      <c r="C97" s="10"/>
      <c r="D97" s="10"/>
      <c r="E97" s="10"/>
      <c r="F97" s="10"/>
      <c r="G97" s="10">
        <v>168.89</v>
      </c>
      <c r="H97" s="10">
        <v>173.09</v>
      </c>
      <c r="I97" s="10">
        <v>171.32</v>
      </c>
      <c r="J97" s="10">
        <v>174.76</v>
      </c>
      <c r="K97" s="10">
        <v>186.06</v>
      </c>
      <c r="L97" s="10">
        <v>190.37</v>
      </c>
      <c r="M97" s="10">
        <v>179.75</v>
      </c>
      <c r="N97" s="10">
        <v>181.24</v>
      </c>
      <c r="O97" s="10">
        <v>199.41</v>
      </c>
      <c r="P97" s="10">
        <v>205.05</v>
      </c>
      <c r="Q97" s="10">
        <v>202.11</v>
      </c>
      <c r="R97" s="10">
        <v>201.33</v>
      </c>
      <c r="S97" s="10">
        <v>211.32</v>
      </c>
      <c r="T97" s="10">
        <v>201.33</v>
      </c>
    </row>
    <row r="98" spans="1:20" x14ac:dyDescent="0.2">
      <c r="A98" s="9" t="s">
        <v>131</v>
      </c>
      <c r="B98" s="10"/>
      <c r="C98" s="10"/>
      <c r="D98" s="10"/>
      <c r="E98" s="10"/>
      <c r="F98" s="10"/>
      <c r="G98" s="10">
        <v>294.07</v>
      </c>
      <c r="H98" s="10">
        <v>275.8</v>
      </c>
      <c r="I98" s="10">
        <v>264.72000000000003</v>
      </c>
      <c r="J98" s="10">
        <v>280.64999999999998</v>
      </c>
      <c r="K98" s="10">
        <v>291.33999999999997</v>
      </c>
      <c r="L98" s="10">
        <v>293.33</v>
      </c>
      <c r="M98" s="10">
        <v>283.89999999999998</v>
      </c>
      <c r="N98" s="10">
        <v>283.95999999999998</v>
      </c>
      <c r="O98" s="10">
        <v>295.58999999999997</v>
      </c>
      <c r="P98" s="10">
        <v>309.44</v>
      </c>
      <c r="Q98" s="10">
        <v>320.61</v>
      </c>
      <c r="R98" s="10">
        <v>331.54</v>
      </c>
      <c r="S98" s="10">
        <v>334.28</v>
      </c>
      <c r="T98" s="10">
        <v>331.54</v>
      </c>
    </row>
    <row r="99" spans="1:20" x14ac:dyDescent="0.2">
      <c r="A99" s="9" t="s">
        <v>132</v>
      </c>
      <c r="B99" s="10"/>
      <c r="C99" s="10"/>
      <c r="D99" s="10"/>
      <c r="E99" s="10"/>
      <c r="F99" s="10"/>
      <c r="G99" s="10"/>
      <c r="H99" s="10"/>
      <c r="I99" s="10">
        <v>0.63675999999999999</v>
      </c>
      <c r="J99" s="10"/>
      <c r="K99" s="10">
        <v>1.5</v>
      </c>
      <c r="L99" s="10">
        <v>1.96</v>
      </c>
      <c r="M99" s="10">
        <v>2.59</v>
      </c>
      <c r="N99" s="10">
        <v>2.2799999999999998</v>
      </c>
      <c r="O99" s="10">
        <v>1.54</v>
      </c>
      <c r="P99" s="10">
        <v>1.06</v>
      </c>
      <c r="Q99" s="10">
        <v>1.1299999999999999</v>
      </c>
      <c r="R99" s="10">
        <v>1.22</v>
      </c>
      <c r="S99" s="10">
        <v>0.55640000000000001</v>
      </c>
      <c r="T99" s="10">
        <v>1.22</v>
      </c>
    </row>
    <row r="100" spans="1:20" x14ac:dyDescent="0.2">
      <c r="A100" s="9" t="s">
        <v>133</v>
      </c>
      <c r="B100" s="10"/>
      <c r="C100" s="10"/>
      <c r="D100" s="10"/>
      <c r="E100" s="10"/>
      <c r="F100" s="10"/>
      <c r="G100" s="10"/>
      <c r="H100" s="10"/>
      <c r="I100" s="10"/>
      <c r="J100" s="10">
        <v>1.33</v>
      </c>
      <c r="K100" s="10"/>
      <c r="L100" s="10">
        <v>0.30911</v>
      </c>
      <c r="M100" s="10"/>
      <c r="N100" s="10"/>
      <c r="O100" s="10"/>
      <c r="P100" s="10"/>
      <c r="Q100" s="10"/>
      <c r="R100" s="10">
        <v>0.38823999999999997</v>
      </c>
      <c r="S100" s="10"/>
      <c r="T100" s="10">
        <v>0.38823999999999997</v>
      </c>
    </row>
    <row r="101" spans="1:20" x14ac:dyDescent="0.2">
      <c r="A101" s="9" t="s">
        <v>134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>
        <v>0.30911</v>
      </c>
      <c r="L101" s="10"/>
      <c r="M101" s="10"/>
      <c r="N101" s="10"/>
      <c r="O101" s="10"/>
      <c r="P101" s="10">
        <v>0.35732999999999998</v>
      </c>
      <c r="Q101" s="10"/>
      <c r="R101" s="10"/>
      <c r="S101" s="10"/>
      <c r="T101" s="10"/>
    </row>
    <row r="102" spans="1:20" x14ac:dyDescent="0.2">
      <c r="A102" s="2" t="s">
        <v>135</v>
      </c>
      <c r="B102" s="8">
        <f t="shared" ref="B102:T102" si="30">N(B95)+N(B96)+N(B97)+N(B98)+N(B99)+N(B100)+N(B101)</f>
        <v>379.89</v>
      </c>
      <c r="C102" s="8">
        <f t="shared" si="30"/>
        <v>406.09</v>
      </c>
      <c r="D102" s="8">
        <f t="shared" si="30"/>
        <v>436.95</v>
      </c>
      <c r="E102" s="8">
        <f t="shared" si="30"/>
        <v>462.34</v>
      </c>
      <c r="F102" s="8">
        <f t="shared" si="30"/>
        <v>0</v>
      </c>
      <c r="G102" s="8">
        <f t="shared" si="30"/>
        <v>499.21</v>
      </c>
      <c r="H102" s="8">
        <f t="shared" si="30"/>
        <v>486.83000000000004</v>
      </c>
      <c r="I102" s="8">
        <f t="shared" si="30"/>
        <v>477.75675999999999</v>
      </c>
      <c r="J102" s="8">
        <f t="shared" si="30"/>
        <v>502.27999999999992</v>
      </c>
      <c r="K102" s="8">
        <f t="shared" si="30"/>
        <v>529.02911000000006</v>
      </c>
      <c r="L102" s="8">
        <f t="shared" si="30"/>
        <v>537.74911000000009</v>
      </c>
      <c r="M102" s="8">
        <f t="shared" si="30"/>
        <v>516.91999999999996</v>
      </c>
      <c r="N102" s="8">
        <f t="shared" si="30"/>
        <v>518.52</v>
      </c>
      <c r="O102" s="8">
        <f t="shared" si="30"/>
        <v>551.29</v>
      </c>
      <c r="P102" s="8">
        <f t="shared" si="30"/>
        <v>574.95732999999996</v>
      </c>
      <c r="Q102" s="8">
        <f t="shared" si="30"/>
        <v>585.79000000000008</v>
      </c>
      <c r="R102" s="8">
        <f t="shared" si="30"/>
        <v>595.26824000000011</v>
      </c>
      <c r="S102" s="8">
        <f t="shared" si="30"/>
        <v>611.24639999999999</v>
      </c>
      <c r="T102" s="8">
        <f t="shared" si="30"/>
        <v>595.26824000000011</v>
      </c>
    </row>
    <row r="103" spans="1:20" x14ac:dyDescent="0.2">
      <c r="A103" s="2" t="s">
        <v>136</v>
      </c>
      <c r="B103" s="8">
        <v>379.89</v>
      </c>
      <c r="C103" s="8">
        <v>406.09</v>
      </c>
      <c r="D103" s="8">
        <v>436.95</v>
      </c>
      <c r="E103" s="8">
        <v>462.34</v>
      </c>
      <c r="F103" s="8"/>
      <c r="G103" s="8">
        <v>499.22</v>
      </c>
      <c r="H103" s="8">
        <v>486.83</v>
      </c>
      <c r="I103" s="8">
        <v>477.76</v>
      </c>
      <c r="J103" s="8">
        <v>502.28</v>
      </c>
      <c r="K103" s="8">
        <v>529.03</v>
      </c>
      <c r="L103" s="8">
        <v>537.75</v>
      </c>
      <c r="M103" s="8">
        <v>516.92999999999995</v>
      </c>
      <c r="N103" s="8">
        <v>518.51</v>
      </c>
      <c r="O103" s="8">
        <v>551.29</v>
      </c>
      <c r="P103" s="8">
        <v>574.59</v>
      </c>
      <c r="Q103" s="8">
        <v>586.15</v>
      </c>
      <c r="R103" s="8">
        <v>595.28</v>
      </c>
      <c r="S103" s="8">
        <v>611.26</v>
      </c>
      <c r="T103" s="8">
        <v>595.28</v>
      </c>
    </row>
    <row r="104" spans="1:20" x14ac:dyDescent="0.2">
      <c r="A104" s="9" t="s">
        <v>137</v>
      </c>
      <c r="B104" s="10">
        <f t="shared" ref="B104:T104" si="31">IF(B103="","",ROUND(B102-B103,2))</f>
        <v>0</v>
      </c>
      <c r="C104" s="10">
        <f t="shared" si="31"/>
        <v>0</v>
      </c>
      <c r="D104" s="10">
        <f t="shared" si="31"/>
        <v>0</v>
      </c>
      <c r="E104" s="10">
        <f t="shared" si="31"/>
        <v>0</v>
      </c>
      <c r="F104" s="10" t="str">
        <f t="shared" si="31"/>
        <v/>
      </c>
      <c r="G104" s="10">
        <f t="shared" si="31"/>
        <v>-0.01</v>
      </c>
      <c r="H104" s="10">
        <f t="shared" si="31"/>
        <v>0</v>
      </c>
      <c r="I104" s="10">
        <f t="shared" si="31"/>
        <v>0</v>
      </c>
      <c r="J104" s="10">
        <f t="shared" si="31"/>
        <v>0</v>
      </c>
      <c r="K104" s="10">
        <f t="shared" si="31"/>
        <v>0</v>
      </c>
      <c r="L104" s="10">
        <f t="shared" si="31"/>
        <v>0</v>
      </c>
      <c r="M104" s="10">
        <f t="shared" si="31"/>
        <v>-0.01</v>
      </c>
      <c r="N104" s="10">
        <f t="shared" si="31"/>
        <v>0.01</v>
      </c>
      <c r="O104" s="10">
        <f t="shared" si="31"/>
        <v>0</v>
      </c>
      <c r="P104" s="10">
        <f t="shared" si="31"/>
        <v>0.37</v>
      </c>
      <c r="Q104" s="10">
        <f t="shared" si="31"/>
        <v>-0.36</v>
      </c>
      <c r="R104" s="10">
        <f t="shared" si="31"/>
        <v>-0.01</v>
      </c>
      <c r="S104" s="10">
        <f t="shared" si="31"/>
        <v>-0.01</v>
      </c>
      <c r="T104" s="10">
        <f t="shared" si="31"/>
        <v>-0.01</v>
      </c>
    </row>
    <row r="105" spans="1:20" x14ac:dyDescent="0.2">
      <c r="A105" s="12" t="s">
        <v>138</v>
      </c>
      <c r="B105" s="13"/>
      <c r="C105" s="13"/>
      <c r="D105" s="13">
        <f t="shared" ref="D105:T105" si="32">IF(N(B103)=0,"",D103/B103-1)</f>
        <v>0.15020137408197121</v>
      </c>
      <c r="E105" s="13">
        <f t="shared" si="32"/>
        <v>0.13851609249181207</v>
      </c>
      <c r="F105" s="13">
        <f t="shared" si="32"/>
        <v>-1</v>
      </c>
      <c r="G105" s="13">
        <f t="shared" si="32"/>
        <v>7.9768136003806944E-2</v>
      </c>
      <c r="H105" s="13" t="str">
        <f t="shared" si="32"/>
        <v/>
      </c>
      <c r="I105" s="13">
        <f t="shared" si="32"/>
        <v>-4.2987059813308859E-2</v>
      </c>
      <c r="J105" s="13">
        <f t="shared" si="32"/>
        <v>3.173592424460292E-2</v>
      </c>
      <c r="K105" s="13">
        <f t="shared" si="32"/>
        <v>0.10731329537843259</v>
      </c>
      <c r="L105" s="13">
        <f t="shared" si="32"/>
        <v>7.0617982002070701E-2</v>
      </c>
      <c r="M105" s="13">
        <f t="shared" si="32"/>
        <v>-2.2872048844110981E-2</v>
      </c>
      <c r="N105" s="13">
        <f t="shared" si="32"/>
        <v>-3.5778707577870827E-2</v>
      </c>
      <c r="O105" s="13">
        <f t="shared" si="32"/>
        <v>6.6469347880757645E-2</v>
      </c>
      <c r="P105" s="13">
        <f t="shared" si="32"/>
        <v>0.1081560625638851</v>
      </c>
      <c r="Q105" s="13">
        <f t="shared" si="32"/>
        <v>6.323350686571505E-2</v>
      </c>
      <c r="R105" s="13">
        <f t="shared" si="32"/>
        <v>3.6008284167841298E-2</v>
      </c>
      <c r="S105" s="13">
        <f t="shared" si="32"/>
        <v>4.2838863772072022E-2</v>
      </c>
      <c r="T105" s="13">
        <f t="shared" si="32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BEAN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Foltin, Thomas J.</cp:lastModifiedBy>
  <dcterms:created xsi:type="dcterms:W3CDTF">2026-07-01T12:21:32Z</dcterms:created>
  <dcterms:modified xsi:type="dcterms:W3CDTF">2026-07-11T12:53:38Z</dcterms:modified>
</cp:coreProperties>
</file>