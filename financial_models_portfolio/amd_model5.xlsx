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F3852C7D-51B6-4D9E-9F3F-91D29FA5C44D}" xr6:coauthVersionLast="47" xr6:coauthVersionMax="47" xr10:uidLastSave="{00000000-0000-0000-0000-000000000000}"/>
  <bookViews>
    <workbookView xWindow="390" yWindow="0" windowWidth="37950" windowHeight="20985" activeTab="1" xr2:uid="{00000000-000D-0000-FFFF-FFFF00000000}"/>
  </bookViews>
  <sheets>
    <sheet name="AMD Financials" sheetId="1" r:id="rId1"/>
    <sheet name="Key Metric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  <c r="C113" i="1"/>
  <c r="D113" i="1"/>
  <c r="E113" i="1"/>
  <c r="F113" i="1"/>
  <c r="G113" i="1"/>
  <c r="H113" i="1"/>
  <c r="I113" i="1"/>
  <c r="J113" i="1"/>
  <c r="K113" i="1"/>
  <c r="L113" i="1"/>
  <c r="L114" i="1" s="1"/>
  <c r="M113" i="1"/>
  <c r="M114" i="1" s="1"/>
  <c r="N113" i="1"/>
  <c r="N114" i="1" s="1"/>
  <c r="O113" i="1"/>
  <c r="P113" i="1"/>
  <c r="Q113" i="1"/>
  <c r="R113" i="1"/>
  <c r="S113" i="1"/>
  <c r="T113" i="1"/>
  <c r="U113" i="1"/>
  <c r="V113" i="1"/>
  <c r="W113" i="1"/>
  <c r="X113" i="1"/>
  <c r="X114" i="1" s="1"/>
  <c r="Y113" i="1"/>
  <c r="Y114" i="1" s="1"/>
  <c r="Z113" i="1"/>
  <c r="Z114" i="1" s="1"/>
  <c r="AA113" i="1"/>
  <c r="AB113" i="1"/>
  <c r="AC113" i="1"/>
  <c r="AD113" i="1"/>
  <c r="AE113" i="1"/>
  <c r="AF113" i="1"/>
  <c r="AG113" i="1"/>
  <c r="AH113" i="1"/>
  <c r="AI113" i="1"/>
  <c r="AJ113" i="1"/>
  <c r="AJ114" i="1" s="1"/>
  <c r="AK113" i="1"/>
  <c r="AK114" i="1" s="1"/>
  <c r="AL113" i="1"/>
  <c r="AL114" i="1" s="1"/>
  <c r="AM113" i="1"/>
  <c r="AN113" i="1"/>
  <c r="AO113" i="1"/>
  <c r="C114" i="1"/>
  <c r="D114" i="1"/>
  <c r="E114" i="1"/>
  <c r="F114" i="1"/>
  <c r="G114" i="1"/>
  <c r="H114" i="1"/>
  <c r="I114" i="1"/>
  <c r="J114" i="1"/>
  <c r="K114" i="1"/>
  <c r="O114" i="1"/>
  <c r="P114" i="1"/>
  <c r="Q114" i="1"/>
  <c r="R114" i="1"/>
  <c r="S114" i="1"/>
  <c r="T114" i="1"/>
  <c r="U114" i="1"/>
  <c r="V114" i="1"/>
  <c r="W114" i="1"/>
  <c r="AA114" i="1"/>
  <c r="AB114" i="1"/>
  <c r="AC114" i="1"/>
  <c r="AD114" i="1"/>
  <c r="AE114" i="1"/>
  <c r="AF114" i="1"/>
  <c r="AG114" i="1"/>
  <c r="AH114" i="1"/>
  <c r="AI114" i="1"/>
  <c r="AM114" i="1"/>
  <c r="AN114" i="1"/>
  <c r="AO114" i="1"/>
  <c r="B114" i="1"/>
  <c r="B113" i="1"/>
  <c r="C10" i="2"/>
  <c r="C9" i="2"/>
  <c r="C8" i="2"/>
  <c r="C7" i="2"/>
  <c r="C6" i="2"/>
  <c r="C5" i="2"/>
  <c r="C4" i="2"/>
  <c r="C3" i="2"/>
  <c r="C111" i="1"/>
  <c r="H111" i="1"/>
  <c r="H112" i="1" s="1"/>
  <c r="I111" i="1"/>
  <c r="I112" i="1" s="1"/>
  <c r="J111" i="1"/>
  <c r="J112" i="1" s="1"/>
  <c r="K111" i="1"/>
  <c r="K112" i="1" s="1"/>
  <c r="L111" i="1"/>
  <c r="M111" i="1"/>
  <c r="N111" i="1"/>
  <c r="O111" i="1"/>
  <c r="T111" i="1"/>
  <c r="T112" i="1" s="1"/>
  <c r="U111" i="1"/>
  <c r="U112" i="1" s="1"/>
  <c r="V111" i="1"/>
  <c r="V112" i="1" s="1"/>
  <c r="W111" i="1"/>
  <c r="W112" i="1" s="1"/>
  <c r="X111" i="1"/>
  <c r="Y111" i="1"/>
  <c r="Z111" i="1"/>
  <c r="AA111" i="1"/>
  <c r="AF111" i="1"/>
  <c r="AF112" i="1" s="1"/>
  <c r="AG111" i="1"/>
  <c r="AG112" i="1" s="1"/>
  <c r="AH111" i="1"/>
  <c r="AH112" i="1" s="1"/>
  <c r="AI111" i="1"/>
  <c r="AI112" i="1" s="1"/>
  <c r="AJ111" i="1"/>
  <c r="AK111" i="1"/>
  <c r="AL111" i="1"/>
  <c r="AM111" i="1"/>
  <c r="C107" i="1"/>
  <c r="D107" i="1"/>
  <c r="D111" i="1" s="1"/>
  <c r="D112" i="1" s="1"/>
  <c r="E107" i="1"/>
  <c r="E111" i="1" s="1"/>
  <c r="E112" i="1" s="1"/>
  <c r="F107" i="1"/>
  <c r="F111" i="1" s="1"/>
  <c r="F112" i="1" s="1"/>
  <c r="G107" i="1"/>
  <c r="G111" i="1" s="1"/>
  <c r="G112" i="1" s="1"/>
  <c r="H107" i="1"/>
  <c r="I107" i="1"/>
  <c r="J107" i="1"/>
  <c r="K107" i="1"/>
  <c r="L107" i="1"/>
  <c r="M107" i="1"/>
  <c r="N107" i="1"/>
  <c r="O107" i="1"/>
  <c r="P107" i="1"/>
  <c r="P111" i="1" s="1"/>
  <c r="P112" i="1" s="1"/>
  <c r="Q107" i="1"/>
  <c r="Q111" i="1" s="1"/>
  <c r="Q112" i="1" s="1"/>
  <c r="R107" i="1"/>
  <c r="R111" i="1" s="1"/>
  <c r="R112" i="1" s="1"/>
  <c r="S107" i="1"/>
  <c r="S111" i="1" s="1"/>
  <c r="S112" i="1" s="1"/>
  <c r="T107" i="1"/>
  <c r="U107" i="1"/>
  <c r="V107" i="1"/>
  <c r="W107" i="1"/>
  <c r="X107" i="1"/>
  <c r="Y107" i="1"/>
  <c r="Z107" i="1"/>
  <c r="AA107" i="1"/>
  <c r="AB107" i="1"/>
  <c r="AB111" i="1" s="1"/>
  <c r="AB112" i="1" s="1"/>
  <c r="AC107" i="1"/>
  <c r="AC111" i="1" s="1"/>
  <c r="AC112" i="1" s="1"/>
  <c r="AD107" i="1"/>
  <c r="AD111" i="1" s="1"/>
  <c r="AD112" i="1" s="1"/>
  <c r="AE107" i="1"/>
  <c r="AE111" i="1" s="1"/>
  <c r="AE112" i="1" s="1"/>
  <c r="AF107" i="1"/>
  <c r="AG107" i="1"/>
  <c r="AH107" i="1"/>
  <c r="AI107" i="1"/>
  <c r="AJ107" i="1"/>
  <c r="AK107" i="1"/>
  <c r="AL107" i="1"/>
  <c r="AM107" i="1"/>
  <c r="AN107" i="1"/>
  <c r="AN111" i="1" s="1"/>
  <c r="AN112" i="1" s="1"/>
  <c r="AO107" i="1"/>
  <c r="AO111" i="1" s="1"/>
  <c r="AO112" i="1" s="1"/>
  <c r="B107" i="1"/>
  <c r="B111" i="1" s="1"/>
  <c r="B112" i="1" s="1"/>
  <c r="C101" i="1"/>
  <c r="C112" i="1" s="1"/>
  <c r="D101" i="1"/>
  <c r="E101" i="1"/>
  <c r="F101" i="1"/>
  <c r="G101" i="1"/>
  <c r="H101" i="1"/>
  <c r="I101" i="1"/>
  <c r="J101" i="1"/>
  <c r="K101" i="1"/>
  <c r="L101" i="1"/>
  <c r="L112" i="1" s="1"/>
  <c r="M101" i="1"/>
  <c r="M112" i="1" s="1"/>
  <c r="N101" i="1"/>
  <c r="N112" i="1" s="1"/>
  <c r="O101" i="1"/>
  <c r="O112" i="1" s="1"/>
  <c r="P101" i="1"/>
  <c r="Q101" i="1"/>
  <c r="R101" i="1"/>
  <c r="S101" i="1"/>
  <c r="T101" i="1"/>
  <c r="U101" i="1"/>
  <c r="V101" i="1"/>
  <c r="W101" i="1"/>
  <c r="X101" i="1"/>
  <c r="X112" i="1" s="1"/>
  <c r="Y101" i="1"/>
  <c r="Y112" i="1" s="1"/>
  <c r="Z101" i="1"/>
  <c r="Z112" i="1" s="1"/>
  <c r="AA101" i="1"/>
  <c r="AA112" i="1" s="1"/>
  <c r="AB101" i="1"/>
  <c r="AC101" i="1"/>
  <c r="AD101" i="1"/>
  <c r="AE101" i="1"/>
  <c r="AF101" i="1"/>
  <c r="AG101" i="1"/>
  <c r="AH101" i="1"/>
  <c r="AI101" i="1"/>
  <c r="AJ101" i="1"/>
  <c r="AJ112" i="1" s="1"/>
  <c r="AK101" i="1"/>
  <c r="AK112" i="1" s="1"/>
  <c r="AL101" i="1"/>
  <c r="AL112" i="1" s="1"/>
  <c r="AM101" i="1"/>
  <c r="AM112" i="1" s="1"/>
  <c r="AN101" i="1"/>
  <c r="AO101" i="1"/>
  <c r="B101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B96" i="1"/>
  <c r="C75" i="1"/>
  <c r="D75" i="1"/>
  <c r="D76" i="1" s="1"/>
  <c r="D77" i="1" s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B76" i="1" s="1"/>
  <c r="AB77" i="1" s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B75" i="1"/>
  <c r="D69" i="1"/>
  <c r="O69" i="1"/>
  <c r="P69" i="1"/>
  <c r="Q69" i="1"/>
  <c r="R69" i="1"/>
  <c r="R76" i="1" s="1"/>
  <c r="U69" i="1"/>
  <c r="AB69" i="1"/>
  <c r="AM69" i="1"/>
  <c r="AN69" i="1"/>
  <c r="AO69" i="1"/>
  <c r="B69" i="1"/>
  <c r="B76" i="1" s="1"/>
  <c r="C63" i="1"/>
  <c r="C69" i="1" s="1"/>
  <c r="D63" i="1"/>
  <c r="E63" i="1"/>
  <c r="E69" i="1" s="1"/>
  <c r="F63" i="1"/>
  <c r="F69" i="1" s="1"/>
  <c r="F76" i="1" s="1"/>
  <c r="F77" i="1" s="1"/>
  <c r="G63" i="1"/>
  <c r="G69" i="1" s="1"/>
  <c r="H63" i="1"/>
  <c r="H69" i="1" s="1"/>
  <c r="I63" i="1"/>
  <c r="I69" i="1" s="1"/>
  <c r="J63" i="1"/>
  <c r="J69" i="1" s="1"/>
  <c r="K63" i="1"/>
  <c r="K69" i="1" s="1"/>
  <c r="K76" i="1" s="1"/>
  <c r="K77" i="1" s="1"/>
  <c r="L63" i="1"/>
  <c r="L69" i="1" s="1"/>
  <c r="L76" i="1" s="1"/>
  <c r="L77" i="1" s="1"/>
  <c r="M63" i="1"/>
  <c r="M69" i="1" s="1"/>
  <c r="N63" i="1"/>
  <c r="N69" i="1" s="1"/>
  <c r="O63" i="1"/>
  <c r="P63" i="1"/>
  <c r="Q63" i="1"/>
  <c r="R63" i="1"/>
  <c r="S63" i="1"/>
  <c r="S69" i="1" s="1"/>
  <c r="T63" i="1"/>
  <c r="T69" i="1" s="1"/>
  <c r="U63" i="1"/>
  <c r="V63" i="1"/>
  <c r="V69" i="1" s="1"/>
  <c r="W63" i="1"/>
  <c r="W69" i="1" s="1"/>
  <c r="W76" i="1" s="1"/>
  <c r="W77" i="1" s="1"/>
  <c r="X63" i="1"/>
  <c r="X69" i="1" s="1"/>
  <c r="X76" i="1" s="1"/>
  <c r="X77" i="1" s="1"/>
  <c r="Y63" i="1"/>
  <c r="Y69" i="1" s="1"/>
  <c r="Z63" i="1"/>
  <c r="Z69" i="1" s="1"/>
  <c r="AA63" i="1"/>
  <c r="AA69" i="1" s="1"/>
  <c r="AB63" i="1"/>
  <c r="AC63" i="1"/>
  <c r="AC69" i="1" s="1"/>
  <c r="AD63" i="1"/>
  <c r="AD69" i="1" s="1"/>
  <c r="AD76" i="1" s="1"/>
  <c r="AD77" i="1" s="1"/>
  <c r="AE63" i="1"/>
  <c r="AE69" i="1" s="1"/>
  <c r="AF63" i="1"/>
  <c r="AF69" i="1" s="1"/>
  <c r="AG63" i="1"/>
  <c r="AG69" i="1" s="1"/>
  <c r="AH63" i="1"/>
  <c r="AH69" i="1" s="1"/>
  <c r="AI63" i="1"/>
  <c r="AI69" i="1" s="1"/>
  <c r="AI76" i="1" s="1"/>
  <c r="AI77" i="1" s="1"/>
  <c r="AJ63" i="1"/>
  <c r="AJ69" i="1" s="1"/>
  <c r="AJ76" i="1" s="1"/>
  <c r="AJ77" i="1" s="1"/>
  <c r="AK63" i="1"/>
  <c r="AK69" i="1" s="1"/>
  <c r="AL63" i="1"/>
  <c r="AL69" i="1" s="1"/>
  <c r="AM63" i="1"/>
  <c r="AN63" i="1"/>
  <c r="AO63" i="1"/>
  <c r="B63" i="1"/>
  <c r="U47" i="1"/>
  <c r="U54" i="1" s="1"/>
  <c r="V47" i="1"/>
  <c r="V54" i="1" s="1"/>
  <c r="AC47" i="1"/>
  <c r="AC54" i="1" s="1"/>
  <c r="C41" i="1"/>
  <c r="C47" i="1" s="1"/>
  <c r="C54" i="1" s="1"/>
  <c r="D41" i="1"/>
  <c r="D47" i="1" s="1"/>
  <c r="D54" i="1" s="1"/>
  <c r="E41" i="1"/>
  <c r="E47" i="1" s="1"/>
  <c r="E54" i="1" s="1"/>
  <c r="F41" i="1"/>
  <c r="F47" i="1" s="1"/>
  <c r="F54" i="1" s="1"/>
  <c r="G41" i="1"/>
  <c r="G47" i="1" s="1"/>
  <c r="G54" i="1" s="1"/>
  <c r="H41" i="1"/>
  <c r="H47" i="1" s="1"/>
  <c r="H54" i="1" s="1"/>
  <c r="I41" i="1"/>
  <c r="I47" i="1" s="1"/>
  <c r="I54" i="1" s="1"/>
  <c r="J41" i="1"/>
  <c r="J47" i="1" s="1"/>
  <c r="J54" i="1" s="1"/>
  <c r="K41" i="1"/>
  <c r="K47" i="1" s="1"/>
  <c r="K54" i="1" s="1"/>
  <c r="L41" i="1"/>
  <c r="L47" i="1" s="1"/>
  <c r="L54" i="1" s="1"/>
  <c r="M41" i="1"/>
  <c r="M47" i="1" s="1"/>
  <c r="M54" i="1" s="1"/>
  <c r="N41" i="1"/>
  <c r="N47" i="1" s="1"/>
  <c r="N54" i="1" s="1"/>
  <c r="O41" i="1"/>
  <c r="O47" i="1" s="1"/>
  <c r="O54" i="1" s="1"/>
  <c r="P41" i="1"/>
  <c r="P47" i="1" s="1"/>
  <c r="P54" i="1" s="1"/>
  <c r="Q41" i="1"/>
  <c r="Q47" i="1" s="1"/>
  <c r="Q54" i="1" s="1"/>
  <c r="R41" i="1"/>
  <c r="R47" i="1" s="1"/>
  <c r="R54" i="1" s="1"/>
  <c r="R77" i="1" s="1"/>
  <c r="S41" i="1"/>
  <c r="S47" i="1" s="1"/>
  <c r="S54" i="1" s="1"/>
  <c r="T41" i="1"/>
  <c r="T47" i="1" s="1"/>
  <c r="T54" i="1" s="1"/>
  <c r="U41" i="1"/>
  <c r="V41" i="1"/>
  <c r="W41" i="1"/>
  <c r="W47" i="1" s="1"/>
  <c r="W54" i="1" s="1"/>
  <c r="X41" i="1"/>
  <c r="X47" i="1" s="1"/>
  <c r="X54" i="1" s="1"/>
  <c r="Y41" i="1"/>
  <c r="Y47" i="1" s="1"/>
  <c r="Y54" i="1" s="1"/>
  <c r="Z41" i="1"/>
  <c r="Z47" i="1" s="1"/>
  <c r="Z54" i="1" s="1"/>
  <c r="AA41" i="1"/>
  <c r="AA47" i="1" s="1"/>
  <c r="AA54" i="1" s="1"/>
  <c r="AB41" i="1"/>
  <c r="AB47" i="1" s="1"/>
  <c r="AB54" i="1" s="1"/>
  <c r="AC41" i="1"/>
  <c r="AD41" i="1"/>
  <c r="AD47" i="1" s="1"/>
  <c r="AD54" i="1" s="1"/>
  <c r="AE41" i="1"/>
  <c r="AE47" i="1" s="1"/>
  <c r="AE54" i="1" s="1"/>
  <c r="AF41" i="1"/>
  <c r="AF47" i="1" s="1"/>
  <c r="AF54" i="1" s="1"/>
  <c r="AG41" i="1"/>
  <c r="AG47" i="1" s="1"/>
  <c r="AG54" i="1" s="1"/>
  <c r="AH41" i="1"/>
  <c r="AH47" i="1" s="1"/>
  <c r="AH54" i="1" s="1"/>
  <c r="AI41" i="1"/>
  <c r="AI47" i="1" s="1"/>
  <c r="AI54" i="1" s="1"/>
  <c r="AJ41" i="1"/>
  <c r="AJ47" i="1" s="1"/>
  <c r="AJ54" i="1" s="1"/>
  <c r="AK41" i="1"/>
  <c r="AK47" i="1" s="1"/>
  <c r="AK54" i="1" s="1"/>
  <c r="AL41" i="1"/>
  <c r="AL47" i="1" s="1"/>
  <c r="AL54" i="1" s="1"/>
  <c r="AM41" i="1"/>
  <c r="AM47" i="1" s="1"/>
  <c r="AM54" i="1" s="1"/>
  <c r="AN41" i="1"/>
  <c r="AN47" i="1" s="1"/>
  <c r="AN54" i="1" s="1"/>
  <c r="AO41" i="1"/>
  <c r="AO47" i="1" s="1"/>
  <c r="AO54" i="1" s="1"/>
  <c r="B41" i="1"/>
  <c r="B47" i="1" s="1"/>
  <c r="B54" i="1" s="1"/>
  <c r="B77" i="1" s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B30" i="1"/>
  <c r="C6" i="1"/>
  <c r="C11" i="1" s="1"/>
  <c r="C21" i="1" s="1"/>
  <c r="C24" i="1" s="1"/>
  <c r="C27" i="1" s="1"/>
  <c r="D6" i="1"/>
  <c r="D11" i="1" s="1"/>
  <c r="D21" i="1" s="1"/>
  <c r="D24" i="1" s="1"/>
  <c r="D27" i="1" s="1"/>
  <c r="E6" i="1"/>
  <c r="E11" i="1" s="1"/>
  <c r="E21" i="1" s="1"/>
  <c r="E24" i="1" s="1"/>
  <c r="E27" i="1" s="1"/>
  <c r="F6" i="1"/>
  <c r="F11" i="1" s="1"/>
  <c r="F21" i="1" s="1"/>
  <c r="F24" i="1" s="1"/>
  <c r="F27" i="1" s="1"/>
  <c r="G6" i="1"/>
  <c r="G11" i="1" s="1"/>
  <c r="G21" i="1" s="1"/>
  <c r="G24" i="1" s="1"/>
  <c r="G27" i="1" s="1"/>
  <c r="H6" i="1"/>
  <c r="H11" i="1" s="1"/>
  <c r="H21" i="1" s="1"/>
  <c r="H24" i="1" s="1"/>
  <c r="H28" i="1" s="1"/>
  <c r="I6" i="1"/>
  <c r="I11" i="1" s="1"/>
  <c r="I21" i="1" s="1"/>
  <c r="I24" i="1" s="1"/>
  <c r="I28" i="1" s="1"/>
  <c r="J6" i="1"/>
  <c r="J11" i="1" s="1"/>
  <c r="J21" i="1" s="1"/>
  <c r="J24" i="1" s="1"/>
  <c r="J28" i="1" s="1"/>
  <c r="K6" i="1"/>
  <c r="K11" i="1" s="1"/>
  <c r="K21" i="1" s="1"/>
  <c r="K24" i="1" s="1"/>
  <c r="L6" i="1"/>
  <c r="L11" i="1" s="1"/>
  <c r="L21" i="1" s="1"/>
  <c r="L24" i="1" s="1"/>
  <c r="M6" i="1"/>
  <c r="M11" i="1" s="1"/>
  <c r="M21" i="1" s="1"/>
  <c r="M24" i="1" s="1"/>
  <c r="N6" i="1"/>
  <c r="N11" i="1" s="1"/>
  <c r="N21" i="1" s="1"/>
  <c r="N24" i="1" s="1"/>
  <c r="O6" i="1"/>
  <c r="O11" i="1" s="1"/>
  <c r="O21" i="1" s="1"/>
  <c r="O24" i="1" s="1"/>
  <c r="O27" i="1" s="1"/>
  <c r="P6" i="1"/>
  <c r="P11" i="1" s="1"/>
  <c r="P21" i="1" s="1"/>
  <c r="P24" i="1" s="1"/>
  <c r="P27" i="1" s="1"/>
  <c r="Q6" i="1"/>
  <c r="Q11" i="1" s="1"/>
  <c r="Q21" i="1" s="1"/>
  <c r="Q24" i="1" s="1"/>
  <c r="Q27" i="1" s="1"/>
  <c r="R6" i="1"/>
  <c r="R11" i="1" s="1"/>
  <c r="R21" i="1" s="1"/>
  <c r="R24" i="1" s="1"/>
  <c r="R27" i="1" s="1"/>
  <c r="S6" i="1"/>
  <c r="S11" i="1" s="1"/>
  <c r="S21" i="1" s="1"/>
  <c r="S24" i="1" s="1"/>
  <c r="S27" i="1" s="1"/>
  <c r="T6" i="1"/>
  <c r="T11" i="1" s="1"/>
  <c r="T21" i="1" s="1"/>
  <c r="T24" i="1" s="1"/>
  <c r="T28" i="1" s="1"/>
  <c r="U6" i="1"/>
  <c r="U11" i="1" s="1"/>
  <c r="U21" i="1" s="1"/>
  <c r="U24" i="1" s="1"/>
  <c r="U27" i="1" s="1"/>
  <c r="V6" i="1"/>
  <c r="V11" i="1" s="1"/>
  <c r="V21" i="1" s="1"/>
  <c r="V24" i="1" s="1"/>
  <c r="V28" i="1" s="1"/>
  <c r="W6" i="1"/>
  <c r="W11" i="1" s="1"/>
  <c r="W21" i="1" s="1"/>
  <c r="W24" i="1" s="1"/>
  <c r="W27" i="1" s="1"/>
  <c r="X6" i="1"/>
  <c r="X11" i="1" s="1"/>
  <c r="X21" i="1" s="1"/>
  <c r="X24" i="1" s="1"/>
  <c r="X28" i="1" s="1"/>
  <c r="Y6" i="1"/>
  <c r="Y11" i="1" s="1"/>
  <c r="Y21" i="1" s="1"/>
  <c r="Y24" i="1" s="1"/>
  <c r="Y28" i="1" s="1"/>
  <c r="Z6" i="1"/>
  <c r="Z11" i="1" s="1"/>
  <c r="Z21" i="1" s="1"/>
  <c r="Z24" i="1" s="1"/>
  <c r="Z27" i="1" s="1"/>
  <c r="AA6" i="1"/>
  <c r="AA11" i="1" s="1"/>
  <c r="AA21" i="1" s="1"/>
  <c r="AA24" i="1" s="1"/>
  <c r="AA27" i="1" s="1"/>
  <c r="AB6" i="1"/>
  <c r="AB11" i="1" s="1"/>
  <c r="AB21" i="1" s="1"/>
  <c r="AB24" i="1" s="1"/>
  <c r="AB27" i="1" s="1"/>
  <c r="AC6" i="1"/>
  <c r="AC11" i="1" s="1"/>
  <c r="AC21" i="1" s="1"/>
  <c r="AC24" i="1" s="1"/>
  <c r="AC27" i="1" s="1"/>
  <c r="AD6" i="1"/>
  <c r="AD11" i="1" s="1"/>
  <c r="AD21" i="1" s="1"/>
  <c r="AD24" i="1" s="1"/>
  <c r="AD27" i="1" s="1"/>
  <c r="AE6" i="1"/>
  <c r="AE11" i="1" s="1"/>
  <c r="AE21" i="1" s="1"/>
  <c r="AE24" i="1" s="1"/>
  <c r="AE27" i="1" s="1"/>
  <c r="AF6" i="1"/>
  <c r="AF11" i="1" s="1"/>
  <c r="AF21" i="1" s="1"/>
  <c r="AF24" i="1" s="1"/>
  <c r="AF28" i="1" s="1"/>
  <c r="AG6" i="1"/>
  <c r="AG11" i="1" s="1"/>
  <c r="AG21" i="1" s="1"/>
  <c r="AG24" i="1" s="1"/>
  <c r="AG27" i="1" s="1"/>
  <c r="AH6" i="1"/>
  <c r="AH11" i="1" s="1"/>
  <c r="AH21" i="1" s="1"/>
  <c r="AH24" i="1" s="1"/>
  <c r="AH28" i="1" s="1"/>
  <c r="AI6" i="1"/>
  <c r="AI11" i="1" s="1"/>
  <c r="AI21" i="1" s="1"/>
  <c r="AI24" i="1" s="1"/>
  <c r="AJ6" i="1"/>
  <c r="AJ11" i="1" s="1"/>
  <c r="AJ21" i="1" s="1"/>
  <c r="AJ24" i="1" s="1"/>
  <c r="AJ28" i="1" s="1"/>
  <c r="AK6" i="1"/>
  <c r="AK11" i="1" s="1"/>
  <c r="AK21" i="1" s="1"/>
  <c r="AK24" i="1" s="1"/>
  <c r="AK28" i="1" s="1"/>
  <c r="AL6" i="1"/>
  <c r="AL11" i="1" s="1"/>
  <c r="AL21" i="1" s="1"/>
  <c r="AL24" i="1" s="1"/>
  <c r="AL28" i="1" s="1"/>
  <c r="AM6" i="1"/>
  <c r="AM11" i="1" s="1"/>
  <c r="AM21" i="1" s="1"/>
  <c r="AM24" i="1" s="1"/>
  <c r="AM27" i="1" s="1"/>
  <c r="AN6" i="1"/>
  <c r="AN11" i="1" s="1"/>
  <c r="AN21" i="1" s="1"/>
  <c r="AN24" i="1" s="1"/>
  <c r="AN27" i="1" s="1"/>
  <c r="AO6" i="1"/>
  <c r="AO11" i="1" s="1"/>
  <c r="AO21" i="1" s="1"/>
  <c r="AO24" i="1" s="1"/>
  <c r="AO27" i="1" s="1"/>
  <c r="B6" i="1"/>
  <c r="B11" i="1" s="1"/>
  <c r="B21" i="1" s="1"/>
  <c r="B24" i="1" s="1"/>
  <c r="B28" i="1" s="1"/>
  <c r="AH76" i="1" l="1"/>
  <c r="AH77" i="1" s="1"/>
  <c r="V76" i="1"/>
  <c r="V77" i="1" s="1"/>
  <c r="J76" i="1"/>
  <c r="J77" i="1" s="1"/>
  <c r="AG76" i="1"/>
  <c r="AG77" i="1" s="1"/>
  <c r="U76" i="1"/>
  <c r="U77" i="1" s="1"/>
  <c r="I76" i="1"/>
  <c r="I77" i="1" s="1"/>
  <c r="AO76" i="1"/>
  <c r="AO77" i="1" s="1"/>
  <c r="AC76" i="1"/>
  <c r="AC77" i="1" s="1"/>
  <c r="Q76" i="1"/>
  <c r="Q77" i="1" s="1"/>
  <c r="E76" i="1"/>
  <c r="E77" i="1" s="1"/>
  <c r="AL76" i="1"/>
  <c r="AL77" i="1" s="1"/>
  <c r="Z76" i="1"/>
  <c r="Z77" i="1" s="1"/>
  <c r="N76" i="1"/>
  <c r="N77" i="1" s="1"/>
  <c r="AN76" i="1"/>
  <c r="AN77" i="1" s="1"/>
  <c r="P76" i="1"/>
  <c r="P77" i="1" s="1"/>
  <c r="AK76" i="1"/>
  <c r="AK77" i="1" s="1"/>
  <c r="Y76" i="1"/>
  <c r="Y77" i="1" s="1"/>
  <c r="M76" i="1"/>
  <c r="M77" i="1" s="1"/>
  <c r="AM76" i="1"/>
  <c r="AM77" i="1" s="1"/>
  <c r="AA76" i="1"/>
  <c r="AA77" i="1" s="1"/>
  <c r="O76" i="1"/>
  <c r="O77" i="1" s="1"/>
  <c r="C76" i="1"/>
  <c r="C77" i="1" s="1"/>
  <c r="AF76" i="1"/>
  <c r="AF77" i="1" s="1"/>
  <c r="T76" i="1"/>
  <c r="T77" i="1" s="1"/>
  <c r="H76" i="1"/>
  <c r="H77" i="1" s="1"/>
  <c r="AE76" i="1"/>
  <c r="AE77" i="1" s="1"/>
  <c r="S76" i="1"/>
  <c r="S77" i="1" s="1"/>
  <c r="G76" i="1"/>
  <c r="G77" i="1" s="1"/>
  <c r="Z31" i="1"/>
  <c r="Z32" i="1" s="1"/>
  <c r="Z33" i="1" s="1"/>
  <c r="AL31" i="1"/>
  <c r="AK31" i="1"/>
  <c r="AJ31" i="1"/>
  <c r="Z29" i="1"/>
  <c r="Y31" i="1"/>
  <c r="X31" i="1"/>
  <c r="N31" i="1"/>
  <c r="M31" i="1"/>
  <c r="L31" i="1"/>
  <c r="K31" i="1"/>
  <c r="AI31" i="1"/>
  <c r="W31" i="1"/>
  <c r="AH31" i="1"/>
  <c r="V31" i="1"/>
  <c r="J31" i="1"/>
  <c r="AG31" i="1"/>
  <c r="U31" i="1"/>
  <c r="I31" i="1"/>
  <c r="AN28" i="1"/>
  <c r="AF31" i="1"/>
  <c r="T31" i="1"/>
  <c r="H31" i="1"/>
  <c r="AB28" i="1"/>
  <c r="AE31" i="1"/>
  <c r="S31" i="1"/>
  <c r="G31" i="1"/>
  <c r="Z28" i="1"/>
  <c r="B31" i="1"/>
  <c r="AD31" i="1"/>
  <c r="R31" i="1"/>
  <c r="F31" i="1"/>
  <c r="P28" i="1"/>
  <c r="AO31" i="1"/>
  <c r="AC31" i="1"/>
  <c r="Q31" i="1"/>
  <c r="E31" i="1"/>
  <c r="AN31" i="1"/>
  <c r="AB31" i="1"/>
  <c r="P31" i="1"/>
  <c r="D31" i="1"/>
  <c r="Y27" i="1"/>
  <c r="AM31" i="1"/>
  <c r="AA31" i="1"/>
  <c r="O31" i="1"/>
  <c r="C31" i="1"/>
  <c r="AI27" i="1"/>
  <c r="AI28" i="1"/>
  <c r="W28" i="1"/>
  <c r="D28" i="1"/>
  <c r="X27" i="1"/>
  <c r="K27" i="1"/>
  <c r="K28" i="1"/>
  <c r="N28" i="1"/>
  <c r="N27" i="1"/>
  <c r="M28" i="1"/>
  <c r="M27" i="1"/>
  <c r="L28" i="1"/>
  <c r="L27" i="1"/>
  <c r="U28" i="1"/>
  <c r="B27" i="1"/>
  <c r="AE28" i="1"/>
  <c r="S28" i="1"/>
  <c r="G28" i="1"/>
  <c r="AH27" i="1"/>
  <c r="V27" i="1"/>
  <c r="J27" i="1"/>
  <c r="AG28" i="1"/>
  <c r="AJ27" i="1"/>
  <c r="AD28" i="1"/>
  <c r="R28" i="1"/>
  <c r="F28" i="1"/>
  <c r="I27" i="1"/>
  <c r="AO28" i="1"/>
  <c r="AC28" i="1"/>
  <c r="Q28" i="1"/>
  <c r="E28" i="1"/>
  <c r="AF27" i="1"/>
  <c r="T27" i="1"/>
  <c r="H27" i="1"/>
  <c r="AL27" i="1"/>
  <c r="AK27" i="1"/>
  <c r="AM28" i="1"/>
  <c r="AA28" i="1"/>
  <c r="O28" i="1"/>
  <c r="C28" i="1"/>
  <c r="T29" i="1" l="1"/>
  <c r="T32" i="1"/>
  <c r="T33" i="1" s="1"/>
  <c r="AF29" i="1"/>
  <c r="AF32" i="1"/>
  <c r="AF33" i="1" s="1"/>
  <c r="K29" i="1"/>
  <c r="K32" i="1"/>
  <c r="K33" i="1" s="1"/>
  <c r="W29" i="1"/>
  <c r="W32" i="1"/>
  <c r="W33" i="1" s="1"/>
  <c r="C29" i="1"/>
  <c r="C32" i="1"/>
  <c r="C33" i="1" s="1"/>
  <c r="N29" i="1"/>
  <c r="N32" i="1"/>
  <c r="N33" i="1" s="1"/>
  <c r="E29" i="1"/>
  <c r="E32" i="1"/>
  <c r="E33" i="1" s="1"/>
  <c r="Q29" i="1"/>
  <c r="Q32" i="1"/>
  <c r="Q33" i="1" s="1"/>
  <c r="H29" i="1"/>
  <c r="H32" i="1"/>
  <c r="H33" i="1" s="1"/>
  <c r="L29" i="1"/>
  <c r="L32" i="1"/>
  <c r="L33" i="1" s="1"/>
  <c r="O29" i="1"/>
  <c r="O32" i="1"/>
  <c r="O33" i="1" s="1"/>
  <c r="M29" i="1"/>
  <c r="M32" i="1"/>
  <c r="M33" i="1" s="1"/>
  <c r="AA29" i="1"/>
  <c r="AA32" i="1"/>
  <c r="AA33" i="1" s="1"/>
  <c r="F29" i="1"/>
  <c r="F32" i="1"/>
  <c r="F33" i="1" s="1"/>
  <c r="U29" i="1"/>
  <c r="U32" i="1"/>
  <c r="U33" i="1" s="1"/>
  <c r="AG29" i="1"/>
  <c r="AG32" i="1"/>
  <c r="AG33" i="1" s="1"/>
  <c r="AE29" i="1"/>
  <c r="AE32" i="1"/>
  <c r="AE33" i="1" s="1"/>
  <c r="AI29" i="1"/>
  <c r="AI32" i="1"/>
  <c r="AI33" i="1" s="1"/>
  <c r="AC29" i="1"/>
  <c r="AC32" i="1"/>
  <c r="AC33" i="1" s="1"/>
  <c r="AO29" i="1"/>
  <c r="AO32" i="1"/>
  <c r="AO33" i="1" s="1"/>
  <c r="AM29" i="1"/>
  <c r="AM32" i="1"/>
  <c r="AM33" i="1" s="1"/>
  <c r="R29" i="1"/>
  <c r="R32" i="1"/>
  <c r="R33" i="1" s="1"/>
  <c r="I29" i="1"/>
  <c r="I32" i="1"/>
  <c r="I33" i="1" s="1"/>
  <c r="X29" i="1"/>
  <c r="X32" i="1"/>
  <c r="X33" i="1" s="1"/>
  <c r="AD29" i="1"/>
  <c r="AD32" i="1"/>
  <c r="AD33" i="1" s="1"/>
  <c r="Y29" i="1"/>
  <c r="Y32" i="1"/>
  <c r="Y33" i="1" s="1"/>
  <c r="D29" i="1"/>
  <c r="D32" i="1"/>
  <c r="D33" i="1" s="1"/>
  <c r="B29" i="1"/>
  <c r="B32" i="1"/>
  <c r="B33" i="1" s="1"/>
  <c r="P29" i="1"/>
  <c r="P32" i="1"/>
  <c r="P33" i="1" s="1"/>
  <c r="J29" i="1"/>
  <c r="J32" i="1"/>
  <c r="J33" i="1" s="1"/>
  <c r="AJ29" i="1"/>
  <c r="AJ32" i="1"/>
  <c r="AJ33" i="1" s="1"/>
  <c r="AB29" i="1"/>
  <c r="AB32" i="1"/>
  <c r="AB33" i="1" s="1"/>
  <c r="G29" i="1"/>
  <c r="G32" i="1"/>
  <c r="G33" i="1" s="1"/>
  <c r="V29" i="1"/>
  <c r="V32" i="1"/>
  <c r="V33" i="1" s="1"/>
  <c r="AK29" i="1"/>
  <c r="AK32" i="1"/>
  <c r="AK33" i="1" s="1"/>
  <c r="AN29" i="1"/>
  <c r="AN32" i="1"/>
  <c r="AN33" i="1" s="1"/>
  <c r="S29" i="1"/>
  <c r="S32" i="1"/>
  <c r="S33" i="1" s="1"/>
  <c r="AH29" i="1"/>
  <c r="AH32" i="1"/>
  <c r="AH33" i="1" s="1"/>
  <c r="AL29" i="1"/>
  <c r="AL32" i="1"/>
  <c r="AL33" i="1" s="1"/>
</calcChain>
</file>

<file path=xl/sharedStrings.xml><?xml version="1.0" encoding="utf-8"?>
<sst xmlns="http://schemas.openxmlformats.org/spreadsheetml/2006/main" count="237" uniqueCount="154">
  <si>
    <t>Line Item</t>
  </si>
  <si>
    <t>Q1 2016</t>
  </si>
  <si>
    <t>Q2 2016</t>
  </si>
  <si>
    <t>Q3 2016</t>
  </si>
  <si>
    <t>Q4 2016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</si>
  <si>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</si>
  <si>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</si>
  <si>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</si>
  <si>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</si>
  <si>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</si>
  <si>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</si>
  <si>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</si>
  <si>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</si>
  <si>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</si>
  <si>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</si>
  <si>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</si>
  <si>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</si>
  <si>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</si>
  <si>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</si>
  <si>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</si>
  <si>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</si>
  <si>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</si>
  <si>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</si>
  <si>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</si>
  <si>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</si>
  <si>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</si>
  <si>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</si>
  <si>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</si>
  <si>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</si>
  <si>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</si>
  <si>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</si>
  <si>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</si>
  <si>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</si>
  <si>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</si>
  <si>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</si>
  <si>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</si>
  <si>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</si>
  <si>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</si>
  <si>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</si>
  <si>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</si>
  <si>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</si>
  <si>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Revenue</t>
  </si>
  <si>
    <t>Cost of Revenue</t>
  </si>
  <si>
    <t>Gross Profit</t>
  </si>
  <si>
    <t>SG&amp;A</t>
  </si>
  <si>
    <t>Research &amp; Development</t>
  </si>
  <si>
    <t>Amortization of Goodwill &amp; Intangibles</t>
  </si>
  <si>
    <t>Other Operating Expenses</t>
  </si>
  <si>
    <t>Operating Income</t>
  </si>
  <si>
    <t>Interest Expense</t>
  </si>
  <si>
    <t>Interest &amp; Investment Income</t>
  </si>
  <si>
    <t>Earnings From Equity Investments</t>
  </si>
  <si>
    <t>Currency Exchange Gain (Loss)</t>
  </si>
  <si>
    <t>Other Non Operating Income (Expenses)</t>
  </si>
  <si>
    <t>Merger &amp; Restructuring Charges</t>
  </si>
  <si>
    <t>Gain (Loss) on Sale of Investments</t>
  </si>
  <si>
    <t>Asset Writedown</t>
  </si>
  <si>
    <t>Other Unusual Items</t>
  </si>
  <si>
    <t>Pretax Income</t>
  </si>
  <si>
    <t>Income Tax Expense</t>
  </si>
  <si>
    <t>Earnings From Discontinued Operations</t>
  </si>
  <si>
    <t>Net Income</t>
  </si>
  <si>
    <t>Shares Outstanding (Basic)</t>
  </si>
  <si>
    <t>Shares Outstanding (Diluted)</t>
  </si>
  <si>
    <t>EPS (Basic)</t>
  </si>
  <si>
    <t>EPS (Diluted)</t>
  </si>
  <si>
    <t>EBITDA</t>
  </si>
  <si>
    <t>D&amp;A For EBITDA</t>
  </si>
  <si>
    <t>EBIT</t>
  </si>
  <si>
    <t>Balance Sheet ($mm)</t>
  </si>
  <si>
    <t>Cash &amp; Equivalents</t>
  </si>
  <si>
    <t>Short-Term Investments</t>
  </si>
  <si>
    <t>Cash &amp; Short-Term Investments</t>
  </si>
  <si>
    <t>Receivables</t>
  </si>
  <si>
    <t>Inventory</t>
  </si>
  <si>
    <t>Prepaid Expenses</t>
  </si>
  <si>
    <t>Restricted Cash</t>
  </si>
  <si>
    <t>Other Current Assets</t>
  </si>
  <si>
    <t>Total Current Assets</t>
  </si>
  <si>
    <t>Property, Plant &amp; Equipment</t>
  </si>
  <si>
    <t>Long-Term Investments</t>
  </si>
  <si>
    <t>Goodwill</t>
  </si>
  <si>
    <t>Other Intangible Assets</t>
  </si>
  <si>
    <t>Long-Term Deferred Tax Assets</t>
  </si>
  <si>
    <t>Other Long-Term Assets</t>
  </si>
  <si>
    <t>Total Assets</t>
  </si>
  <si>
    <t>Accounts Payable</t>
  </si>
  <si>
    <t>Accrued Expenses</t>
  </si>
  <si>
    <t>Short-Term Debt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</si>
  <si>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</si>
  <si>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</si>
  <si>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</si>
  <si>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</si>
  <si>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</si>
  <si>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</si>
  <si>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</si>
  <si>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</si>
  <si>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Long-Term Unearned Revenue</t>
  </si>
  <si>
    <t>Long-Term Deferred Tax Liabilities</t>
  </si>
  <si>
    <t>Other Long-Term Liabilities</t>
  </si>
  <si>
    <t>Total Liabilities</t>
  </si>
  <si>
    <t>Common Stock</t>
  </si>
  <si>
    <t>Additional Paid-In Capital</t>
  </si>
  <si>
    <t>Retained Earnings</t>
  </si>
  <si>
    <t>Treasury Stock</t>
  </si>
  <si>
    <t>Comprehensive Income &amp; Other</t>
  </si>
  <si>
    <t>Shareholders' Equity</t>
  </si>
  <si>
    <t>Total Liabilities &amp; Equity</t>
  </si>
  <si>
    <t>Cash Flow Statement ($mm)</t>
  </si>
  <si>
    <t>Depreciation &amp; Amortization</t>
  </si>
  <si>
    <t>Other Amortization</t>
  </si>
  <si>
    <t>Loss (Gain) From Sale of Assets</t>
  </si>
  <si>
    <t>Asset Writedown &amp; Restructuring Costs</t>
  </si>
  <si>
    <t>Loss (Gain) From Sale of Investments</t>
  </si>
  <si>
    <t>Loss (Gain) on Equity Investments</t>
  </si>
  <si>
    <t>Stock-Based Compensation</t>
  </si>
  <si>
    <t>Other Operating Activities</t>
  </si>
  <si>
    <t>Change in Accounts Receivable</t>
  </si>
  <si>
    <t>Change in Inventory</t>
  </si>
  <si>
    <t>Change in Accounts Payable</t>
  </si>
  <si>
    <t>Change in Other Net Operating Assets</t>
  </si>
  <si>
    <t>Operating Cash Flow</t>
  </si>
  <si>
    <t>Capital Expenditures</t>
  </si>
  <si>
    <t>Cash Acquisitions</t>
  </si>
  <si>
    <t>Investment in Securities</t>
  </si>
  <si>
    <t>Other Investing Activities</t>
  </si>
  <si>
    <t>Investing Cash Flow</t>
  </si>
  <si>
    <t>Short-Term Debt Issued</t>
  </si>
  <si>
    <t>Long-Term Debt Issued</t>
  </si>
  <si>
    <t>Total Debt Issued</t>
  </si>
  <si>
    <t>Long-Term Debt Repaid</t>
  </si>
  <si>
    <t>Total Debt Repaid</t>
  </si>
  <si>
    <t>Net Debt Issued (Repaid)</t>
  </si>
  <si>
    <t>Issuance of Common Stock</t>
  </si>
  <si>
    <t>Repurchase of Common Stock</t>
  </si>
  <si>
    <t>Other Financing Activities</t>
  </si>
  <si>
    <t>Financing Cash Flow</t>
  </si>
  <si>
    <t>Net Cash Flow</t>
  </si>
  <si>
    <t>Normalized NI</t>
  </si>
  <si>
    <t>Normalized EPS</t>
  </si>
  <si>
    <t>Balance</t>
  </si>
  <si>
    <t>AMD</t>
  </si>
  <si>
    <t>Shares</t>
  </si>
  <si>
    <t>MC</t>
  </si>
  <si>
    <t>Cash</t>
  </si>
  <si>
    <t>Debt</t>
  </si>
  <si>
    <t>EV</t>
  </si>
  <si>
    <t>EPS Yield</t>
  </si>
  <si>
    <t>EBIT Yield</t>
  </si>
  <si>
    <t>EBITDA Yield</t>
  </si>
  <si>
    <t>FCF Yield</t>
  </si>
  <si>
    <t>FCF</t>
  </si>
  <si>
    <t>FCF/Share</t>
  </si>
  <si>
    <t>Income Statement ($mm)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</si>
</sst>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;\(#,##0\);&quot;-&quot;"/>
    <numFmt numFmtId="167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rgb="FF1F4E79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1" xfId="0" applyFont="1" applyBorder="1"/>
    <xf numFmtId="167" fontId="7" fillId="0" borderId="1" xfId="1" applyNumberFormat="1" applyFont="1" applyBorder="1" applyAlignment="1">
      <alignment horizontal="center"/>
    </xf>
    <xf numFmtId="167" fontId="8" fillId="0" borderId="1" xfId="1" applyNumberFormat="1" applyFont="1" applyBorder="1" applyAlignment="1">
      <alignment horizontal="center"/>
    </xf>
    <xf numFmtId="0" fontId="6" fillId="3" borderId="1" xfId="0" applyFont="1" applyFill="1" applyBorder="1"/>
    <xf numFmtId="167" fontId="3" fillId="3" borderId="1" xfId="1" applyNumberFormat="1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center"/>
    </xf>
    <xf numFmtId="43" fontId="1" fillId="0" borderId="1" xfId="1" applyFont="1" applyBorder="1" applyAlignment="1">
      <alignment horizontal="center"/>
    </xf>
    <xf numFmtId="167" fontId="1" fillId="3" borderId="1" xfId="1" applyNumberFormat="1" applyFont="1" applyFill="1" applyBorder="1" applyAlignment="1">
      <alignment horizontal="center"/>
    </xf>
    <xf numFmtId="0" fontId="6" fillId="3" borderId="0" xfId="0" applyFont="1" applyFill="1" applyBorder="1"/>
    <xf numFmtId="167" fontId="3" fillId="3" borderId="0" xfId="1" applyNumberFormat="1" applyFont="1" applyFill="1" applyBorder="1" applyAlignment="1">
      <alignment horizontal="center"/>
    </xf>
    <xf numFmtId="43" fontId="3" fillId="3" borderId="0" xfId="1" applyFont="1" applyFill="1" applyBorder="1" applyAlignment="1">
      <alignment horizontal="center"/>
    </xf>
    <xf numFmtId="0" fontId="1" fillId="0" borderId="0" xfId="0" applyFont="1"/>
    <xf numFmtId="0" fontId="1" fillId="0" borderId="0" xfId="0" applyFont="1"/>
    <xf numFmtId="0" fontId="3" fillId="0" borderId="0" xfId="0" applyFont="1"/>
    <xf numFmtId="164" fontId="3" fillId="0" borderId="0" xfId="0" applyNumberFormat="1" applyFont="1"/>
    <xf numFmtId="43" fontId="3" fillId="3" borderId="1" xfId="1" applyFont="1" applyFill="1" applyBorder="1" applyAlignment="1">
      <alignment horizontal="center"/>
    </xf>
    <xf numFmtId="43" fontId="3" fillId="0" borderId="0" xfId="1" applyFont="1"/>
    <xf numFmtId="167" fontId="1" fillId="0" borderId="0" xfId="1" applyNumberFormat="1" applyFont="1"/>
    <xf numFmtId="10" fontId="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4"/>
  <sheetViews>
    <sheetView workbookViewId="0">
      <pane xSplit="1" ySplit="3" topLeftCell="U4" activePane="bottomRight" state="frozen"/>
      <selection pane="topRight"/>
      <selection pane="bottomLeft"/>
      <selection pane="bottomRight" activeCell="A2" sqref="A2"/>
    </sheetView>
  </sheetViews>
  <sheetFormatPr defaultRowHeight="15" x14ac:dyDescent="0.2"/>
  <cols>
    <col min="1" max="1" width="49.140625" style="16" customWidth="1"/>
    <col min="2" max="41" width="14" style="16" customWidth="1"/>
    <col min="42" max="16384" width="9.140625" style="16"/>
  </cols>
  <sheetData>
    <row r="1" spans="1:41" ht="15.75" x14ac:dyDescent="0.25">
      <c r="A1" s="1" t="s">
        <v>153</v>
      </c>
      <c r="B1" s="15"/>
      <c r="C1" s="15"/>
      <c r="D1" s="15"/>
      <c r="E1" s="15"/>
    </row>
    <row r="3" spans="1:41" ht="15.75" x14ac:dyDescent="0.2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</row>
    <row r="4" spans="1:41" s="17" customFormat="1" ht="15.75" x14ac:dyDescent="0.25">
      <c r="A4" s="4" t="s">
        <v>41</v>
      </c>
      <c r="B4" s="5">
        <v>832</v>
      </c>
      <c r="C4" s="5">
        <v>1027</v>
      </c>
      <c r="D4" s="5">
        <v>1307</v>
      </c>
      <c r="E4" s="5">
        <v>1106</v>
      </c>
      <c r="F4" s="5">
        <v>1178</v>
      </c>
      <c r="G4" s="5">
        <v>1151</v>
      </c>
      <c r="H4" s="5">
        <v>1584</v>
      </c>
      <c r="I4" s="5">
        <v>1340</v>
      </c>
      <c r="J4" s="5">
        <v>1647</v>
      </c>
      <c r="K4" s="5">
        <v>1756</v>
      </c>
      <c r="L4" s="5">
        <v>1653</v>
      </c>
      <c r="M4" s="5">
        <v>1419</v>
      </c>
      <c r="N4" s="5">
        <v>1272</v>
      </c>
      <c r="O4" s="5">
        <v>1531</v>
      </c>
      <c r="P4" s="5">
        <v>1801</v>
      </c>
      <c r="Q4" s="5">
        <v>2127</v>
      </c>
      <c r="R4" s="5">
        <v>1786</v>
      </c>
      <c r="S4" s="5">
        <v>1932</v>
      </c>
      <c r="T4" s="5">
        <v>2801</v>
      </c>
      <c r="U4" s="5">
        <v>3244</v>
      </c>
      <c r="V4" s="5">
        <v>3445</v>
      </c>
      <c r="W4" s="5">
        <v>3850</v>
      </c>
      <c r="X4" s="5">
        <v>4313</v>
      </c>
      <c r="Y4" s="5">
        <v>4826</v>
      </c>
      <c r="Z4" s="5">
        <v>5887</v>
      </c>
      <c r="AA4" s="5">
        <v>6550</v>
      </c>
      <c r="AB4" s="5">
        <v>5565</v>
      </c>
      <c r="AC4" s="5">
        <v>5599</v>
      </c>
      <c r="AD4" s="5">
        <v>5353</v>
      </c>
      <c r="AE4" s="5">
        <v>5359</v>
      </c>
      <c r="AF4" s="5">
        <v>5800</v>
      </c>
      <c r="AG4" s="5">
        <v>6168</v>
      </c>
      <c r="AH4" s="5">
        <v>5473</v>
      </c>
      <c r="AI4" s="5">
        <v>5835</v>
      </c>
      <c r="AJ4" s="5">
        <v>6819</v>
      </c>
      <c r="AK4" s="5">
        <v>7658</v>
      </c>
      <c r="AL4" s="5">
        <v>7438</v>
      </c>
      <c r="AM4" s="5">
        <v>7685</v>
      </c>
      <c r="AN4" s="5">
        <v>9246</v>
      </c>
      <c r="AO4" s="5">
        <v>10270</v>
      </c>
    </row>
    <row r="5" spans="1:41" ht="15.75" x14ac:dyDescent="0.25">
      <c r="A5" s="4" t="s">
        <v>42</v>
      </c>
      <c r="B5" s="6">
        <v>563</v>
      </c>
      <c r="C5" s="6">
        <v>708</v>
      </c>
      <c r="D5" s="6">
        <v>908</v>
      </c>
      <c r="E5" s="6">
        <v>1095</v>
      </c>
      <c r="F5" s="6">
        <v>800</v>
      </c>
      <c r="G5" s="6">
        <v>765</v>
      </c>
      <c r="H5" s="6">
        <v>1013</v>
      </c>
      <c r="I5" s="6">
        <v>888</v>
      </c>
      <c r="J5" s="6">
        <v>1050</v>
      </c>
      <c r="K5" s="6">
        <v>1104</v>
      </c>
      <c r="L5" s="6">
        <v>992</v>
      </c>
      <c r="M5" s="6">
        <v>837</v>
      </c>
      <c r="N5" s="6">
        <v>751</v>
      </c>
      <c r="O5" s="6">
        <v>910</v>
      </c>
      <c r="P5" s="6">
        <v>1024</v>
      </c>
      <c r="Q5" s="6">
        <v>1178</v>
      </c>
      <c r="R5" s="6">
        <v>968</v>
      </c>
      <c r="S5" s="6">
        <v>1084</v>
      </c>
      <c r="T5" s="6">
        <v>1571</v>
      </c>
      <c r="U5" s="6">
        <v>1793</v>
      </c>
      <c r="V5" s="6">
        <v>1858</v>
      </c>
      <c r="W5" s="6">
        <v>2020</v>
      </c>
      <c r="X5" s="6">
        <v>2227</v>
      </c>
      <c r="Y5" s="6">
        <v>2400</v>
      </c>
      <c r="Z5" s="6">
        <v>2883</v>
      </c>
      <c r="AA5" s="6">
        <v>3115</v>
      </c>
      <c r="AB5" s="6">
        <v>2799</v>
      </c>
      <c r="AC5" s="6">
        <v>2753</v>
      </c>
      <c r="AD5" s="6">
        <v>2689</v>
      </c>
      <c r="AE5" s="6">
        <v>2704</v>
      </c>
      <c r="AF5" s="6">
        <v>2843</v>
      </c>
      <c r="AG5" s="6">
        <v>3042</v>
      </c>
      <c r="AH5" s="6">
        <v>2683</v>
      </c>
      <c r="AI5" s="6">
        <v>2740</v>
      </c>
      <c r="AJ5" s="6">
        <v>3167</v>
      </c>
      <c r="AK5" s="6">
        <v>3524</v>
      </c>
      <c r="AL5" s="6">
        <v>3451</v>
      </c>
      <c r="AM5" s="6">
        <v>4366</v>
      </c>
      <c r="AN5" s="6">
        <v>4206</v>
      </c>
      <c r="AO5" s="6">
        <v>4433</v>
      </c>
    </row>
    <row r="6" spans="1:41" s="17" customFormat="1" ht="15.75" x14ac:dyDescent="0.25">
      <c r="A6" s="7" t="s">
        <v>43</v>
      </c>
      <c r="B6" s="8">
        <f>B4-B5</f>
        <v>269</v>
      </c>
      <c r="C6" s="8">
        <f t="shared" ref="C6:AO6" si="0">C4-C5</f>
        <v>319</v>
      </c>
      <c r="D6" s="8">
        <f t="shared" si="0"/>
        <v>399</v>
      </c>
      <c r="E6" s="8">
        <f t="shared" si="0"/>
        <v>11</v>
      </c>
      <c r="F6" s="8">
        <f t="shared" si="0"/>
        <v>378</v>
      </c>
      <c r="G6" s="8">
        <f t="shared" si="0"/>
        <v>386</v>
      </c>
      <c r="H6" s="8">
        <f t="shared" si="0"/>
        <v>571</v>
      </c>
      <c r="I6" s="8">
        <f t="shared" si="0"/>
        <v>452</v>
      </c>
      <c r="J6" s="8">
        <f t="shared" si="0"/>
        <v>597</v>
      </c>
      <c r="K6" s="8">
        <f t="shared" si="0"/>
        <v>652</v>
      </c>
      <c r="L6" s="8">
        <f t="shared" si="0"/>
        <v>661</v>
      </c>
      <c r="M6" s="8">
        <f t="shared" si="0"/>
        <v>582</v>
      </c>
      <c r="N6" s="8">
        <f t="shared" si="0"/>
        <v>521</v>
      </c>
      <c r="O6" s="8">
        <f t="shared" si="0"/>
        <v>621</v>
      </c>
      <c r="P6" s="8">
        <f t="shared" si="0"/>
        <v>777</v>
      </c>
      <c r="Q6" s="8">
        <f t="shared" si="0"/>
        <v>949</v>
      </c>
      <c r="R6" s="8">
        <f t="shared" si="0"/>
        <v>818</v>
      </c>
      <c r="S6" s="8">
        <f t="shared" si="0"/>
        <v>848</v>
      </c>
      <c r="T6" s="8">
        <f t="shared" si="0"/>
        <v>1230</v>
      </c>
      <c r="U6" s="8">
        <f t="shared" si="0"/>
        <v>1451</v>
      </c>
      <c r="V6" s="8">
        <f t="shared" si="0"/>
        <v>1587</v>
      </c>
      <c r="W6" s="8">
        <f t="shared" si="0"/>
        <v>1830</v>
      </c>
      <c r="X6" s="8">
        <f t="shared" si="0"/>
        <v>2086</v>
      </c>
      <c r="Y6" s="8">
        <f t="shared" si="0"/>
        <v>2426</v>
      </c>
      <c r="Z6" s="8">
        <f t="shared" si="0"/>
        <v>3004</v>
      </c>
      <c r="AA6" s="8">
        <f t="shared" si="0"/>
        <v>3435</v>
      </c>
      <c r="AB6" s="8">
        <f t="shared" si="0"/>
        <v>2766</v>
      </c>
      <c r="AC6" s="8">
        <f t="shared" si="0"/>
        <v>2846</v>
      </c>
      <c r="AD6" s="8">
        <f t="shared" si="0"/>
        <v>2664</v>
      </c>
      <c r="AE6" s="8">
        <f t="shared" si="0"/>
        <v>2655</v>
      </c>
      <c r="AF6" s="8">
        <f t="shared" si="0"/>
        <v>2957</v>
      </c>
      <c r="AG6" s="8">
        <f t="shared" si="0"/>
        <v>3126</v>
      </c>
      <c r="AH6" s="8">
        <f t="shared" si="0"/>
        <v>2790</v>
      </c>
      <c r="AI6" s="8">
        <f t="shared" si="0"/>
        <v>3095</v>
      </c>
      <c r="AJ6" s="8">
        <f t="shared" si="0"/>
        <v>3652</v>
      </c>
      <c r="AK6" s="8">
        <f t="shared" si="0"/>
        <v>4134</v>
      </c>
      <c r="AL6" s="8">
        <f t="shared" si="0"/>
        <v>3987</v>
      </c>
      <c r="AM6" s="8">
        <f t="shared" si="0"/>
        <v>3319</v>
      </c>
      <c r="AN6" s="8">
        <f t="shared" si="0"/>
        <v>5040</v>
      </c>
      <c r="AO6" s="8">
        <f t="shared" si="0"/>
        <v>5837</v>
      </c>
    </row>
    <row r="7" spans="1:41" ht="15.75" x14ac:dyDescent="0.25">
      <c r="A7" s="4" t="s">
        <v>44</v>
      </c>
      <c r="B7" s="6">
        <v>105</v>
      </c>
      <c r="C7" s="6">
        <v>117</v>
      </c>
      <c r="D7" s="6">
        <v>117</v>
      </c>
      <c r="E7" s="6">
        <v>121</v>
      </c>
      <c r="F7" s="6">
        <v>123</v>
      </c>
      <c r="G7" s="6">
        <v>127</v>
      </c>
      <c r="H7" s="6">
        <v>132</v>
      </c>
      <c r="I7" s="6">
        <v>134</v>
      </c>
      <c r="J7" s="6">
        <v>134</v>
      </c>
      <c r="K7" s="6">
        <v>142</v>
      </c>
      <c r="L7" s="6">
        <v>148</v>
      </c>
      <c r="M7" s="6">
        <v>138</v>
      </c>
      <c r="N7" s="6">
        <v>170</v>
      </c>
      <c r="O7" s="6">
        <v>189</v>
      </c>
      <c r="P7" s="6">
        <v>185</v>
      </c>
      <c r="Q7" s="6">
        <v>206</v>
      </c>
      <c r="R7" s="6">
        <v>199</v>
      </c>
      <c r="S7" s="6">
        <v>215</v>
      </c>
      <c r="T7" s="6">
        <v>273</v>
      </c>
      <c r="U7" s="6">
        <v>308</v>
      </c>
      <c r="V7" s="6">
        <v>319</v>
      </c>
      <c r="W7" s="6">
        <v>341</v>
      </c>
      <c r="X7" s="6">
        <v>368</v>
      </c>
      <c r="Y7" s="6">
        <v>445</v>
      </c>
      <c r="Z7" s="6">
        <v>597</v>
      </c>
      <c r="AA7" s="6">
        <v>592</v>
      </c>
      <c r="AB7" s="6">
        <v>557</v>
      </c>
      <c r="AC7" s="6">
        <v>590</v>
      </c>
      <c r="AD7" s="6">
        <v>585</v>
      </c>
      <c r="AE7" s="6">
        <v>547</v>
      </c>
      <c r="AF7" s="6">
        <v>576</v>
      </c>
      <c r="AG7" s="6">
        <v>644</v>
      </c>
      <c r="AH7" s="6">
        <v>607</v>
      </c>
      <c r="AI7" s="6">
        <v>640</v>
      </c>
      <c r="AJ7" s="6">
        <v>707</v>
      </c>
      <c r="AK7" s="6">
        <v>781</v>
      </c>
      <c r="AL7" s="6">
        <v>886</v>
      </c>
      <c r="AM7" s="6">
        <v>955</v>
      </c>
      <c r="AN7" s="6">
        <v>1069</v>
      </c>
      <c r="AO7" s="6">
        <v>1198</v>
      </c>
    </row>
    <row r="8" spans="1:41" ht="15.75" x14ac:dyDescent="0.25">
      <c r="A8" s="4" t="s">
        <v>45</v>
      </c>
      <c r="B8" s="6">
        <v>242</v>
      </c>
      <c r="C8" s="6">
        <v>243</v>
      </c>
      <c r="D8" s="6">
        <v>259</v>
      </c>
      <c r="E8" s="6">
        <v>264</v>
      </c>
      <c r="F8" s="6">
        <v>271</v>
      </c>
      <c r="G8" s="6">
        <v>285</v>
      </c>
      <c r="H8" s="6">
        <v>320</v>
      </c>
      <c r="I8" s="6">
        <v>320</v>
      </c>
      <c r="J8" s="6">
        <v>343</v>
      </c>
      <c r="K8" s="6">
        <v>357</v>
      </c>
      <c r="L8" s="6">
        <v>363</v>
      </c>
      <c r="M8" s="6">
        <v>371</v>
      </c>
      <c r="N8" s="6">
        <v>373</v>
      </c>
      <c r="O8" s="6">
        <v>373</v>
      </c>
      <c r="P8" s="6">
        <v>406</v>
      </c>
      <c r="Q8" s="6">
        <v>395</v>
      </c>
      <c r="R8" s="6">
        <v>442</v>
      </c>
      <c r="S8" s="6">
        <v>460</v>
      </c>
      <c r="T8" s="6">
        <v>508</v>
      </c>
      <c r="U8" s="6">
        <v>573</v>
      </c>
      <c r="V8" s="6">
        <v>610</v>
      </c>
      <c r="W8" s="6">
        <v>659</v>
      </c>
      <c r="X8" s="6">
        <v>765</v>
      </c>
      <c r="Y8" s="6">
        <v>811</v>
      </c>
      <c r="Z8" s="6">
        <v>1060</v>
      </c>
      <c r="AA8" s="6">
        <v>1300</v>
      </c>
      <c r="AB8" s="6">
        <v>1279</v>
      </c>
      <c r="AC8" s="6">
        <v>1366</v>
      </c>
      <c r="AD8" s="6">
        <v>1411</v>
      </c>
      <c r="AE8" s="6">
        <v>1443</v>
      </c>
      <c r="AF8" s="6">
        <v>1507</v>
      </c>
      <c r="AG8" s="6">
        <v>1511</v>
      </c>
      <c r="AH8" s="6">
        <v>1525</v>
      </c>
      <c r="AI8" s="6">
        <v>1583</v>
      </c>
      <c r="AJ8" s="6">
        <v>1636</v>
      </c>
      <c r="AK8" s="6">
        <v>1712</v>
      </c>
      <c r="AL8" s="6">
        <v>1728</v>
      </c>
      <c r="AM8" s="6">
        <v>1894</v>
      </c>
      <c r="AN8" s="6">
        <v>2139</v>
      </c>
      <c r="AO8" s="6">
        <v>2330</v>
      </c>
    </row>
    <row r="9" spans="1:41" ht="15.75" x14ac:dyDescent="0.25">
      <c r="A9" s="4" t="s">
        <v>46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479</v>
      </c>
      <c r="AA9" s="6">
        <v>1023</v>
      </c>
      <c r="AB9" s="6">
        <v>1002</v>
      </c>
      <c r="AC9" s="6">
        <v>1044</v>
      </c>
      <c r="AD9" s="6">
        <v>823</v>
      </c>
      <c r="AE9" s="6">
        <v>693</v>
      </c>
      <c r="AF9" s="6">
        <v>660</v>
      </c>
      <c r="AG9" s="6">
        <v>635</v>
      </c>
      <c r="AH9" s="6">
        <v>622</v>
      </c>
      <c r="AI9" s="6">
        <v>603</v>
      </c>
      <c r="AJ9" s="6">
        <v>585</v>
      </c>
      <c r="AK9" s="6">
        <v>584</v>
      </c>
      <c r="AL9" s="6">
        <v>567</v>
      </c>
      <c r="AM9" s="6">
        <v>568</v>
      </c>
      <c r="AN9" s="6">
        <v>562</v>
      </c>
      <c r="AO9" s="6">
        <v>557</v>
      </c>
    </row>
    <row r="10" spans="1:41" ht="15.75" x14ac:dyDescent="0.25">
      <c r="A10" s="4" t="s">
        <v>47</v>
      </c>
      <c r="B10" s="6">
        <v>-7</v>
      </c>
      <c r="C10" s="6">
        <v>-26</v>
      </c>
      <c r="D10" s="6">
        <v>-24</v>
      </c>
      <c r="E10" s="6">
        <v>-31</v>
      </c>
      <c r="F10" s="6">
        <v>-27</v>
      </c>
      <c r="G10" s="6">
        <v>-25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-60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-4</v>
      </c>
      <c r="W10" s="6">
        <v>-1</v>
      </c>
      <c r="X10" s="6">
        <v>-3</v>
      </c>
      <c r="Y10" s="6">
        <v>-4</v>
      </c>
      <c r="Z10" s="6">
        <v>-83</v>
      </c>
      <c r="AA10" s="6">
        <v>-6</v>
      </c>
      <c r="AB10" s="6">
        <v>-8</v>
      </c>
      <c r="AC10" s="6">
        <v>-5</v>
      </c>
      <c r="AD10" s="6">
        <v>-10</v>
      </c>
      <c r="AE10" s="6">
        <v>-8</v>
      </c>
      <c r="AF10" s="6">
        <v>-10</v>
      </c>
      <c r="AG10" s="6">
        <v>-6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</row>
    <row r="11" spans="1:41" s="17" customFormat="1" ht="15.75" x14ac:dyDescent="0.25">
      <c r="A11" s="7" t="s">
        <v>48</v>
      </c>
      <c r="B11" s="8">
        <f>B6-B7-B8-B9-B10</f>
        <v>-71</v>
      </c>
      <c r="C11" s="8">
        <f t="shared" ref="C11:AO11" si="1">C6-C7-C8-C9-C10</f>
        <v>-15</v>
      </c>
      <c r="D11" s="8">
        <f t="shared" si="1"/>
        <v>47</v>
      </c>
      <c r="E11" s="8">
        <f t="shared" si="1"/>
        <v>-343</v>
      </c>
      <c r="F11" s="8">
        <f t="shared" si="1"/>
        <v>11</v>
      </c>
      <c r="G11" s="8">
        <f t="shared" si="1"/>
        <v>-1</v>
      </c>
      <c r="H11" s="8">
        <f t="shared" si="1"/>
        <v>119</v>
      </c>
      <c r="I11" s="8">
        <f t="shared" si="1"/>
        <v>-2</v>
      </c>
      <c r="J11" s="8">
        <f t="shared" si="1"/>
        <v>120</v>
      </c>
      <c r="K11" s="8">
        <f t="shared" si="1"/>
        <v>153</v>
      </c>
      <c r="L11" s="8">
        <f t="shared" si="1"/>
        <v>150</v>
      </c>
      <c r="M11" s="8">
        <f t="shared" si="1"/>
        <v>73</v>
      </c>
      <c r="N11" s="8">
        <f t="shared" si="1"/>
        <v>38</v>
      </c>
      <c r="O11" s="8">
        <f t="shared" si="1"/>
        <v>59</v>
      </c>
      <c r="P11" s="8">
        <f t="shared" si="1"/>
        <v>186</v>
      </c>
      <c r="Q11" s="8">
        <f t="shared" si="1"/>
        <v>348</v>
      </c>
      <c r="R11" s="8">
        <f t="shared" si="1"/>
        <v>177</v>
      </c>
      <c r="S11" s="8">
        <f t="shared" si="1"/>
        <v>173</v>
      </c>
      <c r="T11" s="8">
        <f t="shared" si="1"/>
        <v>449</v>
      </c>
      <c r="U11" s="8">
        <f t="shared" si="1"/>
        <v>570</v>
      </c>
      <c r="V11" s="8">
        <f t="shared" si="1"/>
        <v>662</v>
      </c>
      <c r="W11" s="8">
        <f t="shared" si="1"/>
        <v>831</v>
      </c>
      <c r="X11" s="8">
        <f t="shared" si="1"/>
        <v>956</v>
      </c>
      <c r="Y11" s="8">
        <f t="shared" si="1"/>
        <v>1174</v>
      </c>
      <c r="Z11" s="8">
        <f t="shared" si="1"/>
        <v>951</v>
      </c>
      <c r="AA11" s="8">
        <f t="shared" si="1"/>
        <v>526</v>
      </c>
      <c r="AB11" s="8">
        <f t="shared" si="1"/>
        <v>-64</v>
      </c>
      <c r="AC11" s="8">
        <f t="shared" si="1"/>
        <v>-149</v>
      </c>
      <c r="AD11" s="8">
        <f t="shared" si="1"/>
        <v>-145</v>
      </c>
      <c r="AE11" s="8">
        <f t="shared" si="1"/>
        <v>-20</v>
      </c>
      <c r="AF11" s="8">
        <f t="shared" si="1"/>
        <v>224</v>
      </c>
      <c r="AG11" s="8">
        <f t="shared" si="1"/>
        <v>342</v>
      </c>
      <c r="AH11" s="8">
        <f t="shared" si="1"/>
        <v>36</v>
      </c>
      <c r="AI11" s="8">
        <f t="shared" si="1"/>
        <v>269</v>
      </c>
      <c r="AJ11" s="8">
        <f t="shared" si="1"/>
        <v>724</v>
      </c>
      <c r="AK11" s="8">
        <f t="shared" si="1"/>
        <v>1057</v>
      </c>
      <c r="AL11" s="8">
        <f t="shared" si="1"/>
        <v>806</v>
      </c>
      <c r="AM11" s="8">
        <f t="shared" si="1"/>
        <v>-98</v>
      </c>
      <c r="AN11" s="8">
        <f t="shared" si="1"/>
        <v>1270</v>
      </c>
      <c r="AO11" s="8">
        <f t="shared" si="1"/>
        <v>1752</v>
      </c>
    </row>
    <row r="12" spans="1:41" ht="15.75" x14ac:dyDescent="0.25">
      <c r="A12" s="4" t="s">
        <v>49</v>
      </c>
      <c r="B12" s="6">
        <v>-40</v>
      </c>
      <c r="C12" s="6">
        <v>-41</v>
      </c>
      <c r="D12" s="6">
        <v>-41</v>
      </c>
      <c r="E12" s="6">
        <v>-34</v>
      </c>
      <c r="F12" s="6">
        <v>-32</v>
      </c>
      <c r="G12" s="6">
        <v>-32</v>
      </c>
      <c r="H12" s="6">
        <v>-31</v>
      </c>
      <c r="I12" s="6">
        <v>-31</v>
      </c>
      <c r="J12" s="6">
        <v>-31</v>
      </c>
      <c r="K12" s="6">
        <v>-31</v>
      </c>
      <c r="L12" s="6">
        <v>-30</v>
      </c>
      <c r="M12" s="6">
        <v>-29</v>
      </c>
      <c r="N12" s="6">
        <v>-27</v>
      </c>
      <c r="O12" s="6">
        <v>-25</v>
      </c>
      <c r="P12" s="6">
        <v>-24</v>
      </c>
      <c r="Q12" s="6">
        <v>-18</v>
      </c>
      <c r="R12" s="6">
        <v>-13</v>
      </c>
      <c r="S12" s="6">
        <v>-14</v>
      </c>
      <c r="T12" s="6">
        <v>-11</v>
      </c>
      <c r="U12" s="6">
        <v>-9</v>
      </c>
      <c r="V12" s="6">
        <v>-9</v>
      </c>
      <c r="W12" s="6">
        <v>-10</v>
      </c>
      <c r="X12" s="6">
        <v>-7</v>
      </c>
      <c r="Y12" s="6">
        <v>-8</v>
      </c>
      <c r="Z12" s="6">
        <v>-13</v>
      </c>
      <c r="AA12" s="6">
        <v>-25</v>
      </c>
      <c r="AB12" s="6">
        <v>-31</v>
      </c>
      <c r="AC12" s="6">
        <v>-19</v>
      </c>
      <c r="AD12" s="6">
        <v>-25</v>
      </c>
      <c r="AE12" s="6">
        <v>-28</v>
      </c>
      <c r="AF12" s="6">
        <v>-26</v>
      </c>
      <c r="AG12" s="6">
        <v>-27</v>
      </c>
      <c r="AH12" s="6">
        <v>-25</v>
      </c>
      <c r="AI12" s="6">
        <v>-25</v>
      </c>
      <c r="AJ12" s="6">
        <v>-23</v>
      </c>
      <c r="AK12" s="6">
        <v>-19</v>
      </c>
      <c r="AL12" s="6">
        <v>-20</v>
      </c>
      <c r="AM12" s="6">
        <v>-38</v>
      </c>
      <c r="AN12" s="6">
        <v>-37</v>
      </c>
      <c r="AO12" s="6">
        <v>-36</v>
      </c>
    </row>
    <row r="13" spans="1:41" ht="15.75" x14ac:dyDescent="0.25">
      <c r="A13" s="4" t="s">
        <v>50</v>
      </c>
      <c r="B13" s="6">
        <v>0</v>
      </c>
      <c r="C13" s="6">
        <v>0</v>
      </c>
      <c r="D13" s="6">
        <v>0</v>
      </c>
      <c r="E13" s="6">
        <v>2</v>
      </c>
      <c r="F13" s="6">
        <v>0</v>
      </c>
      <c r="G13" s="6">
        <v>0</v>
      </c>
      <c r="H13" s="6">
        <v>0</v>
      </c>
      <c r="I13" s="6">
        <v>6</v>
      </c>
      <c r="J13" s="6">
        <v>0</v>
      </c>
      <c r="K13" s="6">
        <v>0</v>
      </c>
      <c r="L13" s="6">
        <v>0</v>
      </c>
      <c r="M13" s="6">
        <v>18</v>
      </c>
      <c r="N13" s="6">
        <v>0</v>
      </c>
      <c r="O13" s="6">
        <v>0</v>
      </c>
      <c r="P13" s="6">
        <v>0</v>
      </c>
      <c r="Q13" s="6">
        <v>15</v>
      </c>
      <c r="R13" s="6">
        <v>0</v>
      </c>
      <c r="S13" s="6">
        <v>0</v>
      </c>
      <c r="T13" s="6">
        <v>0</v>
      </c>
      <c r="U13" s="6">
        <v>8</v>
      </c>
      <c r="V13" s="6">
        <v>0</v>
      </c>
      <c r="W13" s="6">
        <v>0</v>
      </c>
      <c r="X13" s="6">
        <v>0</v>
      </c>
      <c r="Y13" s="6">
        <v>8</v>
      </c>
      <c r="Z13" s="6">
        <v>0</v>
      </c>
      <c r="AA13" s="6">
        <v>0</v>
      </c>
      <c r="AB13" s="6">
        <v>22</v>
      </c>
      <c r="AC13" s="6">
        <v>32</v>
      </c>
      <c r="AD13" s="6">
        <v>0</v>
      </c>
      <c r="AE13" s="6">
        <v>0</v>
      </c>
      <c r="AF13" s="6">
        <v>0</v>
      </c>
      <c r="AG13" s="6">
        <v>206</v>
      </c>
      <c r="AH13" s="6">
        <v>0</v>
      </c>
      <c r="AI13" s="6">
        <v>0</v>
      </c>
      <c r="AJ13" s="6">
        <v>0</v>
      </c>
      <c r="AK13" s="6">
        <v>182</v>
      </c>
      <c r="AL13" s="6">
        <v>0</v>
      </c>
      <c r="AM13" s="6">
        <v>0</v>
      </c>
      <c r="AN13" s="6">
        <v>0</v>
      </c>
      <c r="AO13" s="6">
        <v>215</v>
      </c>
    </row>
    <row r="14" spans="1:41" ht="15.75" x14ac:dyDescent="0.25">
      <c r="A14" s="4" t="s">
        <v>51</v>
      </c>
      <c r="B14" s="6">
        <v>0</v>
      </c>
      <c r="C14" s="6">
        <v>-3</v>
      </c>
      <c r="D14" s="6">
        <v>-5</v>
      </c>
      <c r="E14" s="6">
        <v>-2</v>
      </c>
      <c r="F14" s="6">
        <v>-2</v>
      </c>
      <c r="G14" s="6">
        <v>-3</v>
      </c>
      <c r="H14" s="6">
        <v>-2</v>
      </c>
      <c r="I14" s="6">
        <v>0</v>
      </c>
      <c r="J14" s="6">
        <v>-1</v>
      </c>
      <c r="K14" s="6">
        <v>-1</v>
      </c>
      <c r="L14" s="6">
        <v>0</v>
      </c>
      <c r="M14" s="6">
        <v>0</v>
      </c>
      <c r="N14" s="6">
        <v>-1</v>
      </c>
      <c r="O14" s="6">
        <v>0</v>
      </c>
      <c r="P14" s="6">
        <v>1</v>
      </c>
      <c r="Q14" s="6">
        <v>0</v>
      </c>
      <c r="R14" s="6">
        <v>0</v>
      </c>
      <c r="S14" s="6">
        <v>1</v>
      </c>
      <c r="T14" s="6">
        <v>1</v>
      </c>
      <c r="U14" s="6">
        <v>3</v>
      </c>
      <c r="V14" s="6">
        <v>2</v>
      </c>
      <c r="W14" s="6">
        <v>2</v>
      </c>
      <c r="X14" s="6">
        <v>2</v>
      </c>
      <c r="Y14" s="6">
        <v>0</v>
      </c>
      <c r="Z14" s="6">
        <v>3</v>
      </c>
      <c r="AA14" s="6">
        <v>4</v>
      </c>
      <c r="AB14" s="6">
        <v>4</v>
      </c>
      <c r="AC14" s="6">
        <v>3</v>
      </c>
      <c r="AD14" s="6">
        <v>1</v>
      </c>
      <c r="AE14" s="6">
        <v>6</v>
      </c>
      <c r="AF14" s="6">
        <v>3</v>
      </c>
      <c r="AG14" s="6">
        <v>6</v>
      </c>
      <c r="AH14" s="6">
        <v>7</v>
      </c>
      <c r="AI14" s="6">
        <v>7</v>
      </c>
      <c r="AJ14" s="6">
        <v>7</v>
      </c>
      <c r="AK14" s="6">
        <v>12</v>
      </c>
      <c r="AL14" s="6">
        <v>7</v>
      </c>
      <c r="AM14" s="6">
        <v>8</v>
      </c>
      <c r="AN14" s="6">
        <v>10</v>
      </c>
      <c r="AO14" s="6">
        <v>1</v>
      </c>
    </row>
    <row r="15" spans="1:41" ht="15.75" x14ac:dyDescent="0.25">
      <c r="A15" s="4" t="s">
        <v>52</v>
      </c>
      <c r="B15" s="6">
        <v>0</v>
      </c>
      <c r="C15" s="6">
        <v>2</v>
      </c>
      <c r="D15" s="6">
        <v>0</v>
      </c>
      <c r="E15" s="6">
        <v>1</v>
      </c>
      <c r="F15" s="6">
        <v>0</v>
      </c>
      <c r="G15" s="6">
        <v>-1</v>
      </c>
      <c r="H15" s="6">
        <v>-2</v>
      </c>
      <c r="I15" s="6">
        <v>0</v>
      </c>
      <c r="J15" s="6">
        <v>-2</v>
      </c>
      <c r="K15" s="6">
        <v>0</v>
      </c>
      <c r="L15" s="6">
        <v>0</v>
      </c>
      <c r="M15" s="6">
        <v>-1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</row>
    <row r="16" spans="1:41" ht="15.75" x14ac:dyDescent="0.25">
      <c r="A16" s="4" t="s">
        <v>53</v>
      </c>
      <c r="B16" s="6">
        <v>0</v>
      </c>
      <c r="C16" s="6">
        <v>-2</v>
      </c>
      <c r="D16" s="6">
        <v>-2</v>
      </c>
      <c r="E16" s="6">
        <v>1</v>
      </c>
      <c r="F16" s="6">
        <v>2</v>
      </c>
      <c r="G16" s="6">
        <v>1</v>
      </c>
      <c r="H16" s="6">
        <v>-1</v>
      </c>
      <c r="I16" s="6">
        <v>-4</v>
      </c>
      <c r="J16" s="6">
        <v>4</v>
      </c>
      <c r="K16" s="6">
        <v>1</v>
      </c>
      <c r="L16" s="6">
        <v>0</v>
      </c>
      <c r="M16" s="6">
        <v>-8</v>
      </c>
      <c r="N16" s="6">
        <v>1</v>
      </c>
      <c r="O16" s="6">
        <v>3</v>
      </c>
      <c r="P16" s="6">
        <v>0</v>
      </c>
      <c r="Q16" s="6">
        <v>-12</v>
      </c>
      <c r="R16" s="6">
        <v>4</v>
      </c>
      <c r="S16" s="6">
        <v>1</v>
      </c>
      <c r="T16" s="6">
        <v>-59</v>
      </c>
      <c r="U16" s="6">
        <v>51</v>
      </c>
      <c r="V16" s="6">
        <v>3</v>
      </c>
      <c r="W16" s="6">
        <v>0</v>
      </c>
      <c r="X16" s="6">
        <v>2</v>
      </c>
      <c r="Y16" s="6">
        <v>0</v>
      </c>
      <c r="Z16" s="6">
        <v>2</v>
      </c>
      <c r="AA16" s="6">
        <v>-4</v>
      </c>
      <c r="AB16" s="6">
        <v>0</v>
      </c>
      <c r="AC16" s="6">
        <v>5</v>
      </c>
      <c r="AD16" s="6">
        <v>43</v>
      </c>
      <c r="AE16" s="6">
        <v>46</v>
      </c>
      <c r="AF16" s="6">
        <v>59</v>
      </c>
      <c r="AG16" s="6">
        <v>-156</v>
      </c>
      <c r="AH16" s="6">
        <v>53</v>
      </c>
      <c r="AI16" s="6">
        <v>55</v>
      </c>
      <c r="AJ16" s="6">
        <v>36</v>
      </c>
      <c r="AK16" s="6">
        <v>-147</v>
      </c>
      <c r="AL16" s="6">
        <v>39</v>
      </c>
      <c r="AM16" s="6">
        <v>98</v>
      </c>
      <c r="AN16" s="6">
        <v>82</v>
      </c>
      <c r="AO16" s="6">
        <v>509</v>
      </c>
    </row>
    <row r="17" spans="1:42" ht="15.75" x14ac:dyDescent="0.25">
      <c r="A17" s="4" t="s">
        <v>54</v>
      </c>
      <c r="B17" s="6">
        <v>3</v>
      </c>
      <c r="C17" s="6">
        <v>7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-8</v>
      </c>
      <c r="Y17" s="6">
        <v>33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-186</v>
      </c>
      <c r="AL17" s="6">
        <v>0</v>
      </c>
      <c r="AM17" s="6">
        <v>-36</v>
      </c>
      <c r="AN17" s="6">
        <v>0</v>
      </c>
      <c r="AO17" s="6">
        <v>0</v>
      </c>
    </row>
    <row r="18" spans="1:42" ht="15.75" x14ac:dyDescent="0.25">
      <c r="A18" s="4" t="s">
        <v>55</v>
      </c>
      <c r="B18" s="6">
        <v>0</v>
      </c>
      <c r="C18" s="6">
        <v>150</v>
      </c>
      <c r="D18" s="6">
        <v>0</v>
      </c>
      <c r="E18" s="6">
        <v>-4</v>
      </c>
      <c r="F18" s="6">
        <v>-3</v>
      </c>
      <c r="G18" s="6">
        <v>0</v>
      </c>
      <c r="H18" s="6">
        <v>0</v>
      </c>
      <c r="I18" s="6">
        <v>3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60</v>
      </c>
      <c r="U18" s="6">
        <v>-58</v>
      </c>
      <c r="V18" s="6">
        <v>-8</v>
      </c>
      <c r="W18" s="6">
        <v>0</v>
      </c>
      <c r="X18" s="6">
        <v>60</v>
      </c>
      <c r="Y18" s="6">
        <v>-4</v>
      </c>
      <c r="Z18" s="6">
        <v>-44</v>
      </c>
      <c r="AA18" s="6">
        <v>0</v>
      </c>
      <c r="AB18" s="6">
        <v>0</v>
      </c>
      <c r="AC18" s="6">
        <v>-5</v>
      </c>
      <c r="AD18" s="6">
        <v>0</v>
      </c>
      <c r="AE18" s="6">
        <v>0</v>
      </c>
      <c r="AF18" s="6">
        <v>0</v>
      </c>
      <c r="AG18" s="6">
        <v>-1</v>
      </c>
      <c r="AH18" s="6">
        <v>0</v>
      </c>
      <c r="AI18" s="6">
        <v>0</v>
      </c>
      <c r="AJ18" s="6">
        <v>0</v>
      </c>
      <c r="AK18" s="6">
        <v>2</v>
      </c>
      <c r="AL18" s="6">
        <v>0</v>
      </c>
      <c r="AM18" s="6">
        <v>0</v>
      </c>
      <c r="AN18" s="6">
        <v>0</v>
      </c>
      <c r="AO18" s="6">
        <v>-366</v>
      </c>
    </row>
    <row r="19" spans="1:42" ht="15.75" x14ac:dyDescent="0.25">
      <c r="A19" s="4" t="s">
        <v>56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-45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</row>
    <row r="20" spans="1:42" ht="15.75" x14ac:dyDescent="0.25">
      <c r="A20" s="4" t="s">
        <v>57</v>
      </c>
      <c r="B20" s="6">
        <v>0</v>
      </c>
      <c r="C20" s="6">
        <v>0</v>
      </c>
      <c r="D20" s="6">
        <v>-401</v>
      </c>
      <c r="E20" s="6">
        <v>333</v>
      </c>
      <c r="F20" s="6">
        <v>-4</v>
      </c>
      <c r="G20" s="6">
        <v>-3</v>
      </c>
      <c r="H20" s="6">
        <v>0</v>
      </c>
      <c r="I20" s="6">
        <v>-3</v>
      </c>
      <c r="J20" s="6">
        <v>-1</v>
      </c>
      <c r="K20" s="6">
        <v>0</v>
      </c>
      <c r="L20" s="6">
        <v>-6</v>
      </c>
      <c r="M20" s="6">
        <v>-5</v>
      </c>
      <c r="N20" s="6">
        <v>-8</v>
      </c>
      <c r="O20" s="6">
        <v>0</v>
      </c>
      <c r="P20" s="6">
        <v>-36</v>
      </c>
      <c r="Q20" s="6">
        <v>-128</v>
      </c>
      <c r="R20" s="6">
        <v>0</v>
      </c>
      <c r="S20" s="6">
        <v>0</v>
      </c>
      <c r="T20" s="6">
        <v>-38</v>
      </c>
      <c r="U20" s="6">
        <v>-16</v>
      </c>
      <c r="V20" s="6">
        <v>-6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</row>
    <row r="21" spans="1:42" s="17" customFormat="1" ht="15.75" x14ac:dyDescent="0.25">
      <c r="A21" s="7" t="s">
        <v>58</v>
      </c>
      <c r="B21" s="8">
        <f>SUM(B11:B20)</f>
        <v>-108</v>
      </c>
      <c r="C21" s="8">
        <f t="shared" ref="C21:AO21" si="2">SUM(C11:C20)</f>
        <v>98</v>
      </c>
      <c r="D21" s="8">
        <f t="shared" si="2"/>
        <v>-402</v>
      </c>
      <c r="E21" s="8">
        <f t="shared" si="2"/>
        <v>-46</v>
      </c>
      <c r="F21" s="8">
        <f t="shared" si="2"/>
        <v>-28</v>
      </c>
      <c r="G21" s="8">
        <f t="shared" si="2"/>
        <v>-39</v>
      </c>
      <c r="H21" s="8">
        <f t="shared" si="2"/>
        <v>83</v>
      </c>
      <c r="I21" s="8">
        <f t="shared" si="2"/>
        <v>-31</v>
      </c>
      <c r="J21" s="8">
        <f t="shared" si="2"/>
        <v>89</v>
      </c>
      <c r="K21" s="8">
        <f t="shared" si="2"/>
        <v>122</v>
      </c>
      <c r="L21" s="8">
        <f t="shared" si="2"/>
        <v>114</v>
      </c>
      <c r="M21" s="8">
        <f t="shared" si="2"/>
        <v>3</v>
      </c>
      <c r="N21" s="8">
        <f t="shared" si="2"/>
        <v>3</v>
      </c>
      <c r="O21" s="8">
        <f t="shared" si="2"/>
        <v>37</v>
      </c>
      <c r="P21" s="8">
        <f t="shared" si="2"/>
        <v>127</v>
      </c>
      <c r="Q21" s="8">
        <f t="shared" si="2"/>
        <v>205</v>
      </c>
      <c r="R21" s="8">
        <f t="shared" si="2"/>
        <v>168</v>
      </c>
      <c r="S21" s="8">
        <f t="shared" si="2"/>
        <v>161</v>
      </c>
      <c r="T21" s="8">
        <f t="shared" si="2"/>
        <v>402</v>
      </c>
      <c r="U21" s="8">
        <f t="shared" si="2"/>
        <v>549</v>
      </c>
      <c r="V21" s="8">
        <f t="shared" si="2"/>
        <v>644</v>
      </c>
      <c r="W21" s="8">
        <f t="shared" si="2"/>
        <v>823</v>
      </c>
      <c r="X21" s="8">
        <f t="shared" si="2"/>
        <v>1005</v>
      </c>
      <c r="Y21" s="8">
        <f t="shared" si="2"/>
        <v>1203</v>
      </c>
      <c r="Z21" s="8">
        <f t="shared" si="2"/>
        <v>899</v>
      </c>
      <c r="AA21" s="8">
        <f t="shared" si="2"/>
        <v>501</v>
      </c>
      <c r="AB21" s="8">
        <f t="shared" si="2"/>
        <v>-69</v>
      </c>
      <c r="AC21" s="8">
        <f t="shared" si="2"/>
        <v>-133</v>
      </c>
      <c r="AD21" s="8">
        <f t="shared" si="2"/>
        <v>-126</v>
      </c>
      <c r="AE21" s="8">
        <f t="shared" si="2"/>
        <v>4</v>
      </c>
      <c r="AF21" s="8">
        <f t="shared" si="2"/>
        <v>260</v>
      </c>
      <c r="AG21" s="8">
        <f t="shared" si="2"/>
        <v>370</v>
      </c>
      <c r="AH21" s="8">
        <f t="shared" si="2"/>
        <v>71</v>
      </c>
      <c r="AI21" s="8">
        <f t="shared" si="2"/>
        <v>306</v>
      </c>
      <c r="AJ21" s="8">
        <f t="shared" si="2"/>
        <v>744</v>
      </c>
      <c r="AK21" s="8">
        <f t="shared" si="2"/>
        <v>901</v>
      </c>
      <c r="AL21" s="8">
        <f t="shared" si="2"/>
        <v>832</v>
      </c>
      <c r="AM21" s="8">
        <f t="shared" si="2"/>
        <v>-66</v>
      </c>
      <c r="AN21" s="8">
        <f t="shared" si="2"/>
        <v>1325</v>
      </c>
      <c r="AO21" s="8">
        <f t="shared" si="2"/>
        <v>2075</v>
      </c>
    </row>
    <row r="22" spans="1:42" ht="15.75" x14ac:dyDescent="0.25">
      <c r="A22" s="4" t="s">
        <v>59</v>
      </c>
      <c r="B22" s="6">
        <v>1</v>
      </c>
      <c r="C22" s="6">
        <v>29</v>
      </c>
      <c r="D22" s="6">
        <v>4</v>
      </c>
      <c r="E22" s="6">
        <v>5</v>
      </c>
      <c r="F22" s="6">
        <v>5</v>
      </c>
      <c r="G22" s="6">
        <v>3</v>
      </c>
      <c r="H22" s="6">
        <v>22</v>
      </c>
      <c r="I22" s="6">
        <v>-12</v>
      </c>
      <c r="J22" s="6">
        <v>8</v>
      </c>
      <c r="K22" s="6">
        <v>6</v>
      </c>
      <c r="L22" s="6">
        <v>12</v>
      </c>
      <c r="M22" s="6">
        <v>-35</v>
      </c>
      <c r="N22" s="6">
        <v>-13</v>
      </c>
      <c r="O22" s="6">
        <v>2</v>
      </c>
      <c r="P22" s="6">
        <v>7</v>
      </c>
      <c r="Q22" s="6">
        <v>35</v>
      </c>
      <c r="R22" s="6">
        <v>6</v>
      </c>
      <c r="S22" s="6">
        <v>4</v>
      </c>
      <c r="T22" s="6">
        <v>12</v>
      </c>
      <c r="U22" s="6">
        <v>-1232</v>
      </c>
      <c r="V22" s="6">
        <v>89</v>
      </c>
      <c r="W22" s="6">
        <v>113</v>
      </c>
      <c r="X22" s="6">
        <v>82</v>
      </c>
      <c r="Y22" s="6">
        <v>229</v>
      </c>
      <c r="Z22" s="6">
        <v>113</v>
      </c>
      <c r="AA22" s="6">
        <v>54</v>
      </c>
      <c r="AB22" s="6">
        <v>-135</v>
      </c>
      <c r="AC22" s="6">
        <v>-154</v>
      </c>
      <c r="AD22" s="6">
        <v>13</v>
      </c>
      <c r="AE22" s="6">
        <v>-23</v>
      </c>
      <c r="AF22" s="6">
        <v>-39</v>
      </c>
      <c r="AG22" s="6">
        <v>-297</v>
      </c>
      <c r="AH22" s="6">
        <v>-52</v>
      </c>
      <c r="AI22" s="6">
        <v>41</v>
      </c>
      <c r="AJ22" s="6">
        <v>-27</v>
      </c>
      <c r="AK22" s="6">
        <v>419</v>
      </c>
      <c r="AL22" s="6">
        <v>123</v>
      </c>
      <c r="AM22" s="6">
        <v>-834</v>
      </c>
      <c r="AN22" s="6">
        <v>153</v>
      </c>
      <c r="AO22" s="6">
        <v>455</v>
      </c>
    </row>
    <row r="23" spans="1:42" ht="15.75" x14ac:dyDescent="0.25">
      <c r="A23" s="4" t="s">
        <v>60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104</v>
      </c>
      <c r="AN23" s="6">
        <v>71</v>
      </c>
      <c r="AO23" s="6">
        <v>-109</v>
      </c>
    </row>
    <row r="24" spans="1:42" s="17" customFormat="1" ht="15.75" x14ac:dyDescent="0.25">
      <c r="A24" s="7" t="s">
        <v>61</v>
      </c>
      <c r="B24" s="8">
        <f>B21-B22+B23</f>
        <v>-109</v>
      </c>
      <c r="C24" s="8">
        <f t="shared" ref="C24:AO24" si="3">C21-C22+C23</f>
        <v>69</v>
      </c>
      <c r="D24" s="8">
        <f t="shared" si="3"/>
        <v>-406</v>
      </c>
      <c r="E24" s="8">
        <f t="shared" si="3"/>
        <v>-51</v>
      </c>
      <c r="F24" s="8">
        <f t="shared" si="3"/>
        <v>-33</v>
      </c>
      <c r="G24" s="8">
        <f t="shared" si="3"/>
        <v>-42</v>
      </c>
      <c r="H24" s="8">
        <f t="shared" si="3"/>
        <v>61</v>
      </c>
      <c r="I24" s="8">
        <f t="shared" si="3"/>
        <v>-19</v>
      </c>
      <c r="J24" s="8">
        <f t="shared" si="3"/>
        <v>81</v>
      </c>
      <c r="K24" s="8">
        <f t="shared" si="3"/>
        <v>116</v>
      </c>
      <c r="L24" s="8">
        <f t="shared" si="3"/>
        <v>102</v>
      </c>
      <c r="M24" s="8">
        <f t="shared" si="3"/>
        <v>38</v>
      </c>
      <c r="N24" s="8">
        <f t="shared" si="3"/>
        <v>16</v>
      </c>
      <c r="O24" s="8">
        <f t="shared" si="3"/>
        <v>35</v>
      </c>
      <c r="P24" s="8">
        <f t="shared" si="3"/>
        <v>120</v>
      </c>
      <c r="Q24" s="8">
        <f t="shared" si="3"/>
        <v>170</v>
      </c>
      <c r="R24" s="8">
        <f t="shared" si="3"/>
        <v>162</v>
      </c>
      <c r="S24" s="8">
        <f t="shared" si="3"/>
        <v>157</v>
      </c>
      <c r="T24" s="8">
        <f t="shared" si="3"/>
        <v>390</v>
      </c>
      <c r="U24" s="8">
        <f t="shared" si="3"/>
        <v>1781</v>
      </c>
      <c r="V24" s="8">
        <f t="shared" si="3"/>
        <v>555</v>
      </c>
      <c r="W24" s="8">
        <f t="shared" si="3"/>
        <v>710</v>
      </c>
      <c r="X24" s="8">
        <f t="shared" si="3"/>
        <v>923</v>
      </c>
      <c r="Y24" s="8">
        <f t="shared" si="3"/>
        <v>974</v>
      </c>
      <c r="Z24" s="8">
        <f t="shared" si="3"/>
        <v>786</v>
      </c>
      <c r="AA24" s="8">
        <f t="shared" si="3"/>
        <v>447</v>
      </c>
      <c r="AB24" s="8">
        <f t="shared" si="3"/>
        <v>66</v>
      </c>
      <c r="AC24" s="8">
        <f t="shared" si="3"/>
        <v>21</v>
      </c>
      <c r="AD24" s="8">
        <f t="shared" si="3"/>
        <v>-139</v>
      </c>
      <c r="AE24" s="8">
        <f t="shared" si="3"/>
        <v>27</v>
      </c>
      <c r="AF24" s="8">
        <f t="shared" si="3"/>
        <v>299</v>
      </c>
      <c r="AG24" s="8">
        <f t="shared" si="3"/>
        <v>667</v>
      </c>
      <c r="AH24" s="8">
        <f t="shared" si="3"/>
        <v>123</v>
      </c>
      <c r="AI24" s="8">
        <f t="shared" si="3"/>
        <v>265</v>
      </c>
      <c r="AJ24" s="8">
        <f t="shared" si="3"/>
        <v>771</v>
      </c>
      <c r="AK24" s="8">
        <f t="shared" si="3"/>
        <v>482</v>
      </c>
      <c r="AL24" s="8">
        <f t="shared" si="3"/>
        <v>709</v>
      </c>
      <c r="AM24" s="8">
        <f t="shared" si="3"/>
        <v>872</v>
      </c>
      <c r="AN24" s="8">
        <f t="shared" si="3"/>
        <v>1243</v>
      </c>
      <c r="AO24" s="8">
        <f t="shared" si="3"/>
        <v>1511</v>
      </c>
      <c r="AP24" s="18"/>
    </row>
    <row r="25" spans="1:42" ht="15.75" x14ac:dyDescent="0.25">
      <c r="A25" s="4" t="s">
        <v>62</v>
      </c>
      <c r="B25" s="6">
        <v>793</v>
      </c>
      <c r="C25" s="6">
        <v>794</v>
      </c>
      <c r="D25" s="6">
        <v>815</v>
      </c>
      <c r="E25" s="6">
        <v>931</v>
      </c>
      <c r="F25" s="6">
        <v>939</v>
      </c>
      <c r="G25" s="6">
        <v>945</v>
      </c>
      <c r="H25" s="6">
        <v>957</v>
      </c>
      <c r="I25" s="6">
        <v>965</v>
      </c>
      <c r="J25" s="6">
        <v>968</v>
      </c>
      <c r="K25" s="6">
        <v>972</v>
      </c>
      <c r="L25" s="6">
        <v>987</v>
      </c>
      <c r="M25" s="6">
        <v>1002</v>
      </c>
      <c r="N25" s="6">
        <v>1044</v>
      </c>
      <c r="O25" s="6">
        <v>1084</v>
      </c>
      <c r="P25" s="6">
        <v>1097</v>
      </c>
      <c r="Q25" s="6">
        <v>1140</v>
      </c>
      <c r="R25" s="6">
        <v>1170</v>
      </c>
      <c r="S25" s="6">
        <v>1174</v>
      </c>
      <c r="T25" s="6">
        <v>1184</v>
      </c>
      <c r="U25" s="6">
        <v>1205</v>
      </c>
      <c r="V25" s="6">
        <v>1213</v>
      </c>
      <c r="W25" s="6">
        <v>1216</v>
      </c>
      <c r="X25" s="6">
        <v>1214</v>
      </c>
      <c r="Y25" s="6">
        <v>1208</v>
      </c>
      <c r="Z25" s="6">
        <v>1393</v>
      </c>
      <c r="AA25" s="6">
        <v>1618</v>
      </c>
      <c r="AB25" s="6">
        <v>1615</v>
      </c>
      <c r="AC25" s="6">
        <v>1613</v>
      </c>
      <c r="AD25" s="6">
        <v>1611</v>
      </c>
      <c r="AE25" s="6">
        <v>1612</v>
      </c>
      <c r="AF25" s="6">
        <v>1616</v>
      </c>
      <c r="AG25" s="6">
        <v>1616</v>
      </c>
      <c r="AH25" s="6">
        <v>1617</v>
      </c>
      <c r="AI25" s="6">
        <v>1618</v>
      </c>
      <c r="AJ25" s="6">
        <v>1620</v>
      </c>
      <c r="AK25" s="6">
        <v>1623</v>
      </c>
      <c r="AL25" s="6">
        <v>1620</v>
      </c>
      <c r="AM25" s="6">
        <v>1623</v>
      </c>
      <c r="AN25" s="6">
        <v>1626</v>
      </c>
      <c r="AO25" s="6">
        <v>1630</v>
      </c>
    </row>
    <row r="26" spans="1:42" ht="15.75" x14ac:dyDescent="0.25">
      <c r="A26" s="4" t="s">
        <v>63</v>
      </c>
      <c r="B26" s="6">
        <v>793</v>
      </c>
      <c r="C26" s="6">
        <v>821</v>
      </c>
      <c r="D26" s="6">
        <v>815</v>
      </c>
      <c r="E26" s="6">
        <v>931</v>
      </c>
      <c r="F26" s="6">
        <v>939</v>
      </c>
      <c r="G26" s="6">
        <v>945</v>
      </c>
      <c r="H26" s="6">
        <v>1042</v>
      </c>
      <c r="I26" s="6">
        <v>1037</v>
      </c>
      <c r="J26" s="6">
        <v>1039</v>
      </c>
      <c r="K26" s="6">
        <v>1147</v>
      </c>
      <c r="L26" s="6">
        <v>1076</v>
      </c>
      <c r="M26" s="6">
        <v>1079</v>
      </c>
      <c r="N26" s="6">
        <v>1094</v>
      </c>
      <c r="O26" s="6">
        <v>1109</v>
      </c>
      <c r="P26" s="6">
        <v>1117</v>
      </c>
      <c r="Q26" s="6">
        <v>1188</v>
      </c>
      <c r="R26" s="6">
        <v>1224</v>
      </c>
      <c r="S26" s="6">
        <v>1227</v>
      </c>
      <c r="T26" s="6">
        <v>1215</v>
      </c>
      <c r="U26" s="6">
        <v>1226</v>
      </c>
      <c r="V26" s="6">
        <v>1231</v>
      </c>
      <c r="W26" s="6">
        <v>1232</v>
      </c>
      <c r="X26" s="6">
        <v>1230</v>
      </c>
      <c r="Y26" s="6">
        <v>1222</v>
      </c>
      <c r="Z26" s="6">
        <v>1410</v>
      </c>
      <c r="AA26" s="6">
        <v>1632</v>
      </c>
      <c r="AB26" s="6">
        <v>1625</v>
      </c>
      <c r="AC26" s="6">
        <v>1618</v>
      </c>
      <c r="AD26" s="6">
        <v>1611</v>
      </c>
      <c r="AE26" s="6">
        <v>1627</v>
      </c>
      <c r="AF26" s="6">
        <v>1629</v>
      </c>
      <c r="AG26" s="6">
        <v>1628</v>
      </c>
      <c r="AH26" s="6">
        <v>1639</v>
      </c>
      <c r="AI26" s="6">
        <v>1637</v>
      </c>
      <c r="AJ26" s="6">
        <v>1636</v>
      </c>
      <c r="AK26" s="6">
        <v>1634</v>
      </c>
      <c r="AL26" s="6">
        <v>1626</v>
      </c>
      <c r="AM26" s="6">
        <v>1630</v>
      </c>
      <c r="AN26" s="6">
        <v>1641</v>
      </c>
      <c r="AO26" s="6">
        <v>1649</v>
      </c>
    </row>
    <row r="27" spans="1:42" ht="15.75" x14ac:dyDescent="0.25">
      <c r="A27" s="4" t="s">
        <v>64</v>
      </c>
      <c r="B27" s="9">
        <f>B$24/B25</f>
        <v>-0.13745271122320302</v>
      </c>
      <c r="C27" s="9">
        <f t="shared" ref="C27:AO27" si="4">C$24/C25</f>
        <v>8.6901763224181361E-2</v>
      </c>
      <c r="D27" s="9">
        <f t="shared" si="4"/>
        <v>-0.498159509202454</v>
      </c>
      <c r="E27" s="9">
        <f t="shared" si="4"/>
        <v>-5.4779806659505909E-2</v>
      </c>
      <c r="F27" s="9">
        <f t="shared" si="4"/>
        <v>-3.5143769968051117E-2</v>
      </c>
      <c r="G27" s="9">
        <f t="shared" si="4"/>
        <v>-4.4444444444444446E-2</v>
      </c>
      <c r="H27" s="9">
        <f t="shared" si="4"/>
        <v>6.3740856844305124E-2</v>
      </c>
      <c r="I27" s="9">
        <f t="shared" si="4"/>
        <v>-1.9689119170984457E-2</v>
      </c>
      <c r="J27" s="9">
        <f t="shared" si="4"/>
        <v>8.3677685950413222E-2</v>
      </c>
      <c r="K27" s="9">
        <f t="shared" si="4"/>
        <v>0.11934156378600823</v>
      </c>
      <c r="L27" s="9">
        <f t="shared" si="4"/>
        <v>0.10334346504559271</v>
      </c>
      <c r="M27" s="9">
        <f t="shared" si="4"/>
        <v>3.7924151696606789E-2</v>
      </c>
      <c r="N27" s="9">
        <f t="shared" si="4"/>
        <v>1.532567049808429E-2</v>
      </c>
      <c r="O27" s="9">
        <f t="shared" si="4"/>
        <v>3.2287822878228782E-2</v>
      </c>
      <c r="P27" s="9">
        <f t="shared" si="4"/>
        <v>0.10938924339106655</v>
      </c>
      <c r="Q27" s="9">
        <f t="shared" si="4"/>
        <v>0.14912280701754385</v>
      </c>
      <c r="R27" s="9">
        <f t="shared" si="4"/>
        <v>0.13846153846153847</v>
      </c>
      <c r="S27" s="9">
        <f t="shared" si="4"/>
        <v>0.13373083475298125</v>
      </c>
      <c r="T27" s="10">
        <f t="shared" si="4"/>
        <v>0.32939189189189189</v>
      </c>
      <c r="U27" s="10">
        <f t="shared" si="4"/>
        <v>1.4780082987551868</v>
      </c>
      <c r="V27" s="10">
        <f t="shared" si="4"/>
        <v>0.45754328112118714</v>
      </c>
      <c r="W27" s="10">
        <f t="shared" si="4"/>
        <v>0.58388157894736847</v>
      </c>
      <c r="X27" s="10">
        <f t="shared" si="4"/>
        <v>0.76029654036243821</v>
      </c>
      <c r="Y27" s="10">
        <f t="shared" si="4"/>
        <v>0.80629139072847678</v>
      </c>
      <c r="Z27" s="10">
        <f t="shared" si="4"/>
        <v>0.56424982053122752</v>
      </c>
      <c r="AA27" s="10">
        <f t="shared" si="4"/>
        <v>0.27626699629171819</v>
      </c>
      <c r="AB27" s="10">
        <f t="shared" si="4"/>
        <v>4.0866873065015477E-2</v>
      </c>
      <c r="AC27" s="10">
        <f t="shared" si="4"/>
        <v>1.3019218846869188E-2</v>
      </c>
      <c r="AD27" s="10">
        <f t="shared" si="4"/>
        <v>-8.6281812538795785E-2</v>
      </c>
      <c r="AE27" s="10">
        <f t="shared" si="4"/>
        <v>1.6749379652605458E-2</v>
      </c>
      <c r="AF27" s="10">
        <f t="shared" si="4"/>
        <v>0.18502475247524752</v>
      </c>
      <c r="AG27" s="10">
        <f t="shared" si="4"/>
        <v>0.41274752475247523</v>
      </c>
      <c r="AH27" s="10">
        <f t="shared" si="4"/>
        <v>7.6066790352504632E-2</v>
      </c>
      <c r="AI27" s="10">
        <f t="shared" si="4"/>
        <v>0.16378244746600742</v>
      </c>
      <c r="AJ27" s="10">
        <f t="shared" si="4"/>
        <v>0.47592592592592592</v>
      </c>
      <c r="AK27" s="10">
        <f t="shared" si="4"/>
        <v>0.29698089956869994</v>
      </c>
      <c r="AL27" s="10">
        <f t="shared" si="4"/>
        <v>0.43765432098765433</v>
      </c>
      <c r="AM27" s="10">
        <f t="shared" si="4"/>
        <v>0.5372766481823783</v>
      </c>
      <c r="AN27" s="10">
        <f t="shared" si="4"/>
        <v>0.76445264452644524</v>
      </c>
      <c r="AO27" s="10">
        <f t="shared" si="4"/>
        <v>0.92699386503067482</v>
      </c>
    </row>
    <row r="28" spans="1:42" ht="15.75" x14ac:dyDescent="0.25">
      <c r="A28" s="4" t="s">
        <v>65</v>
      </c>
      <c r="B28" s="9">
        <f>B$24/B26</f>
        <v>-0.13745271122320302</v>
      </c>
      <c r="C28" s="9">
        <f t="shared" ref="C28:AO28" si="5">C$24/C26</f>
        <v>8.4043848964677217E-2</v>
      </c>
      <c r="D28" s="9">
        <f t="shared" si="5"/>
        <v>-0.498159509202454</v>
      </c>
      <c r="E28" s="9">
        <f t="shared" si="5"/>
        <v>-5.4779806659505909E-2</v>
      </c>
      <c r="F28" s="9">
        <f t="shared" si="5"/>
        <v>-3.5143769968051117E-2</v>
      </c>
      <c r="G28" s="9">
        <f t="shared" si="5"/>
        <v>-4.4444444444444446E-2</v>
      </c>
      <c r="H28" s="9">
        <f t="shared" si="5"/>
        <v>5.8541266794625721E-2</v>
      </c>
      <c r="I28" s="9">
        <f t="shared" si="5"/>
        <v>-1.8322082931533271E-2</v>
      </c>
      <c r="J28" s="9">
        <f t="shared" si="5"/>
        <v>7.795957651588066E-2</v>
      </c>
      <c r="K28" s="9">
        <f t="shared" si="5"/>
        <v>0.1011333914559721</v>
      </c>
      <c r="L28" s="9">
        <f t="shared" si="5"/>
        <v>9.4795539033457249E-2</v>
      </c>
      <c r="M28" s="9">
        <f t="shared" si="5"/>
        <v>3.5217794253938832E-2</v>
      </c>
      <c r="N28" s="9">
        <f t="shared" si="5"/>
        <v>1.4625228519195612E-2</v>
      </c>
      <c r="O28" s="9">
        <f t="shared" si="5"/>
        <v>3.1559963931469794E-2</v>
      </c>
      <c r="P28" s="9">
        <f t="shared" si="5"/>
        <v>0.10743061772605192</v>
      </c>
      <c r="Q28" s="9">
        <f t="shared" si="5"/>
        <v>0.14309764309764308</v>
      </c>
      <c r="R28" s="9">
        <f t="shared" si="5"/>
        <v>0.13235294117647059</v>
      </c>
      <c r="S28" s="9">
        <f t="shared" si="5"/>
        <v>0.12795436022819887</v>
      </c>
      <c r="T28" s="10">
        <f t="shared" si="5"/>
        <v>0.32098765432098764</v>
      </c>
      <c r="U28" s="10">
        <f t="shared" si="5"/>
        <v>1.4526916802610115</v>
      </c>
      <c r="V28" s="10">
        <f t="shared" si="5"/>
        <v>0.45085296506904954</v>
      </c>
      <c r="W28" s="10">
        <f t="shared" si="5"/>
        <v>0.57629870129870131</v>
      </c>
      <c r="X28" s="10">
        <f t="shared" si="5"/>
        <v>0.75040650406504061</v>
      </c>
      <c r="Y28" s="10">
        <f t="shared" si="5"/>
        <v>0.79705400981996721</v>
      </c>
      <c r="Z28" s="10">
        <f t="shared" si="5"/>
        <v>0.55744680851063833</v>
      </c>
      <c r="AA28" s="10">
        <f t="shared" si="5"/>
        <v>0.27389705882352944</v>
      </c>
      <c r="AB28" s="10">
        <f t="shared" si="5"/>
        <v>4.0615384615384616E-2</v>
      </c>
      <c r="AC28" s="10">
        <f t="shared" si="5"/>
        <v>1.2978986402966625E-2</v>
      </c>
      <c r="AD28" s="10">
        <f t="shared" si="5"/>
        <v>-8.6281812538795785E-2</v>
      </c>
      <c r="AE28" s="10">
        <f t="shared" si="5"/>
        <v>1.6594960049170254E-2</v>
      </c>
      <c r="AF28" s="10">
        <f t="shared" si="5"/>
        <v>0.18354818907305095</v>
      </c>
      <c r="AG28" s="10">
        <f t="shared" si="5"/>
        <v>0.40970515970515969</v>
      </c>
      <c r="AH28" s="10">
        <f t="shared" si="5"/>
        <v>7.5045759609517995E-2</v>
      </c>
      <c r="AI28" s="10">
        <f t="shared" si="5"/>
        <v>0.16188149053145998</v>
      </c>
      <c r="AJ28" s="10">
        <f t="shared" si="5"/>
        <v>0.47127139364303178</v>
      </c>
      <c r="AK28" s="10">
        <f t="shared" si="5"/>
        <v>0.29498164014687883</v>
      </c>
      <c r="AL28" s="10">
        <f t="shared" si="5"/>
        <v>0.43603936039360391</v>
      </c>
      <c r="AM28" s="10">
        <f t="shared" si="5"/>
        <v>0.53496932515337425</v>
      </c>
      <c r="AN28" s="10">
        <f t="shared" si="5"/>
        <v>0.7574649603900061</v>
      </c>
      <c r="AO28" s="10">
        <f t="shared" si="5"/>
        <v>0.91631291691934502</v>
      </c>
    </row>
    <row r="29" spans="1:42" ht="15.75" x14ac:dyDescent="0.25">
      <c r="A29" s="7" t="s">
        <v>66</v>
      </c>
      <c r="B29" s="11">
        <f>B31+B30</f>
        <v>-45</v>
      </c>
      <c r="C29" s="11">
        <f t="shared" ref="C29:AO29" si="6">C31+C30</f>
        <v>-8</v>
      </c>
      <c r="D29" s="11">
        <f t="shared" si="6"/>
        <v>56</v>
      </c>
      <c r="E29" s="11">
        <f t="shared" si="6"/>
        <v>-340</v>
      </c>
      <c r="F29" s="11">
        <f t="shared" si="6"/>
        <v>18</v>
      </c>
      <c r="G29" s="11">
        <f t="shared" si="6"/>
        <v>9</v>
      </c>
      <c r="H29" s="11">
        <f t="shared" si="6"/>
        <v>155</v>
      </c>
      <c r="I29" s="11">
        <f t="shared" si="6"/>
        <v>37</v>
      </c>
      <c r="J29" s="11">
        <f t="shared" si="6"/>
        <v>164</v>
      </c>
      <c r="K29" s="11">
        <f t="shared" si="6"/>
        <v>195</v>
      </c>
      <c r="L29" s="11">
        <f t="shared" si="6"/>
        <v>191</v>
      </c>
      <c r="M29" s="11">
        <f t="shared" si="6"/>
        <v>116</v>
      </c>
      <c r="N29" s="11">
        <f t="shared" si="6"/>
        <v>33</v>
      </c>
      <c r="O29" s="11">
        <f t="shared" si="6"/>
        <v>120</v>
      </c>
      <c r="P29" s="11">
        <f t="shared" si="6"/>
        <v>255</v>
      </c>
      <c r="Q29" s="11">
        <f t="shared" si="6"/>
        <v>421</v>
      </c>
      <c r="R29" s="11">
        <f t="shared" si="6"/>
        <v>255</v>
      </c>
      <c r="S29" s="11">
        <f t="shared" si="6"/>
        <v>255</v>
      </c>
      <c r="T29" s="11">
        <f t="shared" si="6"/>
        <v>542</v>
      </c>
      <c r="U29" s="11">
        <f t="shared" si="6"/>
        <v>671</v>
      </c>
      <c r="V29" s="11">
        <f t="shared" si="6"/>
        <v>765</v>
      </c>
      <c r="W29" s="11">
        <f t="shared" si="6"/>
        <v>940</v>
      </c>
      <c r="X29" s="11">
        <f t="shared" si="6"/>
        <v>1065</v>
      </c>
      <c r="Y29" s="11">
        <f t="shared" si="6"/>
        <v>1304</v>
      </c>
      <c r="Z29" s="11">
        <f t="shared" si="6"/>
        <v>1975</v>
      </c>
      <c r="AA29" s="11">
        <f t="shared" si="6"/>
        <v>2744</v>
      </c>
      <c r="AB29" s="11">
        <f t="shared" si="6"/>
        <v>2118</v>
      </c>
      <c r="AC29" s="11">
        <f t="shared" si="6"/>
        <v>1397</v>
      </c>
      <c r="AD29" s="11">
        <f t="shared" si="6"/>
        <v>1674</v>
      </c>
      <c r="AE29" s="11">
        <f t="shared" si="6"/>
        <v>1538</v>
      </c>
      <c r="AF29" s="11">
        <f t="shared" si="6"/>
        <v>1722</v>
      </c>
      <c r="AG29" s="11">
        <f t="shared" si="6"/>
        <v>1795</v>
      </c>
      <c r="AH29" s="11">
        <f t="shared" si="6"/>
        <v>1442</v>
      </c>
      <c r="AI29" s="11">
        <f t="shared" si="6"/>
        <v>1641</v>
      </c>
      <c r="AJ29" s="11">
        <f t="shared" si="6"/>
        <v>2065</v>
      </c>
      <c r="AK29" s="11">
        <f t="shared" si="6"/>
        <v>2396</v>
      </c>
      <c r="AL29" s="11">
        <f t="shared" si="6"/>
        <v>2115</v>
      </c>
      <c r="AM29" s="11">
        <f t="shared" si="6"/>
        <v>1227</v>
      </c>
      <c r="AN29" s="11">
        <f t="shared" si="6"/>
        <v>2586</v>
      </c>
      <c r="AO29" s="11">
        <f t="shared" si="6"/>
        <v>3060</v>
      </c>
    </row>
    <row r="30" spans="1:42" ht="15.75" x14ac:dyDescent="0.25">
      <c r="A30" s="4" t="s">
        <v>67</v>
      </c>
      <c r="B30" s="9">
        <f>B84</f>
        <v>33</v>
      </c>
      <c r="C30" s="9">
        <f t="shared" ref="C30:AO30" si="7">C84</f>
        <v>33</v>
      </c>
      <c r="D30" s="9">
        <f t="shared" si="7"/>
        <v>33</v>
      </c>
      <c r="E30" s="9">
        <f t="shared" si="7"/>
        <v>34</v>
      </c>
      <c r="F30" s="9">
        <f t="shared" si="7"/>
        <v>34</v>
      </c>
      <c r="G30" s="9">
        <f t="shared" si="7"/>
        <v>35</v>
      </c>
      <c r="H30" s="9">
        <f t="shared" si="7"/>
        <v>36</v>
      </c>
      <c r="I30" s="9">
        <f t="shared" si="7"/>
        <v>39</v>
      </c>
      <c r="J30" s="9">
        <f t="shared" si="7"/>
        <v>44</v>
      </c>
      <c r="K30" s="9">
        <f t="shared" si="7"/>
        <v>42</v>
      </c>
      <c r="L30" s="9">
        <f t="shared" si="7"/>
        <v>41</v>
      </c>
      <c r="M30" s="9">
        <f t="shared" si="7"/>
        <v>43</v>
      </c>
      <c r="N30" s="9">
        <f t="shared" si="7"/>
        <v>55</v>
      </c>
      <c r="O30" s="9">
        <f t="shared" si="7"/>
        <v>61</v>
      </c>
      <c r="P30" s="9">
        <f t="shared" si="7"/>
        <v>69</v>
      </c>
      <c r="Q30" s="9">
        <f t="shared" si="7"/>
        <v>73</v>
      </c>
      <c r="R30" s="9">
        <f t="shared" si="7"/>
        <v>78</v>
      </c>
      <c r="S30" s="9">
        <f t="shared" si="7"/>
        <v>82</v>
      </c>
      <c r="T30" s="9">
        <f t="shared" si="7"/>
        <v>93</v>
      </c>
      <c r="U30" s="9">
        <f t="shared" si="7"/>
        <v>101</v>
      </c>
      <c r="V30" s="9">
        <f t="shared" si="7"/>
        <v>107</v>
      </c>
      <c r="W30" s="9">
        <f t="shared" si="7"/>
        <v>110</v>
      </c>
      <c r="X30" s="9">
        <f t="shared" si="7"/>
        <v>112</v>
      </c>
      <c r="Y30" s="9">
        <f t="shared" si="7"/>
        <v>134</v>
      </c>
      <c r="Z30" s="9">
        <f t="shared" si="7"/>
        <v>628</v>
      </c>
      <c r="AA30" s="9">
        <f t="shared" si="7"/>
        <v>1201</v>
      </c>
      <c r="AB30" s="9">
        <f t="shared" si="7"/>
        <v>1188</v>
      </c>
      <c r="AC30" s="9">
        <f t="shared" si="7"/>
        <v>507</v>
      </c>
      <c r="AD30" s="9">
        <f t="shared" si="7"/>
        <v>1006</v>
      </c>
      <c r="AE30" s="9">
        <f t="shared" si="7"/>
        <v>873</v>
      </c>
      <c r="AF30" s="9">
        <f t="shared" si="7"/>
        <v>848</v>
      </c>
      <c r="AG30" s="9">
        <f t="shared" si="7"/>
        <v>824</v>
      </c>
      <c r="AH30" s="9">
        <f t="shared" si="7"/>
        <v>784</v>
      </c>
      <c r="AI30" s="9">
        <f t="shared" si="7"/>
        <v>769</v>
      </c>
      <c r="AJ30" s="9">
        <f t="shared" si="7"/>
        <v>756</v>
      </c>
      <c r="AK30" s="9">
        <f t="shared" si="7"/>
        <v>755</v>
      </c>
      <c r="AL30" s="9">
        <f t="shared" si="7"/>
        <v>742</v>
      </c>
      <c r="AM30" s="9">
        <f t="shared" si="7"/>
        <v>757</v>
      </c>
      <c r="AN30" s="9">
        <f t="shared" si="7"/>
        <v>754</v>
      </c>
      <c r="AO30" s="9">
        <f t="shared" si="7"/>
        <v>751</v>
      </c>
    </row>
    <row r="31" spans="1:42" s="17" customFormat="1" ht="15.75" x14ac:dyDescent="0.25">
      <c r="A31" s="7" t="s">
        <v>68</v>
      </c>
      <c r="B31" s="8">
        <f>B11+B10+B9</f>
        <v>-78</v>
      </c>
      <c r="C31" s="8">
        <f t="shared" ref="C31:AO31" si="8">C11+C10+C9</f>
        <v>-41</v>
      </c>
      <c r="D31" s="8">
        <f t="shared" si="8"/>
        <v>23</v>
      </c>
      <c r="E31" s="8">
        <f t="shared" si="8"/>
        <v>-374</v>
      </c>
      <c r="F31" s="8">
        <f t="shared" si="8"/>
        <v>-16</v>
      </c>
      <c r="G31" s="8">
        <f t="shared" si="8"/>
        <v>-26</v>
      </c>
      <c r="H31" s="8">
        <f t="shared" si="8"/>
        <v>119</v>
      </c>
      <c r="I31" s="8">
        <f t="shared" si="8"/>
        <v>-2</v>
      </c>
      <c r="J31" s="8">
        <f t="shared" si="8"/>
        <v>120</v>
      </c>
      <c r="K31" s="8">
        <f t="shared" si="8"/>
        <v>153</v>
      </c>
      <c r="L31" s="8">
        <f t="shared" si="8"/>
        <v>150</v>
      </c>
      <c r="M31" s="8">
        <f t="shared" si="8"/>
        <v>73</v>
      </c>
      <c r="N31" s="8">
        <f t="shared" si="8"/>
        <v>-22</v>
      </c>
      <c r="O31" s="8">
        <f t="shared" si="8"/>
        <v>59</v>
      </c>
      <c r="P31" s="8">
        <f t="shared" si="8"/>
        <v>186</v>
      </c>
      <c r="Q31" s="8">
        <f t="shared" si="8"/>
        <v>348</v>
      </c>
      <c r="R31" s="8">
        <f t="shared" si="8"/>
        <v>177</v>
      </c>
      <c r="S31" s="8">
        <f t="shared" si="8"/>
        <v>173</v>
      </c>
      <c r="T31" s="8">
        <f t="shared" si="8"/>
        <v>449</v>
      </c>
      <c r="U31" s="8">
        <f t="shared" si="8"/>
        <v>570</v>
      </c>
      <c r="V31" s="8">
        <f t="shared" si="8"/>
        <v>658</v>
      </c>
      <c r="W31" s="8">
        <f t="shared" si="8"/>
        <v>830</v>
      </c>
      <c r="X31" s="8">
        <f t="shared" si="8"/>
        <v>953</v>
      </c>
      <c r="Y31" s="8">
        <f t="shared" si="8"/>
        <v>1170</v>
      </c>
      <c r="Z31" s="8">
        <f t="shared" si="8"/>
        <v>1347</v>
      </c>
      <c r="AA31" s="8">
        <f t="shared" si="8"/>
        <v>1543</v>
      </c>
      <c r="AB31" s="8">
        <f t="shared" si="8"/>
        <v>930</v>
      </c>
      <c r="AC31" s="8">
        <f t="shared" si="8"/>
        <v>890</v>
      </c>
      <c r="AD31" s="8">
        <f t="shared" si="8"/>
        <v>668</v>
      </c>
      <c r="AE31" s="8">
        <f t="shared" si="8"/>
        <v>665</v>
      </c>
      <c r="AF31" s="8">
        <f t="shared" si="8"/>
        <v>874</v>
      </c>
      <c r="AG31" s="8">
        <f t="shared" si="8"/>
        <v>971</v>
      </c>
      <c r="AH31" s="8">
        <f t="shared" si="8"/>
        <v>658</v>
      </c>
      <c r="AI31" s="8">
        <f t="shared" si="8"/>
        <v>872</v>
      </c>
      <c r="AJ31" s="8">
        <f t="shared" si="8"/>
        <v>1309</v>
      </c>
      <c r="AK31" s="8">
        <f t="shared" si="8"/>
        <v>1641</v>
      </c>
      <c r="AL31" s="8">
        <f t="shared" si="8"/>
        <v>1373</v>
      </c>
      <c r="AM31" s="8">
        <f t="shared" si="8"/>
        <v>470</v>
      </c>
      <c r="AN31" s="8">
        <f t="shared" si="8"/>
        <v>1832</v>
      </c>
      <c r="AO31" s="8">
        <f t="shared" si="8"/>
        <v>2309</v>
      </c>
    </row>
    <row r="32" spans="1:42" s="17" customFormat="1" ht="15.75" x14ac:dyDescent="0.25">
      <c r="A32" s="7" t="s">
        <v>138</v>
      </c>
      <c r="B32" s="8">
        <f>B31+B12-B22</f>
        <v>-119</v>
      </c>
      <c r="C32" s="8">
        <f t="shared" ref="C32:AO32" si="9">C31+C12-C22</f>
        <v>-111</v>
      </c>
      <c r="D32" s="8">
        <f t="shared" si="9"/>
        <v>-22</v>
      </c>
      <c r="E32" s="8">
        <f t="shared" si="9"/>
        <v>-413</v>
      </c>
      <c r="F32" s="8">
        <f t="shared" si="9"/>
        <v>-53</v>
      </c>
      <c r="G32" s="8">
        <f t="shared" si="9"/>
        <v>-61</v>
      </c>
      <c r="H32" s="8">
        <f t="shared" si="9"/>
        <v>66</v>
      </c>
      <c r="I32" s="8">
        <f t="shared" si="9"/>
        <v>-21</v>
      </c>
      <c r="J32" s="8">
        <f t="shared" si="9"/>
        <v>81</v>
      </c>
      <c r="K32" s="8">
        <f t="shared" si="9"/>
        <v>116</v>
      </c>
      <c r="L32" s="8">
        <f t="shared" si="9"/>
        <v>108</v>
      </c>
      <c r="M32" s="8">
        <f t="shared" si="9"/>
        <v>79</v>
      </c>
      <c r="N32" s="8">
        <f t="shared" si="9"/>
        <v>-36</v>
      </c>
      <c r="O32" s="8">
        <f t="shared" si="9"/>
        <v>32</v>
      </c>
      <c r="P32" s="8">
        <f t="shared" si="9"/>
        <v>155</v>
      </c>
      <c r="Q32" s="8">
        <f t="shared" si="9"/>
        <v>295</v>
      </c>
      <c r="R32" s="8">
        <f t="shared" si="9"/>
        <v>158</v>
      </c>
      <c r="S32" s="8">
        <f t="shared" si="9"/>
        <v>155</v>
      </c>
      <c r="T32" s="8">
        <f t="shared" si="9"/>
        <v>426</v>
      </c>
      <c r="U32" s="8">
        <f t="shared" si="9"/>
        <v>1793</v>
      </c>
      <c r="V32" s="8">
        <f t="shared" si="9"/>
        <v>560</v>
      </c>
      <c r="W32" s="8">
        <f t="shared" si="9"/>
        <v>707</v>
      </c>
      <c r="X32" s="8">
        <f t="shared" si="9"/>
        <v>864</v>
      </c>
      <c r="Y32" s="8">
        <f t="shared" si="9"/>
        <v>933</v>
      </c>
      <c r="Z32" s="8">
        <f t="shared" si="9"/>
        <v>1221</v>
      </c>
      <c r="AA32" s="8">
        <f t="shared" si="9"/>
        <v>1464</v>
      </c>
      <c r="AB32" s="8">
        <f t="shared" si="9"/>
        <v>1034</v>
      </c>
      <c r="AC32" s="8">
        <f t="shared" si="9"/>
        <v>1025</v>
      </c>
      <c r="AD32" s="8">
        <f t="shared" si="9"/>
        <v>630</v>
      </c>
      <c r="AE32" s="8">
        <f t="shared" si="9"/>
        <v>660</v>
      </c>
      <c r="AF32" s="8">
        <f t="shared" si="9"/>
        <v>887</v>
      </c>
      <c r="AG32" s="8">
        <f t="shared" si="9"/>
        <v>1241</v>
      </c>
      <c r="AH32" s="8">
        <f t="shared" si="9"/>
        <v>685</v>
      </c>
      <c r="AI32" s="8">
        <f t="shared" si="9"/>
        <v>806</v>
      </c>
      <c r="AJ32" s="8">
        <f t="shared" si="9"/>
        <v>1313</v>
      </c>
      <c r="AK32" s="8">
        <f t="shared" si="9"/>
        <v>1203</v>
      </c>
      <c r="AL32" s="8">
        <f t="shared" si="9"/>
        <v>1230</v>
      </c>
      <c r="AM32" s="8">
        <f t="shared" si="9"/>
        <v>1266</v>
      </c>
      <c r="AN32" s="8">
        <f t="shared" si="9"/>
        <v>1642</v>
      </c>
      <c r="AO32" s="8">
        <f t="shared" si="9"/>
        <v>1818</v>
      </c>
    </row>
    <row r="33" spans="1:41" s="17" customFormat="1" ht="15.75" x14ac:dyDescent="0.25">
      <c r="A33" s="12" t="s">
        <v>139</v>
      </c>
      <c r="B33" s="14">
        <f>B32/B26</f>
        <v>-0.15006305170239598</v>
      </c>
      <c r="C33" s="14">
        <f t="shared" ref="C33:AO33" si="10">C32/C26</f>
        <v>-0.13520097442143728</v>
      </c>
      <c r="D33" s="14">
        <f t="shared" si="10"/>
        <v>-2.6993865030674847E-2</v>
      </c>
      <c r="E33" s="14">
        <f t="shared" si="10"/>
        <v>-0.44360902255639095</v>
      </c>
      <c r="F33" s="14">
        <f t="shared" si="10"/>
        <v>-5.6443024494142707E-2</v>
      </c>
      <c r="G33" s="14">
        <f t="shared" si="10"/>
        <v>-6.4550264550264552E-2</v>
      </c>
      <c r="H33" s="14">
        <f t="shared" si="10"/>
        <v>6.3339731285988479E-2</v>
      </c>
      <c r="I33" s="14">
        <f t="shared" si="10"/>
        <v>-2.0250723240115717E-2</v>
      </c>
      <c r="J33" s="14">
        <f t="shared" si="10"/>
        <v>7.795957651588066E-2</v>
      </c>
      <c r="K33" s="14">
        <f t="shared" si="10"/>
        <v>0.1011333914559721</v>
      </c>
      <c r="L33" s="14">
        <f t="shared" si="10"/>
        <v>0.10037174721189591</v>
      </c>
      <c r="M33" s="14">
        <f t="shared" si="10"/>
        <v>7.3215940685820199E-2</v>
      </c>
      <c r="N33" s="14">
        <f t="shared" si="10"/>
        <v>-3.2906764168190127E-2</v>
      </c>
      <c r="O33" s="14">
        <f t="shared" si="10"/>
        <v>2.8854824165915238E-2</v>
      </c>
      <c r="P33" s="14">
        <f t="shared" si="10"/>
        <v>0.13876454789615039</v>
      </c>
      <c r="Q33" s="14">
        <f t="shared" si="10"/>
        <v>0.24831649831649832</v>
      </c>
      <c r="R33" s="14">
        <f t="shared" si="10"/>
        <v>0.12908496732026145</v>
      </c>
      <c r="S33" s="14">
        <f t="shared" si="10"/>
        <v>0.12632436837815811</v>
      </c>
      <c r="T33" s="14">
        <f t="shared" si="10"/>
        <v>0.35061728395061731</v>
      </c>
      <c r="U33" s="14">
        <f t="shared" si="10"/>
        <v>1.4624796084828711</v>
      </c>
      <c r="V33" s="14">
        <f t="shared" si="10"/>
        <v>0.45491470349309504</v>
      </c>
      <c r="W33" s="14">
        <f t="shared" si="10"/>
        <v>0.57386363636363635</v>
      </c>
      <c r="X33" s="14">
        <f t="shared" si="10"/>
        <v>0.70243902439024386</v>
      </c>
      <c r="Y33" s="14">
        <f t="shared" si="10"/>
        <v>0.76350245499181668</v>
      </c>
      <c r="Z33" s="14">
        <f t="shared" si="10"/>
        <v>0.86595744680851061</v>
      </c>
      <c r="AA33" s="14">
        <f t="shared" si="10"/>
        <v>0.8970588235294118</v>
      </c>
      <c r="AB33" s="14">
        <f t="shared" si="10"/>
        <v>0.63630769230769235</v>
      </c>
      <c r="AC33" s="14">
        <f t="shared" si="10"/>
        <v>0.63349814585908526</v>
      </c>
      <c r="AD33" s="14">
        <f t="shared" si="10"/>
        <v>0.39106145251396646</v>
      </c>
      <c r="AE33" s="14">
        <f t="shared" si="10"/>
        <v>0.4056545789797173</v>
      </c>
      <c r="AF33" s="14">
        <f t="shared" si="10"/>
        <v>0.54450583179864953</v>
      </c>
      <c r="AG33" s="14">
        <f t="shared" si="10"/>
        <v>0.76228501228501233</v>
      </c>
      <c r="AH33" s="14">
        <f t="shared" si="10"/>
        <v>0.4179377669310555</v>
      </c>
      <c r="AI33" s="14">
        <f t="shared" si="10"/>
        <v>0.49236408063530851</v>
      </c>
      <c r="AJ33" s="14">
        <f t="shared" si="10"/>
        <v>0.80256723716381417</v>
      </c>
      <c r="AK33" s="14">
        <f t="shared" si="10"/>
        <v>0.73623011015911877</v>
      </c>
      <c r="AL33" s="14">
        <f t="shared" si="10"/>
        <v>0.75645756457564572</v>
      </c>
      <c r="AM33" s="14">
        <f t="shared" si="10"/>
        <v>0.77668711656441713</v>
      </c>
      <c r="AN33" s="14">
        <f t="shared" si="10"/>
        <v>1.0006093845216331</v>
      </c>
      <c r="AO33" s="14">
        <f t="shared" si="10"/>
        <v>1.1024863553668891</v>
      </c>
    </row>
    <row r="36" spans="1:41" ht="15.75" x14ac:dyDescent="0.25">
      <c r="A36" s="1" t="s">
        <v>69</v>
      </c>
      <c r="B36" s="15"/>
      <c r="C36" s="15"/>
      <c r="D36" s="15"/>
      <c r="E36" s="15"/>
    </row>
    <row r="38" spans="1:41" ht="15.75" x14ac:dyDescent="0.25">
      <c r="A38" s="2" t="s">
        <v>0</v>
      </c>
      <c r="B38" s="3" t="s">
        <v>1</v>
      </c>
      <c r="C38" s="3" t="s">
        <v>2</v>
      </c>
      <c r="D38" s="3" t="s">
        <v>3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  <c r="K38" s="3" t="s">
        <v>10</v>
      </c>
      <c r="L38" s="3" t="s">
        <v>11</v>
      </c>
      <c r="M38" s="3" t="s">
        <v>12</v>
      </c>
      <c r="N38" s="3" t="s">
        <v>13</v>
      </c>
      <c r="O38" s="3" t="s">
        <v>14</v>
      </c>
      <c r="P38" s="3" t="s">
        <v>15</v>
      </c>
      <c r="Q38" s="3" t="s">
        <v>16</v>
      </c>
      <c r="R38" s="3" t="s">
        <v>17</v>
      </c>
      <c r="S38" s="3" t="s">
        <v>18</v>
      </c>
      <c r="T38" s="3" t="s">
        <v>19</v>
      </c>
      <c r="U38" s="3" t="s">
        <v>20</v>
      </c>
      <c r="V38" s="3" t="s">
        <v>21</v>
      </c>
      <c r="W38" s="3" t="s">
        <v>22</v>
      </c>
      <c r="X38" s="3" t="s">
        <v>23</v>
      </c>
      <c r="Y38" s="3" t="s">
        <v>24</v>
      </c>
      <c r="Z38" s="3" t="s">
        <v>25</v>
      </c>
      <c r="AA38" s="3" t="s">
        <v>26</v>
      </c>
      <c r="AB38" s="3" t="s">
        <v>27</v>
      </c>
      <c r="AC38" s="3" t="s">
        <v>28</v>
      </c>
      <c r="AD38" s="3" t="s">
        <v>29</v>
      </c>
      <c r="AE38" s="3" t="s">
        <v>30</v>
      </c>
      <c r="AF38" s="3" t="s">
        <v>31</v>
      </c>
      <c r="AG38" s="3" t="s">
        <v>32</v>
      </c>
      <c r="AH38" s="3" t="s">
        <v>33</v>
      </c>
      <c r="AI38" s="3" t="s">
        <v>34</v>
      </c>
      <c r="AJ38" s="3" t="s">
        <v>35</v>
      </c>
      <c r="AK38" s="3" t="s">
        <v>36</v>
      </c>
      <c r="AL38" s="3" t="s">
        <v>37</v>
      </c>
      <c r="AM38" s="3" t="s">
        <v>38</v>
      </c>
      <c r="AN38" s="3" t="s">
        <v>39</v>
      </c>
      <c r="AO38" s="3" t="s">
        <v>40</v>
      </c>
    </row>
    <row r="39" spans="1:41" ht="15.75" x14ac:dyDescent="0.25">
      <c r="A39" s="4" t="s">
        <v>70</v>
      </c>
      <c r="B39" s="6">
        <v>716</v>
      </c>
      <c r="C39" s="6">
        <v>957</v>
      </c>
      <c r="D39" s="6">
        <v>1258</v>
      </c>
      <c r="E39" s="6">
        <v>1264</v>
      </c>
      <c r="F39" s="6">
        <v>722</v>
      </c>
      <c r="G39" s="6">
        <v>760</v>
      </c>
      <c r="H39" s="6">
        <v>879</v>
      </c>
      <c r="I39" s="6">
        <v>1185</v>
      </c>
      <c r="J39" s="6">
        <v>1045</v>
      </c>
      <c r="K39" s="6">
        <v>948</v>
      </c>
      <c r="L39" s="6">
        <v>1046</v>
      </c>
      <c r="M39" s="6">
        <v>1078</v>
      </c>
      <c r="N39" s="6">
        <v>978</v>
      </c>
      <c r="O39" s="6">
        <v>963</v>
      </c>
      <c r="P39" s="6">
        <v>1156</v>
      </c>
      <c r="Q39" s="6">
        <v>1466</v>
      </c>
      <c r="R39" s="6">
        <v>1330</v>
      </c>
      <c r="S39" s="6">
        <v>1775</v>
      </c>
      <c r="T39" s="6">
        <v>1296</v>
      </c>
      <c r="U39" s="6">
        <v>1595</v>
      </c>
      <c r="V39" s="6">
        <v>1763</v>
      </c>
      <c r="W39" s="6">
        <v>2623</v>
      </c>
      <c r="X39" s="6">
        <v>2440</v>
      </c>
      <c r="Y39" s="6">
        <v>2535</v>
      </c>
      <c r="Z39" s="6">
        <v>4740</v>
      </c>
      <c r="AA39" s="6">
        <v>4964</v>
      </c>
      <c r="AB39" s="6">
        <v>3398</v>
      </c>
      <c r="AC39" s="6">
        <v>4835</v>
      </c>
      <c r="AD39" s="6">
        <v>3825</v>
      </c>
      <c r="AE39" s="6">
        <v>3841</v>
      </c>
      <c r="AF39" s="6">
        <v>3561</v>
      </c>
      <c r="AG39" s="6">
        <v>3933</v>
      </c>
      <c r="AH39" s="6">
        <v>4190</v>
      </c>
      <c r="AI39" s="6">
        <v>4113</v>
      </c>
      <c r="AJ39" s="6">
        <v>3897</v>
      </c>
      <c r="AK39" s="6">
        <v>3787</v>
      </c>
      <c r="AL39" s="6">
        <v>6049</v>
      </c>
      <c r="AM39" s="6">
        <v>4442</v>
      </c>
      <c r="AN39" s="6">
        <v>4808</v>
      </c>
      <c r="AO39" s="6">
        <v>5539</v>
      </c>
    </row>
    <row r="40" spans="1:41" ht="15.75" x14ac:dyDescent="0.25">
      <c r="A40" s="4" t="s">
        <v>71</v>
      </c>
      <c r="B40" s="6">
        <v>0</v>
      </c>
      <c r="C40" s="6">
        <v>0</v>
      </c>
      <c r="D40" s="6">
        <v>0</v>
      </c>
      <c r="E40" s="6">
        <v>0</v>
      </c>
      <c r="F40" s="6">
        <v>221</v>
      </c>
      <c r="G40" s="6">
        <v>84</v>
      </c>
      <c r="H40" s="6">
        <v>0</v>
      </c>
      <c r="I40" s="6">
        <v>0</v>
      </c>
      <c r="J40" s="6">
        <v>0</v>
      </c>
      <c r="K40" s="6">
        <v>35</v>
      </c>
      <c r="L40" s="6">
        <v>10</v>
      </c>
      <c r="M40" s="6">
        <v>78</v>
      </c>
      <c r="N40" s="6">
        <v>216</v>
      </c>
      <c r="O40" s="6">
        <v>165</v>
      </c>
      <c r="P40" s="6">
        <v>53</v>
      </c>
      <c r="Q40" s="6">
        <v>37</v>
      </c>
      <c r="R40" s="6">
        <v>55</v>
      </c>
      <c r="S40" s="6">
        <v>0</v>
      </c>
      <c r="T40" s="6">
        <v>475</v>
      </c>
      <c r="U40" s="6">
        <v>695</v>
      </c>
      <c r="V40" s="6">
        <v>1353</v>
      </c>
      <c r="W40" s="6">
        <v>1170</v>
      </c>
      <c r="X40" s="6">
        <v>1168</v>
      </c>
      <c r="Y40" s="6">
        <v>1073</v>
      </c>
      <c r="Z40" s="6">
        <v>1792</v>
      </c>
      <c r="AA40" s="6">
        <v>1028</v>
      </c>
      <c r="AB40" s="6">
        <v>2193</v>
      </c>
      <c r="AC40" s="6">
        <v>1020</v>
      </c>
      <c r="AD40" s="6">
        <v>2114</v>
      </c>
      <c r="AE40" s="6">
        <v>2444</v>
      </c>
      <c r="AF40" s="6">
        <v>2224</v>
      </c>
      <c r="AG40" s="6">
        <v>1840</v>
      </c>
      <c r="AH40" s="6">
        <v>1845</v>
      </c>
      <c r="AI40" s="6">
        <v>1227</v>
      </c>
      <c r="AJ40" s="6">
        <v>647</v>
      </c>
      <c r="AK40" s="6">
        <v>1345</v>
      </c>
      <c r="AL40" s="6">
        <v>1261</v>
      </c>
      <c r="AM40" s="6">
        <v>1425</v>
      </c>
      <c r="AN40" s="6">
        <v>2435</v>
      </c>
      <c r="AO40" s="6">
        <v>5013</v>
      </c>
    </row>
    <row r="41" spans="1:41" ht="15.75" x14ac:dyDescent="0.25">
      <c r="A41" s="7" t="s">
        <v>72</v>
      </c>
      <c r="B41" s="8">
        <f>SUM(B39:B40)</f>
        <v>716</v>
      </c>
      <c r="C41" s="8">
        <f t="shared" ref="C41:AO41" si="11">SUM(C39:C40)</f>
        <v>957</v>
      </c>
      <c r="D41" s="8">
        <f t="shared" si="11"/>
        <v>1258</v>
      </c>
      <c r="E41" s="8">
        <f t="shared" si="11"/>
        <v>1264</v>
      </c>
      <c r="F41" s="8">
        <f t="shared" si="11"/>
        <v>943</v>
      </c>
      <c r="G41" s="8">
        <f t="shared" si="11"/>
        <v>844</v>
      </c>
      <c r="H41" s="8">
        <f t="shared" si="11"/>
        <v>879</v>
      </c>
      <c r="I41" s="8">
        <f t="shared" si="11"/>
        <v>1185</v>
      </c>
      <c r="J41" s="8">
        <f t="shared" si="11"/>
        <v>1045</v>
      </c>
      <c r="K41" s="8">
        <f t="shared" si="11"/>
        <v>983</v>
      </c>
      <c r="L41" s="8">
        <f t="shared" si="11"/>
        <v>1056</v>
      </c>
      <c r="M41" s="8">
        <f t="shared" si="11"/>
        <v>1156</v>
      </c>
      <c r="N41" s="8">
        <f t="shared" si="11"/>
        <v>1194</v>
      </c>
      <c r="O41" s="8">
        <f t="shared" si="11"/>
        <v>1128</v>
      </c>
      <c r="P41" s="8">
        <f t="shared" si="11"/>
        <v>1209</v>
      </c>
      <c r="Q41" s="8">
        <f t="shared" si="11"/>
        <v>1503</v>
      </c>
      <c r="R41" s="8">
        <f t="shared" si="11"/>
        <v>1385</v>
      </c>
      <c r="S41" s="8">
        <f t="shared" si="11"/>
        <v>1775</v>
      </c>
      <c r="T41" s="8">
        <f t="shared" si="11"/>
        <v>1771</v>
      </c>
      <c r="U41" s="8">
        <f t="shared" si="11"/>
        <v>2290</v>
      </c>
      <c r="V41" s="8">
        <f t="shared" si="11"/>
        <v>3116</v>
      </c>
      <c r="W41" s="8">
        <f t="shared" si="11"/>
        <v>3793</v>
      </c>
      <c r="X41" s="8">
        <f t="shared" si="11"/>
        <v>3608</v>
      </c>
      <c r="Y41" s="8">
        <f t="shared" si="11"/>
        <v>3608</v>
      </c>
      <c r="Z41" s="8">
        <f t="shared" si="11"/>
        <v>6532</v>
      </c>
      <c r="AA41" s="8">
        <f t="shared" si="11"/>
        <v>5992</v>
      </c>
      <c r="AB41" s="8">
        <f t="shared" si="11"/>
        <v>5591</v>
      </c>
      <c r="AC41" s="8">
        <f t="shared" si="11"/>
        <v>5855</v>
      </c>
      <c r="AD41" s="8">
        <f t="shared" si="11"/>
        <v>5939</v>
      </c>
      <c r="AE41" s="8">
        <f t="shared" si="11"/>
        <v>6285</v>
      </c>
      <c r="AF41" s="8">
        <f t="shared" si="11"/>
        <v>5785</v>
      </c>
      <c r="AG41" s="8">
        <f t="shared" si="11"/>
        <v>5773</v>
      </c>
      <c r="AH41" s="8">
        <f t="shared" si="11"/>
        <v>6035</v>
      </c>
      <c r="AI41" s="8">
        <f t="shared" si="11"/>
        <v>5340</v>
      </c>
      <c r="AJ41" s="8">
        <f t="shared" si="11"/>
        <v>4544</v>
      </c>
      <c r="AK41" s="8">
        <f t="shared" si="11"/>
        <v>5132</v>
      </c>
      <c r="AL41" s="8">
        <f t="shared" si="11"/>
        <v>7310</v>
      </c>
      <c r="AM41" s="8">
        <f t="shared" si="11"/>
        <v>5867</v>
      </c>
      <c r="AN41" s="8">
        <f t="shared" si="11"/>
        <v>7243</v>
      </c>
      <c r="AO41" s="8">
        <f t="shared" si="11"/>
        <v>10552</v>
      </c>
    </row>
    <row r="42" spans="1:41" ht="15.75" x14ac:dyDescent="0.25">
      <c r="A42" s="4" t="s">
        <v>73</v>
      </c>
      <c r="B42" s="6">
        <v>508</v>
      </c>
      <c r="C42" s="6">
        <v>671</v>
      </c>
      <c r="D42" s="6">
        <v>640</v>
      </c>
      <c r="E42" s="6">
        <v>311</v>
      </c>
      <c r="F42" s="6">
        <v>514</v>
      </c>
      <c r="G42" s="6">
        <v>616</v>
      </c>
      <c r="H42" s="6">
        <v>776</v>
      </c>
      <c r="I42" s="6">
        <v>457</v>
      </c>
      <c r="J42" s="6">
        <v>745</v>
      </c>
      <c r="K42" s="6">
        <v>1118</v>
      </c>
      <c r="L42" s="6">
        <v>1245</v>
      </c>
      <c r="M42" s="6">
        <v>1251</v>
      </c>
      <c r="N42" s="6">
        <v>1279</v>
      </c>
      <c r="O42" s="6">
        <v>1363</v>
      </c>
      <c r="P42" s="6">
        <v>1410</v>
      </c>
      <c r="Q42" s="6">
        <v>1879</v>
      </c>
      <c r="R42" s="6">
        <v>1695</v>
      </c>
      <c r="S42" s="6">
        <v>1799</v>
      </c>
      <c r="T42" s="6">
        <v>2138</v>
      </c>
      <c r="U42" s="6">
        <v>2076</v>
      </c>
      <c r="V42" s="6">
        <v>2185</v>
      </c>
      <c r="W42" s="6">
        <v>2026</v>
      </c>
      <c r="X42" s="6">
        <v>2229</v>
      </c>
      <c r="Y42" s="6">
        <v>2708</v>
      </c>
      <c r="Z42" s="6">
        <v>3681</v>
      </c>
      <c r="AA42" s="6">
        <v>4053</v>
      </c>
      <c r="AB42" s="6">
        <v>4340</v>
      </c>
      <c r="AC42" s="6">
        <v>4128</v>
      </c>
      <c r="AD42" s="6">
        <v>4042</v>
      </c>
      <c r="AE42" s="6">
        <v>4314</v>
      </c>
      <c r="AF42" s="6">
        <v>5055</v>
      </c>
      <c r="AG42" s="6">
        <v>5385</v>
      </c>
      <c r="AH42" s="6">
        <v>5069</v>
      </c>
      <c r="AI42" s="6">
        <v>5773</v>
      </c>
      <c r="AJ42" s="6">
        <v>7270</v>
      </c>
      <c r="AK42" s="6">
        <v>6192</v>
      </c>
      <c r="AL42" s="6">
        <v>6286</v>
      </c>
      <c r="AM42" s="6">
        <v>5686</v>
      </c>
      <c r="AN42" s="6">
        <v>6513</v>
      </c>
      <c r="AO42" s="6">
        <v>6315</v>
      </c>
    </row>
    <row r="43" spans="1:41" ht="15.75" x14ac:dyDescent="0.25">
      <c r="A43" s="4" t="s">
        <v>74</v>
      </c>
      <c r="B43" s="6">
        <v>675</v>
      </c>
      <c r="C43" s="6">
        <v>743</v>
      </c>
      <c r="D43" s="6">
        <v>772</v>
      </c>
      <c r="E43" s="6">
        <v>751</v>
      </c>
      <c r="F43" s="6">
        <v>839</v>
      </c>
      <c r="G43" s="6">
        <v>833</v>
      </c>
      <c r="H43" s="6">
        <v>794</v>
      </c>
      <c r="I43" s="6">
        <v>694</v>
      </c>
      <c r="J43" s="6">
        <v>715</v>
      </c>
      <c r="K43" s="6">
        <v>750</v>
      </c>
      <c r="L43" s="6">
        <v>738</v>
      </c>
      <c r="M43" s="6">
        <v>845</v>
      </c>
      <c r="N43" s="6">
        <v>955</v>
      </c>
      <c r="O43" s="6">
        <v>1015</v>
      </c>
      <c r="P43" s="6">
        <v>1040</v>
      </c>
      <c r="Q43" s="6">
        <v>982</v>
      </c>
      <c r="R43" s="6">
        <v>1056</v>
      </c>
      <c r="S43" s="6">
        <v>1324</v>
      </c>
      <c r="T43" s="6">
        <v>1292</v>
      </c>
      <c r="U43" s="6">
        <v>1399</v>
      </c>
      <c r="V43" s="6">
        <v>1653</v>
      </c>
      <c r="W43" s="6">
        <v>1765</v>
      </c>
      <c r="X43" s="6">
        <v>1902</v>
      </c>
      <c r="Y43" s="6">
        <v>1955</v>
      </c>
      <c r="Z43" s="6">
        <v>2880</v>
      </c>
      <c r="AA43" s="6">
        <v>3048</v>
      </c>
      <c r="AB43" s="6">
        <v>4088</v>
      </c>
      <c r="AC43" s="6">
        <v>3771</v>
      </c>
      <c r="AD43" s="6">
        <v>5102</v>
      </c>
      <c r="AE43" s="6">
        <v>5409</v>
      </c>
      <c r="AF43" s="6">
        <v>5358</v>
      </c>
      <c r="AG43" s="6">
        <v>4351</v>
      </c>
      <c r="AH43" s="6">
        <v>4652</v>
      </c>
      <c r="AI43" s="6">
        <v>4991</v>
      </c>
      <c r="AJ43" s="6">
        <v>5374</v>
      </c>
      <c r="AK43" s="6">
        <v>5734</v>
      </c>
      <c r="AL43" s="6">
        <v>6416</v>
      </c>
      <c r="AM43" s="6">
        <v>6677</v>
      </c>
      <c r="AN43" s="6">
        <v>7313</v>
      </c>
      <c r="AO43" s="6">
        <v>7920</v>
      </c>
    </row>
    <row r="44" spans="1:41" ht="15.75" x14ac:dyDescent="0.25">
      <c r="A44" s="4" t="s">
        <v>75</v>
      </c>
      <c r="B44" s="6">
        <v>75</v>
      </c>
      <c r="C44" s="6">
        <v>80</v>
      </c>
      <c r="D44" s="6">
        <v>76</v>
      </c>
      <c r="E44" s="6">
        <v>95</v>
      </c>
      <c r="F44" s="6">
        <v>84</v>
      </c>
      <c r="G44" s="6">
        <v>76</v>
      </c>
      <c r="H44" s="6">
        <v>93</v>
      </c>
      <c r="I44" s="6">
        <v>107</v>
      </c>
      <c r="J44" s="6">
        <v>78</v>
      </c>
      <c r="K44" s="6">
        <v>93</v>
      </c>
      <c r="L44" s="6">
        <v>75</v>
      </c>
      <c r="M44" s="6">
        <v>277</v>
      </c>
      <c r="N44" s="6">
        <v>77</v>
      </c>
      <c r="O44" s="6">
        <v>235</v>
      </c>
      <c r="P44" s="6">
        <v>242</v>
      </c>
      <c r="Q44" s="6">
        <v>225</v>
      </c>
      <c r="R44" s="6">
        <v>246</v>
      </c>
      <c r="S44" s="6">
        <v>207</v>
      </c>
      <c r="T44" s="6">
        <v>295</v>
      </c>
      <c r="U44" s="6">
        <v>378</v>
      </c>
      <c r="V44" s="6">
        <v>243</v>
      </c>
      <c r="W44" s="6">
        <v>234</v>
      </c>
      <c r="X44" s="6">
        <v>249</v>
      </c>
      <c r="Y44" s="6">
        <v>312</v>
      </c>
      <c r="Z44" s="6">
        <v>0</v>
      </c>
      <c r="AA44" s="6">
        <v>0</v>
      </c>
      <c r="AB44" s="6">
        <v>0</v>
      </c>
      <c r="AC44" s="6">
        <v>1265</v>
      </c>
      <c r="AD44" s="6">
        <v>0</v>
      </c>
      <c r="AE44" s="6">
        <v>0</v>
      </c>
      <c r="AF44" s="6">
        <v>0</v>
      </c>
      <c r="AG44" s="6">
        <v>0</v>
      </c>
      <c r="AH44" s="6">
        <v>1328</v>
      </c>
      <c r="AI44" s="6">
        <v>1361</v>
      </c>
      <c r="AJ44" s="6">
        <v>1547</v>
      </c>
      <c r="AK44" s="6">
        <v>1967</v>
      </c>
      <c r="AL44" s="6">
        <v>0</v>
      </c>
      <c r="AM44" s="6">
        <v>0</v>
      </c>
      <c r="AN44" s="6">
        <v>0</v>
      </c>
      <c r="AO44" s="6">
        <v>2143</v>
      </c>
    </row>
    <row r="45" spans="1:41" ht="15.75" x14ac:dyDescent="0.25">
      <c r="A45" s="4" t="s">
        <v>76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3</v>
      </c>
      <c r="J45" s="6">
        <v>3</v>
      </c>
      <c r="K45" s="6">
        <v>5</v>
      </c>
      <c r="L45" s="6">
        <v>5</v>
      </c>
      <c r="M45" s="6">
        <v>5</v>
      </c>
      <c r="N45" s="6">
        <v>5</v>
      </c>
      <c r="O45" s="6">
        <v>5</v>
      </c>
      <c r="P45" s="6">
        <v>5</v>
      </c>
      <c r="Q45" s="6">
        <v>4</v>
      </c>
      <c r="R45" s="6">
        <v>4</v>
      </c>
      <c r="S45" s="6">
        <v>4</v>
      </c>
      <c r="T45" s="6">
        <v>4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24</v>
      </c>
      <c r="AL45" s="6">
        <v>0</v>
      </c>
      <c r="AM45" s="6">
        <v>0</v>
      </c>
      <c r="AN45" s="6">
        <v>0</v>
      </c>
      <c r="AO45" s="6">
        <v>17</v>
      </c>
    </row>
    <row r="46" spans="1:41" ht="15.75" x14ac:dyDescent="0.25">
      <c r="A46" s="4" t="s">
        <v>77</v>
      </c>
      <c r="B46" s="6">
        <v>252</v>
      </c>
      <c r="C46" s="6">
        <v>55</v>
      </c>
      <c r="D46" s="6">
        <v>78</v>
      </c>
      <c r="E46" s="6">
        <v>109</v>
      </c>
      <c r="F46" s="6">
        <v>118</v>
      </c>
      <c r="G46" s="6">
        <v>142</v>
      </c>
      <c r="H46" s="6">
        <v>157</v>
      </c>
      <c r="I46" s="6">
        <v>188</v>
      </c>
      <c r="J46" s="6">
        <v>165</v>
      </c>
      <c r="K46" s="6">
        <v>150</v>
      </c>
      <c r="L46" s="6">
        <v>195</v>
      </c>
      <c r="M46" s="6">
        <v>6</v>
      </c>
      <c r="N46" s="6">
        <v>167</v>
      </c>
      <c r="O46" s="6">
        <v>8</v>
      </c>
      <c r="P46" s="6">
        <v>6</v>
      </c>
      <c r="Q46" s="6">
        <v>4</v>
      </c>
      <c r="R46" s="6">
        <v>4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276</v>
      </c>
      <c r="AA46" s="6">
        <v>369</v>
      </c>
      <c r="AB46" s="6">
        <v>401</v>
      </c>
      <c r="AC46" s="6">
        <v>0</v>
      </c>
      <c r="AD46" s="6">
        <v>575</v>
      </c>
      <c r="AE46" s="6">
        <v>497</v>
      </c>
      <c r="AF46" s="6">
        <v>490</v>
      </c>
      <c r="AG46" s="6">
        <v>1259</v>
      </c>
      <c r="AH46" s="6">
        <v>0</v>
      </c>
      <c r="AI46" s="6">
        <v>0</v>
      </c>
      <c r="AJ46" s="6">
        <v>0</v>
      </c>
      <c r="AK46" s="6">
        <v>0</v>
      </c>
      <c r="AL46" s="6">
        <v>1583</v>
      </c>
      <c r="AM46" s="6">
        <v>6289</v>
      </c>
      <c r="AN46" s="6">
        <v>5931</v>
      </c>
      <c r="AO46" s="6">
        <v>0</v>
      </c>
    </row>
    <row r="47" spans="1:41" ht="15.75" x14ac:dyDescent="0.25">
      <c r="A47" s="7" t="s">
        <v>78</v>
      </c>
      <c r="B47" s="8">
        <f>SUM(B41:B46)</f>
        <v>2226</v>
      </c>
      <c r="C47" s="8">
        <f t="shared" ref="C47:AO47" si="12">SUM(C41:C46)</f>
        <v>2506</v>
      </c>
      <c r="D47" s="8">
        <f t="shared" si="12"/>
        <v>2824</v>
      </c>
      <c r="E47" s="8">
        <f t="shared" si="12"/>
        <v>2530</v>
      </c>
      <c r="F47" s="8">
        <f t="shared" si="12"/>
        <v>2498</v>
      </c>
      <c r="G47" s="8">
        <f t="shared" si="12"/>
        <v>2511</v>
      </c>
      <c r="H47" s="8">
        <f t="shared" si="12"/>
        <v>2699</v>
      </c>
      <c r="I47" s="8">
        <f t="shared" si="12"/>
        <v>2634</v>
      </c>
      <c r="J47" s="8">
        <f t="shared" si="12"/>
        <v>2751</v>
      </c>
      <c r="K47" s="8">
        <f t="shared" si="12"/>
        <v>3099</v>
      </c>
      <c r="L47" s="8">
        <f t="shared" si="12"/>
        <v>3314</v>
      </c>
      <c r="M47" s="8">
        <f t="shared" si="12"/>
        <v>3540</v>
      </c>
      <c r="N47" s="8">
        <f t="shared" si="12"/>
        <v>3677</v>
      </c>
      <c r="O47" s="8">
        <f t="shared" si="12"/>
        <v>3754</v>
      </c>
      <c r="P47" s="8">
        <f t="shared" si="12"/>
        <v>3912</v>
      </c>
      <c r="Q47" s="8">
        <f t="shared" si="12"/>
        <v>4597</v>
      </c>
      <c r="R47" s="8">
        <f t="shared" si="12"/>
        <v>4390</v>
      </c>
      <c r="S47" s="8">
        <f t="shared" si="12"/>
        <v>5109</v>
      </c>
      <c r="T47" s="8">
        <f t="shared" si="12"/>
        <v>5500</v>
      </c>
      <c r="U47" s="8">
        <f t="shared" si="12"/>
        <v>6143</v>
      </c>
      <c r="V47" s="8">
        <f t="shared" si="12"/>
        <v>7197</v>
      </c>
      <c r="W47" s="8">
        <f t="shared" si="12"/>
        <v>7818</v>
      </c>
      <c r="X47" s="8">
        <f t="shared" si="12"/>
        <v>7988</v>
      </c>
      <c r="Y47" s="8">
        <f t="shared" si="12"/>
        <v>8583</v>
      </c>
      <c r="Z47" s="8">
        <f t="shared" si="12"/>
        <v>13369</v>
      </c>
      <c r="AA47" s="8">
        <f t="shared" si="12"/>
        <v>13462</v>
      </c>
      <c r="AB47" s="8">
        <f t="shared" si="12"/>
        <v>14420</v>
      </c>
      <c r="AC47" s="8">
        <f t="shared" si="12"/>
        <v>15019</v>
      </c>
      <c r="AD47" s="8">
        <f t="shared" si="12"/>
        <v>15658</v>
      </c>
      <c r="AE47" s="8">
        <f t="shared" si="12"/>
        <v>16505</v>
      </c>
      <c r="AF47" s="8">
        <f t="shared" si="12"/>
        <v>16688</v>
      </c>
      <c r="AG47" s="8">
        <f t="shared" si="12"/>
        <v>16768</v>
      </c>
      <c r="AH47" s="8">
        <f t="shared" si="12"/>
        <v>17084</v>
      </c>
      <c r="AI47" s="8">
        <f t="shared" si="12"/>
        <v>17465</v>
      </c>
      <c r="AJ47" s="8">
        <f t="shared" si="12"/>
        <v>18735</v>
      </c>
      <c r="AK47" s="8">
        <f t="shared" si="12"/>
        <v>19049</v>
      </c>
      <c r="AL47" s="8">
        <f t="shared" si="12"/>
        <v>21595</v>
      </c>
      <c r="AM47" s="8">
        <f t="shared" si="12"/>
        <v>24519</v>
      </c>
      <c r="AN47" s="8">
        <f t="shared" si="12"/>
        <v>27000</v>
      </c>
      <c r="AO47" s="8">
        <f t="shared" si="12"/>
        <v>26947</v>
      </c>
    </row>
    <row r="48" spans="1:41" ht="15.75" x14ac:dyDescent="0.25">
      <c r="A48" s="4" t="s">
        <v>79</v>
      </c>
      <c r="B48" s="6">
        <v>176</v>
      </c>
      <c r="C48" s="6">
        <v>169</v>
      </c>
      <c r="D48" s="6">
        <v>161</v>
      </c>
      <c r="E48" s="6">
        <v>164</v>
      </c>
      <c r="F48" s="6">
        <v>180</v>
      </c>
      <c r="G48" s="6">
        <v>200</v>
      </c>
      <c r="H48" s="6">
        <v>236</v>
      </c>
      <c r="I48" s="6">
        <v>261</v>
      </c>
      <c r="J48" s="6">
        <v>290</v>
      </c>
      <c r="K48" s="6">
        <v>295</v>
      </c>
      <c r="L48" s="6">
        <v>318</v>
      </c>
      <c r="M48" s="6">
        <v>348</v>
      </c>
      <c r="N48" s="6">
        <v>591</v>
      </c>
      <c r="O48" s="6">
        <v>670</v>
      </c>
      <c r="P48" s="6">
        <v>658</v>
      </c>
      <c r="Q48" s="6">
        <v>705</v>
      </c>
      <c r="R48" s="6">
        <v>761</v>
      </c>
      <c r="S48" s="6">
        <v>800</v>
      </c>
      <c r="T48" s="6">
        <v>810</v>
      </c>
      <c r="U48" s="6">
        <v>849</v>
      </c>
      <c r="V48" s="6">
        <v>922</v>
      </c>
      <c r="W48" s="6">
        <v>918</v>
      </c>
      <c r="X48" s="6">
        <v>1001</v>
      </c>
      <c r="Y48" s="6">
        <v>1069</v>
      </c>
      <c r="Z48" s="6">
        <v>1822</v>
      </c>
      <c r="AA48" s="6">
        <v>1923</v>
      </c>
      <c r="AB48" s="6">
        <v>1976</v>
      </c>
      <c r="AC48" s="6">
        <v>1973</v>
      </c>
      <c r="AD48" s="6">
        <v>1947</v>
      </c>
      <c r="AE48" s="6">
        <v>2002</v>
      </c>
      <c r="AF48" s="6">
        <v>2073</v>
      </c>
      <c r="AG48" s="6">
        <v>2222</v>
      </c>
      <c r="AH48" s="6">
        <v>2256</v>
      </c>
      <c r="AI48" s="6">
        <v>2301</v>
      </c>
      <c r="AJ48" s="6">
        <v>2316</v>
      </c>
      <c r="AK48" s="6">
        <v>1802</v>
      </c>
      <c r="AL48" s="6">
        <v>1921</v>
      </c>
      <c r="AM48" s="6">
        <v>2128</v>
      </c>
      <c r="AN48" s="6">
        <v>2205</v>
      </c>
      <c r="AO48" s="6">
        <v>2312</v>
      </c>
    </row>
    <row r="49" spans="1:41" ht="15.75" x14ac:dyDescent="0.25">
      <c r="A49" s="4" t="s">
        <v>80</v>
      </c>
      <c r="B49" s="6">
        <v>4</v>
      </c>
      <c r="C49" s="6">
        <v>72</v>
      </c>
      <c r="D49" s="6">
        <v>62</v>
      </c>
      <c r="E49" s="6">
        <v>59</v>
      </c>
      <c r="F49" s="6">
        <v>58</v>
      </c>
      <c r="G49" s="6">
        <v>58</v>
      </c>
      <c r="H49" s="6">
        <v>57</v>
      </c>
      <c r="I49" s="6">
        <v>58</v>
      </c>
      <c r="J49" s="6">
        <v>57</v>
      </c>
      <c r="K49" s="6">
        <v>57</v>
      </c>
      <c r="L49" s="6">
        <v>58</v>
      </c>
      <c r="M49" s="6">
        <v>58</v>
      </c>
      <c r="N49" s="6">
        <v>57</v>
      </c>
      <c r="O49" s="6">
        <v>58</v>
      </c>
      <c r="P49" s="6">
        <v>59</v>
      </c>
      <c r="Q49" s="6">
        <v>58</v>
      </c>
      <c r="R49" s="6">
        <v>58</v>
      </c>
      <c r="S49" s="6">
        <v>59</v>
      </c>
      <c r="T49" s="6">
        <v>60</v>
      </c>
      <c r="U49" s="6">
        <v>63</v>
      </c>
      <c r="V49" s="6">
        <v>65</v>
      </c>
      <c r="W49" s="6">
        <v>67</v>
      </c>
      <c r="X49" s="6">
        <v>69</v>
      </c>
      <c r="Y49" s="6">
        <v>69</v>
      </c>
      <c r="Z49" s="6">
        <v>72</v>
      </c>
      <c r="AA49" s="6">
        <v>76</v>
      </c>
      <c r="AB49" s="6">
        <v>80</v>
      </c>
      <c r="AC49" s="6">
        <v>100</v>
      </c>
      <c r="AD49" s="6">
        <v>237</v>
      </c>
      <c r="AE49" s="6">
        <v>236</v>
      </c>
      <c r="AF49" s="6">
        <v>244</v>
      </c>
      <c r="AG49" s="6">
        <v>100</v>
      </c>
      <c r="AH49" s="6">
        <v>262</v>
      </c>
      <c r="AI49" s="6">
        <v>358</v>
      </c>
      <c r="AJ49" s="6">
        <v>394</v>
      </c>
      <c r="AK49" s="6">
        <v>25</v>
      </c>
      <c r="AL49" s="6">
        <v>807</v>
      </c>
      <c r="AM49" s="6">
        <v>925</v>
      </c>
      <c r="AN49" s="6">
        <v>1072</v>
      </c>
      <c r="AO49" s="6">
        <v>400</v>
      </c>
    </row>
    <row r="50" spans="1:41" ht="15.75" x14ac:dyDescent="0.25">
      <c r="A50" s="4" t="s">
        <v>81</v>
      </c>
      <c r="B50" s="6">
        <v>278</v>
      </c>
      <c r="C50" s="6">
        <v>289</v>
      </c>
      <c r="D50" s="6">
        <v>289</v>
      </c>
      <c r="E50" s="6">
        <v>289</v>
      </c>
      <c r="F50" s="6">
        <v>289</v>
      </c>
      <c r="G50" s="6">
        <v>289</v>
      </c>
      <c r="H50" s="6">
        <v>289</v>
      </c>
      <c r="I50" s="6">
        <v>289</v>
      </c>
      <c r="J50" s="6">
        <v>289</v>
      </c>
      <c r="K50" s="6">
        <v>289</v>
      </c>
      <c r="L50" s="6">
        <v>289</v>
      </c>
      <c r="M50" s="6">
        <v>289</v>
      </c>
      <c r="N50" s="6">
        <v>289</v>
      </c>
      <c r="O50" s="6">
        <v>289</v>
      </c>
      <c r="P50" s="6">
        <v>289</v>
      </c>
      <c r="Q50" s="6">
        <v>289</v>
      </c>
      <c r="R50" s="6">
        <v>289</v>
      </c>
      <c r="S50" s="6">
        <v>289</v>
      </c>
      <c r="T50" s="6">
        <v>289</v>
      </c>
      <c r="U50" s="6">
        <v>289</v>
      </c>
      <c r="V50" s="6">
        <v>289</v>
      </c>
      <c r="W50" s="6">
        <v>289</v>
      </c>
      <c r="X50" s="6">
        <v>289</v>
      </c>
      <c r="Y50" s="6">
        <v>289</v>
      </c>
      <c r="Z50" s="6">
        <v>23083</v>
      </c>
      <c r="AA50" s="6">
        <v>24193</v>
      </c>
      <c r="AB50" s="6">
        <v>24187</v>
      </c>
      <c r="AC50" s="6">
        <v>24177</v>
      </c>
      <c r="AD50" s="6">
        <v>24177</v>
      </c>
      <c r="AE50" s="6">
        <v>24177</v>
      </c>
      <c r="AF50" s="6">
        <v>24186</v>
      </c>
      <c r="AG50" s="6">
        <v>24262</v>
      </c>
      <c r="AH50" s="6">
        <v>24262</v>
      </c>
      <c r="AI50" s="6">
        <v>24262</v>
      </c>
      <c r="AJ50" s="6">
        <v>24839</v>
      </c>
      <c r="AK50" s="6">
        <v>24839</v>
      </c>
      <c r="AL50" s="6">
        <v>24839</v>
      </c>
      <c r="AM50" s="6">
        <v>25083</v>
      </c>
      <c r="AN50" s="6">
        <v>25083</v>
      </c>
      <c r="AO50" s="6">
        <v>25126</v>
      </c>
    </row>
    <row r="51" spans="1:41" ht="15.75" x14ac:dyDescent="0.25">
      <c r="A51" s="4" t="s">
        <v>82</v>
      </c>
      <c r="B51" s="6">
        <v>245</v>
      </c>
      <c r="C51" s="6">
        <v>231</v>
      </c>
      <c r="D51" s="6">
        <v>235</v>
      </c>
      <c r="E51" s="6">
        <v>234</v>
      </c>
      <c r="F51" s="6">
        <v>222</v>
      </c>
      <c r="G51" s="6">
        <v>253</v>
      </c>
      <c r="H51" s="6">
        <v>248</v>
      </c>
      <c r="I51" s="6">
        <v>239</v>
      </c>
      <c r="J51" s="6">
        <v>308</v>
      </c>
      <c r="K51" s="6">
        <v>292</v>
      </c>
      <c r="L51" s="6">
        <v>274</v>
      </c>
      <c r="M51" s="6">
        <v>226</v>
      </c>
      <c r="N51" s="6">
        <v>222</v>
      </c>
      <c r="O51" s="6">
        <v>231</v>
      </c>
      <c r="P51" s="6">
        <v>220</v>
      </c>
      <c r="Q51" s="6">
        <v>210</v>
      </c>
      <c r="R51" s="6">
        <v>194</v>
      </c>
      <c r="S51" s="6">
        <v>174</v>
      </c>
      <c r="T51" s="6">
        <v>194</v>
      </c>
      <c r="U51" s="6">
        <v>229</v>
      </c>
      <c r="V51" s="6">
        <v>203</v>
      </c>
      <c r="W51" s="6">
        <v>204</v>
      </c>
      <c r="X51" s="6">
        <v>203</v>
      </c>
      <c r="Y51" s="6">
        <v>323</v>
      </c>
      <c r="Z51" s="6">
        <v>27348</v>
      </c>
      <c r="AA51" s="6">
        <v>26664</v>
      </c>
      <c r="AB51" s="6">
        <v>25714</v>
      </c>
      <c r="AC51" s="6">
        <v>24118</v>
      </c>
      <c r="AD51" s="6">
        <v>23291</v>
      </c>
      <c r="AE51" s="6">
        <v>22598</v>
      </c>
      <c r="AF51" s="6">
        <v>21950</v>
      </c>
      <c r="AG51" s="6">
        <v>21363</v>
      </c>
      <c r="AH51" s="6">
        <v>20741</v>
      </c>
      <c r="AI51" s="6">
        <v>20138</v>
      </c>
      <c r="AJ51" s="6">
        <v>19572</v>
      </c>
      <c r="AK51" s="6">
        <v>18930</v>
      </c>
      <c r="AL51" s="6">
        <v>18363</v>
      </c>
      <c r="AM51" s="6">
        <v>17812</v>
      </c>
      <c r="AN51" s="6">
        <v>17250</v>
      </c>
      <c r="AO51" s="6">
        <v>16705</v>
      </c>
    </row>
    <row r="52" spans="1:41" ht="15.75" x14ac:dyDescent="0.25">
      <c r="A52" s="4" t="s">
        <v>83</v>
      </c>
      <c r="B52" s="6">
        <v>0</v>
      </c>
      <c r="C52" s="6">
        <v>0</v>
      </c>
      <c r="D52" s="6">
        <v>0</v>
      </c>
      <c r="E52" s="6">
        <v>11</v>
      </c>
      <c r="F52" s="6">
        <v>0</v>
      </c>
      <c r="G52" s="6">
        <v>0</v>
      </c>
      <c r="H52" s="6">
        <v>0</v>
      </c>
      <c r="I52" s="6">
        <v>11</v>
      </c>
      <c r="J52" s="6">
        <v>0</v>
      </c>
      <c r="K52" s="6">
        <v>0</v>
      </c>
      <c r="L52" s="6">
        <v>0</v>
      </c>
      <c r="M52" s="6">
        <v>15</v>
      </c>
      <c r="N52" s="6">
        <v>0</v>
      </c>
      <c r="O52" s="6">
        <v>0</v>
      </c>
      <c r="P52" s="6">
        <v>0</v>
      </c>
      <c r="Q52" s="6">
        <v>22</v>
      </c>
      <c r="R52" s="6">
        <v>0</v>
      </c>
      <c r="S52" s="6">
        <v>0</v>
      </c>
      <c r="T52" s="6">
        <v>0</v>
      </c>
      <c r="U52" s="6">
        <v>1245</v>
      </c>
      <c r="V52" s="6">
        <v>1162</v>
      </c>
      <c r="W52" s="6">
        <v>1090</v>
      </c>
      <c r="X52" s="6">
        <v>1036</v>
      </c>
      <c r="Y52" s="6">
        <v>931</v>
      </c>
      <c r="Z52" s="6">
        <v>32</v>
      </c>
      <c r="AA52" s="6">
        <v>32</v>
      </c>
      <c r="AB52" s="6">
        <v>32</v>
      </c>
      <c r="AC52" s="6">
        <v>58</v>
      </c>
      <c r="AD52" s="6">
        <v>67</v>
      </c>
      <c r="AE52" s="6">
        <v>68</v>
      </c>
      <c r="AF52" s="6">
        <v>76</v>
      </c>
      <c r="AG52" s="6">
        <v>366</v>
      </c>
      <c r="AH52" s="6">
        <v>433</v>
      </c>
      <c r="AI52" s="6">
        <v>617</v>
      </c>
      <c r="AJ52" s="6">
        <v>1183</v>
      </c>
      <c r="AK52" s="6">
        <v>688</v>
      </c>
      <c r="AL52" s="6">
        <v>845</v>
      </c>
      <c r="AM52" s="6">
        <v>860</v>
      </c>
      <c r="AN52" s="6">
        <v>633</v>
      </c>
      <c r="AO52" s="6">
        <v>384</v>
      </c>
    </row>
    <row r="53" spans="1:41" ht="15.75" x14ac:dyDescent="0.25">
      <c r="A53" s="4" t="s">
        <v>84</v>
      </c>
      <c r="B53" s="6">
        <v>52</v>
      </c>
      <c r="C53" s="6">
        <v>49</v>
      </c>
      <c r="D53" s="6">
        <v>45</v>
      </c>
      <c r="E53" s="6">
        <v>34</v>
      </c>
      <c r="F53" s="6">
        <v>52</v>
      </c>
      <c r="G53" s="6">
        <v>59</v>
      </c>
      <c r="H53" s="6">
        <v>57</v>
      </c>
      <c r="I53" s="6">
        <v>60</v>
      </c>
      <c r="J53" s="6">
        <v>68</v>
      </c>
      <c r="K53" s="6">
        <v>71</v>
      </c>
      <c r="L53" s="6">
        <v>94</v>
      </c>
      <c r="M53" s="6">
        <v>80</v>
      </c>
      <c r="N53" s="6">
        <v>95</v>
      </c>
      <c r="O53" s="6">
        <v>100</v>
      </c>
      <c r="P53" s="6">
        <v>115</v>
      </c>
      <c r="Q53" s="6">
        <v>147</v>
      </c>
      <c r="R53" s="6">
        <v>172</v>
      </c>
      <c r="S53" s="6">
        <v>152</v>
      </c>
      <c r="T53" s="6">
        <v>170</v>
      </c>
      <c r="U53" s="6">
        <v>144</v>
      </c>
      <c r="V53" s="6">
        <v>209</v>
      </c>
      <c r="W53" s="6">
        <v>305</v>
      </c>
      <c r="X53" s="6">
        <v>567</v>
      </c>
      <c r="Y53" s="6">
        <v>1155</v>
      </c>
      <c r="Z53" s="6">
        <v>1189</v>
      </c>
      <c r="AA53" s="6">
        <v>1152</v>
      </c>
      <c r="AB53" s="6">
        <v>1402</v>
      </c>
      <c r="AC53" s="6">
        <v>2135</v>
      </c>
      <c r="AD53" s="6">
        <v>2257</v>
      </c>
      <c r="AE53" s="6">
        <v>2381</v>
      </c>
      <c r="AF53" s="6">
        <v>2409</v>
      </c>
      <c r="AG53" s="6">
        <v>2804</v>
      </c>
      <c r="AH53" s="6">
        <v>2857</v>
      </c>
      <c r="AI53" s="6">
        <v>2745</v>
      </c>
      <c r="AJ53" s="6">
        <v>2597</v>
      </c>
      <c r="AK53" s="6">
        <v>3893</v>
      </c>
      <c r="AL53" s="6">
        <v>3180</v>
      </c>
      <c r="AM53" s="6">
        <v>3493</v>
      </c>
      <c r="AN53" s="6">
        <v>3648</v>
      </c>
      <c r="AO53" s="6">
        <v>5052</v>
      </c>
    </row>
    <row r="54" spans="1:41" ht="15.75" x14ac:dyDescent="0.25">
      <c r="A54" s="7" t="s">
        <v>85</v>
      </c>
      <c r="B54" s="8">
        <f>SUM(B47:B53)</f>
        <v>2981</v>
      </c>
      <c r="C54" s="8">
        <f t="shared" ref="C54:AO54" si="13">SUM(C47:C53)</f>
        <v>3316</v>
      </c>
      <c r="D54" s="8">
        <f t="shared" si="13"/>
        <v>3616</v>
      </c>
      <c r="E54" s="8">
        <f t="shared" si="13"/>
        <v>3321</v>
      </c>
      <c r="F54" s="8">
        <f t="shared" si="13"/>
        <v>3299</v>
      </c>
      <c r="G54" s="8">
        <f t="shared" si="13"/>
        <v>3370</v>
      </c>
      <c r="H54" s="8">
        <f t="shared" si="13"/>
        <v>3586</v>
      </c>
      <c r="I54" s="8">
        <f t="shared" si="13"/>
        <v>3552</v>
      </c>
      <c r="J54" s="8">
        <f t="shared" si="13"/>
        <v>3763</v>
      </c>
      <c r="K54" s="8">
        <f t="shared" si="13"/>
        <v>4103</v>
      </c>
      <c r="L54" s="8">
        <f t="shared" si="13"/>
        <v>4347</v>
      </c>
      <c r="M54" s="8">
        <f t="shared" si="13"/>
        <v>4556</v>
      </c>
      <c r="N54" s="8">
        <f t="shared" si="13"/>
        <v>4931</v>
      </c>
      <c r="O54" s="8">
        <f t="shared" si="13"/>
        <v>5102</v>
      </c>
      <c r="P54" s="8">
        <f t="shared" si="13"/>
        <v>5253</v>
      </c>
      <c r="Q54" s="8">
        <f t="shared" si="13"/>
        <v>6028</v>
      </c>
      <c r="R54" s="8">
        <f t="shared" si="13"/>
        <v>5864</v>
      </c>
      <c r="S54" s="8">
        <f t="shared" si="13"/>
        <v>6583</v>
      </c>
      <c r="T54" s="8">
        <f t="shared" si="13"/>
        <v>7023</v>
      </c>
      <c r="U54" s="8">
        <f t="shared" si="13"/>
        <v>8962</v>
      </c>
      <c r="V54" s="8">
        <f t="shared" si="13"/>
        <v>10047</v>
      </c>
      <c r="W54" s="8">
        <f t="shared" si="13"/>
        <v>10691</v>
      </c>
      <c r="X54" s="8">
        <f t="shared" si="13"/>
        <v>11153</v>
      </c>
      <c r="Y54" s="8">
        <f t="shared" si="13"/>
        <v>12419</v>
      </c>
      <c r="Z54" s="8">
        <f t="shared" si="13"/>
        <v>66915</v>
      </c>
      <c r="AA54" s="8">
        <f t="shared" si="13"/>
        <v>67502</v>
      </c>
      <c r="AB54" s="8">
        <f t="shared" si="13"/>
        <v>67811</v>
      </c>
      <c r="AC54" s="8">
        <f t="shared" si="13"/>
        <v>67580</v>
      </c>
      <c r="AD54" s="8">
        <f t="shared" si="13"/>
        <v>67634</v>
      </c>
      <c r="AE54" s="8">
        <f t="shared" si="13"/>
        <v>67967</v>
      </c>
      <c r="AF54" s="8">
        <f t="shared" si="13"/>
        <v>67626</v>
      </c>
      <c r="AG54" s="8">
        <f t="shared" si="13"/>
        <v>67885</v>
      </c>
      <c r="AH54" s="8">
        <f t="shared" si="13"/>
        <v>67895</v>
      </c>
      <c r="AI54" s="8">
        <f t="shared" si="13"/>
        <v>67886</v>
      </c>
      <c r="AJ54" s="8">
        <f t="shared" si="13"/>
        <v>69636</v>
      </c>
      <c r="AK54" s="8">
        <f t="shared" si="13"/>
        <v>69226</v>
      </c>
      <c r="AL54" s="8">
        <f t="shared" si="13"/>
        <v>71550</v>
      </c>
      <c r="AM54" s="8">
        <f t="shared" si="13"/>
        <v>74820</v>
      </c>
      <c r="AN54" s="8">
        <f t="shared" si="13"/>
        <v>76891</v>
      </c>
      <c r="AO54" s="8">
        <f t="shared" si="13"/>
        <v>76926</v>
      </c>
    </row>
    <row r="55" spans="1:41" ht="15.75" x14ac:dyDescent="0.25">
      <c r="A55" s="4" t="s">
        <v>86</v>
      </c>
      <c r="B55" s="6">
        <v>557</v>
      </c>
      <c r="C55" s="6">
        <v>710</v>
      </c>
      <c r="D55" s="6">
        <v>866</v>
      </c>
      <c r="E55" s="6">
        <v>823</v>
      </c>
      <c r="F55" s="6">
        <v>858</v>
      </c>
      <c r="G55" s="6">
        <v>712</v>
      </c>
      <c r="H55" s="6">
        <v>916</v>
      </c>
      <c r="I55" s="6">
        <v>796</v>
      </c>
      <c r="J55" s="6">
        <v>830</v>
      </c>
      <c r="K55" s="6">
        <v>995</v>
      </c>
      <c r="L55" s="6">
        <v>1041</v>
      </c>
      <c r="M55" s="6">
        <v>1041</v>
      </c>
      <c r="N55" s="6">
        <v>930</v>
      </c>
      <c r="O55" s="6">
        <v>1029</v>
      </c>
      <c r="P55" s="6">
        <v>978</v>
      </c>
      <c r="Q55" s="6">
        <v>1201</v>
      </c>
      <c r="R55" s="6">
        <v>840</v>
      </c>
      <c r="S55" s="6">
        <v>994</v>
      </c>
      <c r="T55" s="6">
        <v>867</v>
      </c>
      <c r="U55" s="6">
        <v>546</v>
      </c>
      <c r="V55" s="6">
        <v>989</v>
      </c>
      <c r="W55" s="6">
        <v>872</v>
      </c>
      <c r="X55" s="6">
        <v>1084</v>
      </c>
      <c r="Y55" s="6">
        <v>1406</v>
      </c>
      <c r="Z55" s="6">
        <v>1681</v>
      </c>
      <c r="AA55" s="6">
        <v>1879</v>
      </c>
      <c r="AB55" s="6">
        <v>2734</v>
      </c>
      <c r="AC55" s="6">
        <v>2956</v>
      </c>
      <c r="AD55" s="6">
        <v>2871</v>
      </c>
      <c r="AE55" s="6">
        <v>3092</v>
      </c>
      <c r="AF55" s="6">
        <v>2570</v>
      </c>
      <c r="AG55" s="6">
        <v>2418</v>
      </c>
      <c r="AH55" s="6">
        <v>1856</v>
      </c>
      <c r="AI55" s="6">
        <v>2119</v>
      </c>
      <c r="AJ55" s="6">
        <v>2991</v>
      </c>
      <c r="AK55" s="6">
        <v>2466</v>
      </c>
      <c r="AL55" s="6">
        <v>2206</v>
      </c>
      <c r="AM55" s="6">
        <v>3080</v>
      </c>
      <c r="AN55" s="6">
        <v>3483</v>
      </c>
      <c r="AO55" s="6">
        <v>2929</v>
      </c>
    </row>
    <row r="56" spans="1:41" ht="15.75" x14ac:dyDescent="0.25">
      <c r="A56" s="4" t="s">
        <v>87</v>
      </c>
      <c r="B56" s="6">
        <v>325</v>
      </c>
      <c r="C56" s="6">
        <v>523</v>
      </c>
      <c r="D56" s="6">
        <v>341</v>
      </c>
      <c r="E56" s="6">
        <v>367</v>
      </c>
      <c r="F56" s="6">
        <v>340</v>
      </c>
      <c r="G56" s="6">
        <v>522</v>
      </c>
      <c r="H56" s="6">
        <v>406</v>
      </c>
      <c r="I56" s="6">
        <v>514</v>
      </c>
      <c r="J56" s="6">
        <v>431</v>
      </c>
      <c r="K56" s="6">
        <v>537</v>
      </c>
      <c r="L56" s="6">
        <v>643</v>
      </c>
      <c r="M56" s="6">
        <v>783</v>
      </c>
      <c r="N56" s="6">
        <v>663</v>
      </c>
      <c r="O56" s="6">
        <v>687</v>
      </c>
      <c r="P56" s="6">
        <v>794</v>
      </c>
      <c r="Q56" s="6">
        <v>1084</v>
      </c>
      <c r="R56" s="6">
        <v>1070</v>
      </c>
      <c r="S56" s="6">
        <v>1172</v>
      </c>
      <c r="T56" s="6">
        <v>1478</v>
      </c>
      <c r="U56" s="6">
        <v>1796</v>
      </c>
      <c r="V56" s="6">
        <v>1779</v>
      </c>
      <c r="W56" s="6">
        <v>1911</v>
      </c>
      <c r="X56" s="6">
        <v>2048</v>
      </c>
      <c r="Y56" s="6">
        <v>2424</v>
      </c>
      <c r="Z56" s="6">
        <v>3070</v>
      </c>
      <c r="AA56" s="6">
        <v>3074</v>
      </c>
      <c r="AB56" s="6">
        <v>3598</v>
      </c>
      <c r="AC56" s="6">
        <v>3077</v>
      </c>
      <c r="AD56" s="6">
        <v>3167</v>
      </c>
      <c r="AE56" s="6">
        <v>2971</v>
      </c>
      <c r="AF56" s="6">
        <v>3376</v>
      </c>
      <c r="AG56" s="6">
        <v>3082</v>
      </c>
      <c r="AH56" s="6">
        <v>3444</v>
      </c>
      <c r="AI56" s="6">
        <v>3629</v>
      </c>
      <c r="AJ56" s="6">
        <v>4120</v>
      </c>
      <c r="AK56" s="6">
        <v>4260</v>
      </c>
      <c r="AL56" s="6">
        <v>3876</v>
      </c>
      <c r="AM56" s="6">
        <v>4479</v>
      </c>
      <c r="AN56" s="6">
        <v>5112</v>
      </c>
      <c r="AO56" s="6">
        <v>5250</v>
      </c>
    </row>
    <row r="57" spans="1:41" ht="15.75" x14ac:dyDescent="0.25">
      <c r="A57" s="4" t="s">
        <v>88</v>
      </c>
      <c r="B57" s="6">
        <v>230</v>
      </c>
      <c r="C57" s="6">
        <v>226</v>
      </c>
      <c r="D57" s="6">
        <v>0</v>
      </c>
      <c r="E57" s="6">
        <v>0</v>
      </c>
      <c r="F57" s="6">
        <v>0</v>
      </c>
      <c r="G57" s="6">
        <v>42</v>
      </c>
      <c r="H57" s="6">
        <v>70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200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947</v>
      </c>
      <c r="AM57" s="6">
        <v>0</v>
      </c>
      <c r="AN57" s="6">
        <v>0</v>
      </c>
      <c r="AO57" s="6">
        <v>0</v>
      </c>
    </row>
    <row r="58" spans="1:41" ht="15.75" x14ac:dyDescent="0.25">
      <c r="A58" s="4" t="s">
        <v>89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70</v>
      </c>
      <c r="J58" s="6">
        <v>223</v>
      </c>
      <c r="K58" s="6">
        <v>223</v>
      </c>
      <c r="L58" s="6">
        <v>136</v>
      </c>
      <c r="M58" s="6">
        <v>136</v>
      </c>
      <c r="N58" s="6">
        <v>70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312</v>
      </c>
      <c r="Y58" s="6">
        <v>312</v>
      </c>
      <c r="Z58" s="6">
        <v>312</v>
      </c>
      <c r="AA58" s="6">
        <v>312</v>
      </c>
      <c r="AB58" s="6">
        <v>0</v>
      </c>
      <c r="AC58" s="6">
        <v>0</v>
      </c>
      <c r="AD58" s="6">
        <v>0</v>
      </c>
      <c r="AE58" s="6">
        <v>753</v>
      </c>
      <c r="AF58" s="6">
        <v>752</v>
      </c>
      <c r="AG58" s="6">
        <v>751</v>
      </c>
      <c r="AH58" s="6">
        <v>750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873</v>
      </c>
      <c r="AO58" s="6">
        <v>874</v>
      </c>
    </row>
    <row r="59" spans="1:41" ht="15.75" x14ac:dyDescent="0.25">
      <c r="A59" s="4" t="s">
        <v>90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38</v>
      </c>
      <c r="O59" s="6">
        <v>38</v>
      </c>
      <c r="P59" s="6">
        <v>38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104</v>
      </c>
      <c r="X59" s="6">
        <v>120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159</v>
      </c>
    </row>
    <row r="60" spans="1:41" ht="15.75" x14ac:dyDescent="0.25">
      <c r="A60" s="4" t="s">
        <v>91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635</v>
      </c>
      <c r="AF60" s="6">
        <v>769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</row>
    <row r="61" spans="1:41" ht="15.75" x14ac:dyDescent="0.25">
      <c r="A61" s="4" t="s">
        <v>92</v>
      </c>
      <c r="B61" s="6">
        <v>43</v>
      </c>
      <c r="C61" s="6">
        <v>42</v>
      </c>
      <c r="D61" s="6">
        <v>54</v>
      </c>
      <c r="E61" s="6">
        <v>63</v>
      </c>
      <c r="F61" s="6">
        <v>62</v>
      </c>
      <c r="G61" s="6">
        <v>72</v>
      </c>
      <c r="H61" s="6">
        <v>72</v>
      </c>
      <c r="I61" s="6">
        <v>85</v>
      </c>
      <c r="J61" s="6">
        <v>147</v>
      </c>
      <c r="K61" s="6">
        <v>67</v>
      </c>
      <c r="L61" s="6">
        <v>3</v>
      </c>
      <c r="M61" s="6">
        <v>11</v>
      </c>
      <c r="N61" s="6">
        <v>2</v>
      </c>
      <c r="O61" s="6">
        <v>1</v>
      </c>
      <c r="P61" s="6">
        <v>5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</row>
    <row r="62" spans="1:41" ht="15.75" x14ac:dyDescent="0.25">
      <c r="A62" s="4" t="s">
        <v>93</v>
      </c>
      <c r="B62" s="6">
        <v>173</v>
      </c>
      <c r="C62" s="6">
        <v>80</v>
      </c>
      <c r="D62" s="6">
        <v>212</v>
      </c>
      <c r="E62" s="6">
        <v>93</v>
      </c>
      <c r="F62" s="6">
        <v>112</v>
      </c>
      <c r="G62" s="6">
        <v>101</v>
      </c>
      <c r="H62" s="6">
        <v>127</v>
      </c>
      <c r="I62" s="6">
        <v>48</v>
      </c>
      <c r="J62" s="6">
        <v>66</v>
      </c>
      <c r="K62" s="6">
        <v>46</v>
      </c>
      <c r="L62" s="6">
        <v>55</v>
      </c>
      <c r="M62" s="6">
        <v>13</v>
      </c>
      <c r="N62" s="6">
        <v>61</v>
      </c>
      <c r="O62" s="6">
        <v>49</v>
      </c>
      <c r="P62" s="6">
        <v>49</v>
      </c>
      <c r="Q62" s="6">
        <v>74</v>
      </c>
      <c r="R62" s="6">
        <v>75</v>
      </c>
      <c r="S62" s="6">
        <v>68</v>
      </c>
      <c r="T62" s="6">
        <v>72</v>
      </c>
      <c r="U62" s="6">
        <v>75</v>
      </c>
      <c r="V62" s="6">
        <v>96</v>
      </c>
      <c r="W62" s="6">
        <v>5</v>
      </c>
      <c r="X62" s="6">
        <v>0</v>
      </c>
      <c r="Y62" s="6">
        <v>98</v>
      </c>
      <c r="Z62" s="6">
        <v>518</v>
      </c>
      <c r="AA62" s="6">
        <v>258</v>
      </c>
      <c r="AB62" s="6">
        <v>359</v>
      </c>
      <c r="AC62" s="6">
        <v>336</v>
      </c>
      <c r="AD62" s="6">
        <v>539</v>
      </c>
      <c r="AE62" s="6">
        <v>121</v>
      </c>
      <c r="AF62" s="6">
        <v>160</v>
      </c>
      <c r="AG62" s="6">
        <v>438</v>
      </c>
      <c r="AH62" s="6">
        <v>424</v>
      </c>
      <c r="AI62" s="6">
        <v>447</v>
      </c>
      <c r="AJ62" s="6">
        <v>389</v>
      </c>
      <c r="AK62" s="6">
        <v>555</v>
      </c>
      <c r="AL62" s="6">
        <v>674</v>
      </c>
      <c r="AM62" s="6">
        <v>2284</v>
      </c>
      <c r="AN62" s="6">
        <v>2232</v>
      </c>
      <c r="AO62" s="6">
        <v>243</v>
      </c>
    </row>
    <row r="63" spans="1:41" ht="15.75" x14ac:dyDescent="0.25">
      <c r="A63" s="7" t="s">
        <v>94</v>
      </c>
      <c r="B63" s="8">
        <f>SUM(B55:B62)</f>
        <v>1328</v>
      </c>
      <c r="C63" s="8">
        <f t="shared" ref="C63:AO63" si="14">SUM(C55:C62)</f>
        <v>1581</v>
      </c>
      <c r="D63" s="8">
        <f t="shared" si="14"/>
        <v>1473</v>
      </c>
      <c r="E63" s="8">
        <f t="shared" si="14"/>
        <v>1346</v>
      </c>
      <c r="F63" s="8">
        <f t="shared" si="14"/>
        <v>1372</v>
      </c>
      <c r="G63" s="8">
        <f t="shared" si="14"/>
        <v>1449</v>
      </c>
      <c r="H63" s="8">
        <f t="shared" si="14"/>
        <v>1591</v>
      </c>
      <c r="I63" s="8">
        <f t="shared" si="14"/>
        <v>1513</v>
      </c>
      <c r="J63" s="8">
        <f t="shared" si="14"/>
        <v>1697</v>
      </c>
      <c r="K63" s="8">
        <f t="shared" si="14"/>
        <v>1868</v>
      </c>
      <c r="L63" s="8">
        <f t="shared" si="14"/>
        <v>1878</v>
      </c>
      <c r="M63" s="8">
        <f t="shared" si="14"/>
        <v>1984</v>
      </c>
      <c r="N63" s="8">
        <f t="shared" si="14"/>
        <v>1764</v>
      </c>
      <c r="O63" s="8">
        <f t="shared" si="14"/>
        <v>1804</v>
      </c>
      <c r="P63" s="8">
        <f t="shared" si="14"/>
        <v>1864</v>
      </c>
      <c r="Q63" s="8">
        <f t="shared" si="14"/>
        <v>2359</v>
      </c>
      <c r="R63" s="8">
        <f t="shared" si="14"/>
        <v>1985</v>
      </c>
      <c r="S63" s="8">
        <f t="shared" si="14"/>
        <v>2434</v>
      </c>
      <c r="T63" s="8">
        <f t="shared" si="14"/>
        <v>2417</v>
      </c>
      <c r="U63" s="8">
        <f t="shared" si="14"/>
        <v>2417</v>
      </c>
      <c r="V63" s="8">
        <f t="shared" si="14"/>
        <v>2864</v>
      </c>
      <c r="W63" s="8">
        <f t="shared" si="14"/>
        <v>2892</v>
      </c>
      <c r="X63" s="8">
        <f t="shared" si="14"/>
        <v>3564</v>
      </c>
      <c r="Y63" s="8">
        <f t="shared" si="14"/>
        <v>4240</v>
      </c>
      <c r="Z63" s="8">
        <f t="shared" si="14"/>
        <v>5581</v>
      </c>
      <c r="AA63" s="8">
        <f t="shared" si="14"/>
        <v>5523</v>
      </c>
      <c r="AB63" s="8">
        <f t="shared" si="14"/>
        <v>6691</v>
      </c>
      <c r="AC63" s="8">
        <f t="shared" si="14"/>
        <v>6369</v>
      </c>
      <c r="AD63" s="8">
        <f t="shared" si="14"/>
        <v>6577</v>
      </c>
      <c r="AE63" s="8">
        <f t="shared" si="14"/>
        <v>7572</v>
      </c>
      <c r="AF63" s="8">
        <f t="shared" si="14"/>
        <v>7627</v>
      </c>
      <c r="AG63" s="8">
        <f t="shared" si="14"/>
        <v>6689</v>
      </c>
      <c r="AH63" s="8">
        <f t="shared" si="14"/>
        <v>6474</v>
      </c>
      <c r="AI63" s="8">
        <f t="shared" si="14"/>
        <v>6195</v>
      </c>
      <c r="AJ63" s="8">
        <f t="shared" si="14"/>
        <v>7500</v>
      </c>
      <c r="AK63" s="8">
        <f t="shared" si="14"/>
        <v>7281</v>
      </c>
      <c r="AL63" s="8">
        <f t="shared" si="14"/>
        <v>7703</v>
      </c>
      <c r="AM63" s="8">
        <f t="shared" si="14"/>
        <v>9843</v>
      </c>
      <c r="AN63" s="8">
        <f t="shared" si="14"/>
        <v>11700</v>
      </c>
      <c r="AO63" s="8">
        <f t="shared" si="14"/>
        <v>9455</v>
      </c>
    </row>
    <row r="64" spans="1:41" ht="15.75" x14ac:dyDescent="0.25">
      <c r="A64" s="4" t="s">
        <v>95</v>
      </c>
      <c r="B64" s="6">
        <v>2006</v>
      </c>
      <c r="C64" s="6">
        <v>2012</v>
      </c>
      <c r="D64" s="6">
        <v>1632</v>
      </c>
      <c r="E64" s="6">
        <v>1435</v>
      </c>
      <c r="F64" s="6">
        <v>1408</v>
      </c>
      <c r="G64" s="6">
        <v>1375</v>
      </c>
      <c r="H64" s="6">
        <v>1356</v>
      </c>
      <c r="I64" s="6">
        <v>1325</v>
      </c>
      <c r="J64" s="6">
        <v>1165</v>
      </c>
      <c r="K64" s="6">
        <v>1170</v>
      </c>
      <c r="L64" s="6">
        <v>1167</v>
      </c>
      <c r="M64" s="6">
        <v>1114</v>
      </c>
      <c r="N64" s="6">
        <v>1024</v>
      </c>
      <c r="O64" s="6">
        <v>1031</v>
      </c>
      <c r="P64" s="6">
        <v>872</v>
      </c>
      <c r="Q64" s="6">
        <v>486</v>
      </c>
      <c r="R64" s="6">
        <v>488</v>
      </c>
      <c r="S64" s="6">
        <v>490</v>
      </c>
      <c r="T64" s="6">
        <v>373</v>
      </c>
      <c r="U64" s="6">
        <v>330</v>
      </c>
      <c r="V64" s="6">
        <v>313</v>
      </c>
      <c r="W64" s="6">
        <v>313</v>
      </c>
      <c r="X64" s="6">
        <v>1</v>
      </c>
      <c r="Y64" s="6">
        <v>1</v>
      </c>
      <c r="Z64" s="6">
        <v>1475</v>
      </c>
      <c r="AA64" s="6">
        <v>2465</v>
      </c>
      <c r="AB64" s="6">
        <v>2466</v>
      </c>
      <c r="AC64" s="6">
        <v>2467</v>
      </c>
      <c r="AD64" s="6">
        <v>2467</v>
      </c>
      <c r="AE64" s="6">
        <v>1714</v>
      </c>
      <c r="AF64" s="6">
        <v>1715</v>
      </c>
      <c r="AG64" s="6">
        <v>1717</v>
      </c>
      <c r="AH64" s="6">
        <v>1718</v>
      </c>
      <c r="AI64" s="6">
        <v>1719</v>
      </c>
      <c r="AJ64" s="6">
        <v>1720</v>
      </c>
      <c r="AK64" s="6">
        <v>1721</v>
      </c>
      <c r="AL64" s="6">
        <v>3217</v>
      </c>
      <c r="AM64" s="6">
        <v>3218</v>
      </c>
      <c r="AN64" s="6">
        <v>2347</v>
      </c>
      <c r="AO64" s="6">
        <v>2348</v>
      </c>
    </row>
    <row r="65" spans="1:41" ht="15.75" x14ac:dyDescent="0.25">
      <c r="A65" s="4" t="s">
        <v>96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213</v>
      </c>
      <c r="O65" s="6">
        <v>211</v>
      </c>
      <c r="P65" s="6">
        <v>201</v>
      </c>
      <c r="Q65" s="6">
        <v>199</v>
      </c>
      <c r="R65" s="6">
        <v>211</v>
      </c>
      <c r="S65" s="6">
        <v>204</v>
      </c>
      <c r="T65" s="6">
        <v>205</v>
      </c>
      <c r="U65" s="6">
        <v>201</v>
      </c>
      <c r="V65" s="6">
        <v>238</v>
      </c>
      <c r="W65" s="6">
        <v>240</v>
      </c>
      <c r="X65" s="6">
        <v>269</v>
      </c>
      <c r="Y65" s="6">
        <v>348</v>
      </c>
      <c r="Z65" s="6">
        <v>370</v>
      </c>
      <c r="AA65" s="6">
        <v>422</v>
      </c>
      <c r="AB65" s="6">
        <v>424</v>
      </c>
      <c r="AC65" s="6">
        <v>396</v>
      </c>
      <c r="AD65" s="6">
        <v>381</v>
      </c>
      <c r="AE65" s="6">
        <v>393</v>
      </c>
      <c r="AF65" s="6">
        <v>395</v>
      </c>
      <c r="AG65" s="6">
        <v>535</v>
      </c>
      <c r="AH65" s="6">
        <v>530</v>
      </c>
      <c r="AI65" s="6">
        <v>526</v>
      </c>
      <c r="AJ65" s="6">
        <v>518</v>
      </c>
      <c r="AK65" s="6">
        <v>491</v>
      </c>
      <c r="AL65" s="6">
        <v>567</v>
      </c>
      <c r="AM65" s="6">
        <v>668</v>
      </c>
      <c r="AN65" s="6">
        <v>650</v>
      </c>
      <c r="AO65" s="6">
        <v>625</v>
      </c>
    </row>
    <row r="66" spans="1:41" ht="15.75" x14ac:dyDescent="0.25">
      <c r="A66" s="4" t="s">
        <v>97</v>
      </c>
      <c r="B66" s="6">
        <v>17</v>
      </c>
      <c r="C66" s="6">
        <v>16</v>
      </c>
      <c r="D66" s="6">
        <v>14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</row>
    <row r="67" spans="1:41" ht="15.75" x14ac:dyDescent="0.25">
      <c r="A67" s="4" t="s">
        <v>98</v>
      </c>
      <c r="B67" s="6">
        <v>0</v>
      </c>
      <c r="C67" s="6">
        <v>12</v>
      </c>
      <c r="D67" s="6">
        <v>11</v>
      </c>
      <c r="E67" s="6">
        <v>11</v>
      </c>
      <c r="F67" s="6">
        <v>0</v>
      </c>
      <c r="G67" s="6">
        <v>0</v>
      </c>
      <c r="H67" s="6">
        <v>0</v>
      </c>
      <c r="I67" s="6">
        <v>11</v>
      </c>
      <c r="J67" s="6">
        <v>0</v>
      </c>
      <c r="K67" s="6">
        <v>0</v>
      </c>
      <c r="L67" s="6">
        <v>0</v>
      </c>
      <c r="M67" s="6">
        <v>11</v>
      </c>
      <c r="N67" s="6">
        <v>0</v>
      </c>
      <c r="O67" s="6">
        <v>0</v>
      </c>
      <c r="P67" s="6">
        <v>0</v>
      </c>
      <c r="Q67" s="6">
        <v>11</v>
      </c>
      <c r="R67" s="6">
        <v>0</v>
      </c>
      <c r="S67" s="6">
        <v>0</v>
      </c>
      <c r="T67" s="6">
        <v>0</v>
      </c>
      <c r="U67" s="6">
        <v>11</v>
      </c>
      <c r="V67" s="6">
        <v>0</v>
      </c>
      <c r="W67" s="6">
        <v>0</v>
      </c>
      <c r="X67" s="6">
        <v>0</v>
      </c>
      <c r="Y67" s="6">
        <v>12</v>
      </c>
      <c r="Z67" s="6">
        <v>3109</v>
      </c>
      <c r="AA67" s="6">
        <v>2805</v>
      </c>
      <c r="AB67" s="6">
        <v>2078</v>
      </c>
      <c r="AC67" s="6">
        <v>1934</v>
      </c>
      <c r="AD67" s="6">
        <v>1641</v>
      </c>
      <c r="AE67" s="6">
        <v>1365</v>
      </c>
      <c r="AF67" s="6">
        <v>1152</v>
      </c>
      <c r="AG67" s="6">
        <v>1202</v>
      </c>
      <c r="AH67" s="6">
        <v>1199</v>
      </c>
      <c r="AI67" s="6">
        <v>1192</v>
      </c>
      <c r="AJ67" s="6">
        <v>1162</v>
      </c>
      <c r="AK67" s="6">
        <v>349</v>
      </c>
      <c r="AL67" s="6">
        <v>343</v>
      </c>
      <c r="AM67" s="6">
        <v>341</v>
      </c>
      <c r="AN67" s="6">
        <v>326</v>
      </c>
      <c r="AO67" s="6">
        <v>313</v>
      </c>
    </row>
    <row r="68" spans="1:41" ht="15.75" x14ac:dyDescent="0.25">
      <c r="A68" s="4" t="s">
        <v>99</v>
      </c>
      <c r="B68" s="6">
        <v>133</v>
      </c>
      <c r="C68" s="6">
        <v>108</v>
      </c>
      <c r="D68" s="6">
        <v>101</v>
      </c>
      <c r="E68" s="6">
        <v>113</v>
      </c>
      <c r="F68" s="6">
        <v>110</v>
      </c>
      <c r="G68" s="6">
        <v>129</v>
      </c>
      <c r="H68" s="6">
        <v>119</v>
      </c>
      <c r="I68" s="6">
        <v>107</v>
      </c>
      <c r="J68" s="6">
        <v>186</v>
      </c>
      <c r="K68" s="6">
        <v>186</v>
      </c>
      <c r="L68" s="6">
        <v>177</v>
      </c>
      <c r="M68" s="6">
        <v>181</v>
      </c>
      <c r="N68" s="6">
        <v>142</v>
      </c>
      <c r="O68" s="6">
        <v>155</v>
      </c>
      <c r="P68" s="6">
        <v>140</v>
      </c>
      <c r="Q68" s="6">
        <v>146</v>
      </c>
      <c r="R68" s="6">
        <v>143</v>
      </c>
      <c r="S68" s="6">
        <v>150</v>
      </c>
      <c r="T68" s="6">
        <v>161</v>
      </c>
      <c r="U68" s="6">
        <v>166</v>
      </c>
      <c r="V68" s="6">
        <v>155</v>
      </c>
      <c r="W68" s="6">
        <v>181</v>
      </c>
      <c r="X68" s="6">
        <v>183</v>
      </c>
      <c r="Y68" s="6">
        <v>321</v>
      </c>
      <c r="Z68" s="6">
        <v>1047</v>
      </c>
      <c r="AA68" s="6">
        <v>1118</v>
      </c>
      <c r="AB68" s="6">
        <v>1610</v>
      </c>
      <c r="AC68" s="6">
        <v>1664</v>
      </c>
      <c r="AD68" s="6">
        <v>1874</v>
      </c>
      <c r="AE68" s="6">
        <v>1787</v>
      </c>
      <c r="AF68" s="6">
        <v>1767</v>
      </c>
      <c r="AG68" s="6">
        <v>1850</v>
      </c>
      <c r="AH68" s="6">
        <v>1776</v>
      </c>
      <c r="AI68" s="6">
        <v>1716</v>
      </c>
      <c r="AJ68" s="6">
        <v>1751</v>
      </c>
      <c r="AK68" s="6">
        <v>1816</v>
      </c>
      <c r="AL68" s="6">
        <v>1839</v>
      </c>
      <c r="AM68" s="6">
        <v>1085</v>
      </c>
      <c r="AN68" s="6">
        <v>1078</v>
      </c>
      <c r="AO68" s="6">
        <v>1186</v>
      </c>
    </row>
    <row r="69" spans="1:41" ht="15.75" x14ac:dyDescent="0.25">
      <c r="A69" s="7" t="s">
        <v>100</v>
      </c>
      <c r="B69" s="8">
        <f>SUM(B63:B68)</f>
        <v>3484</v>
      </c>
      <c r="C69" s="8">
        <f t="shared" ref="C69:AO69" si="15">SUM(C63:C68)</f>
        <v>3729</v>
      </c>
      <c r="D69" s="8">
        <f t="shared" si="15"/>
        <v>3231</v>
      </c>
      <c r="E69" s="8">
        <f t="shared" si="15"/>
        <v>2905</v>
      </c>
      <c r="F69" s="8">
        <f t="shared" si="15"/>
        <v>2890</v>
      </c>
      <c r="G69" s="8">
        <f t="shared" si="15"/>
        <v>2953</v>
      </c>
      <c r="H69" s="8">
        <f t="shared" si="15"/>
        <v>3066</v>
      </c>
      <c r="I69" s="8">
        <f t="shared" si="15"/>
        <v>2956</v>
      </c>
      <c r="J69" s="8">
        <f t="shared" si="15"/>
        <v>3048</v>
      </c>
      <c r="K69" s="8">
        <f t="shared" si="15"/>
        <v>3224</v>
      </c>
      <c r="L69" s="8">
        <f t="shared" si="15"/>
        <v>3222</v>
      </c>
      <c r="M69" s="8">
        <f t="shared" si="15"/>
        <v>3290</v>
      </c>
      <c r="N69" s="8">
        <f t="shared" si="15"/>
        <v>3143</v>
      </c>
      <c r="O69" s="8">
        <f t="shared" si="15"/>
        <v>3201</v>
      </c>
      <c r="P69" s="8">
        <f t="shared" si="15"/>
        <v>3077</v>
      </c>
      <c r="Q69" s="8">
        <f t="shared" si="15"/>
        <v>3201</v>
      </c>
      <c r="R69" s="8">
        <f t="shared" si="15"/>
        <v>2827</v>
      </c>
      <c r="S69" s="8">
        <f t="shared" si="15"/>
        <v>3278</v>
      </c>
      <c r="T69" s="8">
        <f t="shared" si="15"/>
        <v>3156</v>
      </c>
      <c r="U69" s="8">
        <f t="shared" si="15"/>
        <v>3125</v>
      </c>
      <c r="V69" s="8">
        <f t="shared" si="15"/>
        <v>3570</v>
      </c>
      <c r="W69" s="8">
        <f t="shared" si="15"/>
        <v>3626</v>
      </c>
      <c r="X69" s="8">
        <f t="shared" si="15"/>
        <v>4017</v>
      </c>
      <c r="Y69" s="8">
        <f t="shared" si="15"/>
        <v>4922</v>
      </c>
      <c r="Z69" s="8">
        <f t="shared" si="15"/>
        <v>11582</v>
      </c>
      <c r="AA69" s="8">
        <f t="shared" si="15"/>
        <v>12333</v>
      </c>
      <c r="AB69" s="8">
        <f t="shared" si="15"/>
        <v>13269</v>
      </c>
      <c r="AC69" s="8">
        <f t="shared" si="15"/>
        <v>12830</v>
      </c>
      <c r="AD69" s="8">
        <f t="shared" si="15"/>
        <v>12940</v>
      </c>
      <c r="AE69" s="8">
        <f t="shared" si="15"/>
        <v>12831</v>
      </c>
      <c r="AF69" s="8">
        <f t="shared" si="15"/>
        <v>12656</v>
      </c>
      <c r="AG69" s="8">
        <f t="shared" si="15"/>
        <v>11993</v>
      </c>
      <c r="AH69" s="8">
        <f t="shared" si="15"/>
        <v>11697</v>
      </c>
      <c r="AI69" s="8">
        <f t="shared" si="15"/>
        <v>11348</v>
      </c>
      <c r="AJ69" s="8">
        <f t="shared" si="15"/>
        <v>12651</v>
      </c>
      <c r="AK69" s="8">
        <f t="shared" si="15"/>
        <v>11658</v>
      </c>
      <c r="AL69" s="8">
        <f t="shared" si="15"/>
        <v>13669</v>
      </c>
      <c r="AM69" s="8">
        <f t="shared" si="15"/>
        <v>15155</v>
      </c>
      <c r="AN69" s="8">
        <f t="shared" si="15"/>
        <v>16101</v>
      </c>
      <c r="AO69" s="8">
        <f t="shared" si="15"/>
        <v>13927</v>
      </c>
    </row>
    <row r="70" spans="1:41" ht="15.75" x14ac:dyDescent="0.25">
      <c r="A70" s="4" t="s">
        <v>101</v>
      </c>
      <c r="B70" s="6">
        <v>8</v>
      </c>
      <c r="C70" s="6">
        <v>8</v>
      </c>
      <c r="D70" s="6">
        <v>9</v>
      </c>
      <c r="E70" s="6">
        <v>9</v>
      </c>
      <c r="F70" s="6">
        <v>9</v>
      </c>
      <c r="G70" s="6">
        <v>9</v>
      </c>
      <c r="H70" s="6">
        <v>10</v>
      </c>
      <c r="I70" s="6">
        <v>9</v>
      </c>
      <c r="J70" s="6">
        <v>10</v>
      </c>
      <c r="K70" s="6">
        <v>10</v>
      </c>
      <c r="L70" s="6">
        <v>10</v>
      </c>
      <c r="M70" s="6">
        <v>10</v>
      </c>
      <c r="N70" s="6">
        <v>11</v>
      </c>
      <c r="O70" s="6">
        <v>11</v>
      </c>
      <c r="P70" s="6">
        <v>11</v>
      </c>
      <c r="Q70" s="6">
        <v>12</v>
      </c>
      <c r="R70" s="6">
        <v>12</v>
      </c>
      <c r="S70" s="6">
        <v>12</v>
      </c>
      <c r="T70" s="6">
        <v>12</v>
      </c>
      <c r="U70" s="6">
        <v>12</v>
      </c>
      <c r="V70" s="6">
        <v>12</v>
      </c>
      <c r="W70" s="6">
        <v>12</v>
      </c>
      <c r="X70" s="6">
        <v>12</v>
      </c>
      <c r="Y70" s="6">
        <v>12</v>
      </c>
      <c r="Z70" s="6">
        <v>16</v>
      </c>
      <c r="AA70" s="6">
        <v>16</v>
      </c>
      <c r="AB70" s="6">
        <v>16</v>
      </c>
      <c r="AC70" s="6">
        <v>16</v>
      </c>
      <c r="AD70" s="6">
        <v>16</v>
      </c>
      <c r="AE70" s="6">
        <v>16</v>
      </c>
      <c r="AF70" s="6">
        <v>17</v>
      </c>
      <c r="AG70" s="6">
        <v>17</v>
      </c>
      <c r="AH70" s="6">
        <v>17</v>
      </c>
      <c r="AI70" s="6">
        <v>17</v>
      </c>
      <c r="AJ70" s="6">
        <v>17</v>
      </c>
      <c r="AK70" s="6">
        <v>17</v>
      </c>
      <c r="AL70" s="6">
        <v>17</v>
      </c>
      <c r="AM70" s="6">
        <v>17</v>
      </c>
      <c r="AN70" s="6">
        <v>17</v>
      </c>
      <c r="AO70" s="6">
        <v>17</v>
      </c>
    </row>
    <row r="71" spans="1:41" ht="15.75" x14ac:dyDescent="0.25">
      <c r="A71" s="4" t="s">
        <v>102</v>
      </c>
      <c r="B71" s="6">
        <v>7033</v>
      </c>
      <c r="C71" s="6">
        <v>7053</v>
      </c>
      <c r="D71" s="6">
        <v>8258</v>
      </c>
      <c r="E71" s="6">
        <v>8334</v>
      </c>
      <c r="F71" s="6">
        <v>8379</v>
      </c>
      <c r="G71" s="6">
        <v>8405</v>
      </c>
      <c r="H71" s="6">
        <v>8437</v>
      </c>
      <c r="I71" s="6">
        <v>8464</v>
      </c>
      <c r="J71" s="6">
        <v>8502</v>
      </c>
      <c r="K71" s="6">
        <v>8564</v>
      </c>
      <c r="L71" s="6">
        <v>8666</v>
      </c>
      <c r="M71" s="6">
        <v>8750</v>
      </c>
      <c r="N71" s="6">
        <v>9246</v>
      </c>
      <c r="O71" s="6">
        <v>9325</v>
      </c>
      <c r="P71" s="6">
        <v>9490</v>
      </c>
      <c r="Q71" s="6">
        <v>9963</v>
      </c>
      <c r="R71" s="6">
        <v>10026</v>
      </c>
      <c r="S71" s="6">
        <v>10127</v>
      </c>
      <c r="T71" s="6">
        <v>10362</v>
      </c>
      <c r="U71" s="6">
        <v>10544</v>
      </c>
      <c r="V71" s="6">
        <v>10658</v>
      </c>
      <c r="W71" s="6">
        <v>10795</v>
      </c>
      <c r="X71" s="6">
        <v>10905</v>
      </c>
      <c r="Y71" s="6">
        <v>11069</v>
      </c>
      <c r="Z71" s="6">
        <v>56925</v>
      </c>
      <c r="AA71" s="6">
        <v>57297</v>
      </c>
      <c r="AB71" s="6">
        <v>57581</v>
      </c>
      <c r="AC71" s="6">
        <v>58005</v>
      </c>
      <c r="AD71" s="6">
        <v>58331</v>
      </c>
      <c r="AE71" s="6">
        <v>58825</v>
      </c>
      <c r="AF71" s="6">
        <v>59182</v>
      </c>
      <c r="AG71" s="6">
        <v>59676</v>
      </c>
      <c r="AH71" s="6">
        <v>60053</v>
      </c>
      <c r="AI71" s="6">
        <v>60542</v>
      </c>
      <c r="AJ71" s="6">
        <v>60896</v>
      </c>
      <c r="AK71" s="6">
        <v>61362</v>
      </c>
      <c r="AL71" s="6">
        <v>61730</v>
      </c>
      <c r="AM71" s="6">
        <v>62228</v>
      </c>
      <c r="AN71" s="6">
        <v>62657</v>
      </c>
      <c r="AO71" s="6">
        <v>63365</v>
      </c>
    </row>
    <row r="72" spans="1:41" ht="15.75" x14ac:dyDescent="0.25">
      <c r="A72" s="4" t="s">
        <v>103</v>
      </c>
      <c r="B72" s="6">
        <v>-7415</v>
      </c>
      <c r="C72" s="6">
        <v>-7346</v>
      </c>
      <c r="D72" s="6">
        <v>-7752</v>
      </c>
      <c r="E72" s="6">
        <v>-7803</v>
      </c>
      <c r="F72" s="6">
        <v>-7876</v>
      </c>
      <c r="G72" s="6">
        <v>-7892</v>
      </c>
      <c r="H72" s="6">
        <v>-7821</v>
      </c>
      <c r="I72" s="6">
        <v>-7775</v>
      </c>
      <c r="J72" s="6">
        <v>-7692</v>
      </c>
      <c r="K72" s="6">
        <v>-7576</v>
      </c>
      <c r="L72" s="6">
        <v>-7474</v>
      </c>
      <c r="M72" s="6">
        <v>-7436</v>
      </c>
      <c r="N72" s="6">
        <v>-7420</v>
      </c>
      <c r="O72" s="6">
        <v>-7385</v>
      </c>
      <c r="P72" s="6">
        <v>-7265</v>
      </c>
      <c r="Q72" s="6">
        <v>-7095</v>
      </c>
      <c r="R72" s="6">
        <v>-6933</v>
      </c>
      <c r="S72" s="6">
        <v>-6776</v>
      </c>
      <c r="T72" s="6">
        <v>-6386</v>
      </c>
      <c r="U72" s="6">
        <v>-4605</v>
      </c>
      <c r="V72" s="6">
        <v>-4058</v>
      </c>
      <c r="W72" s="6">
        <v>-3348</v>
      </c>
      <c r="X72" s="6">
        <v>-2425</v>
      </c>
      <c r="Y72" s="6">
        <v>-1451</v>
      </c>
      <c r="Z72" s="6">
        <v>-665</v>
      </c>
      <c r="AA72" s="6">
        <v>-218</v>
      </c>
      <c r="AB72" s="6">
        <v>-152</v>
      </c>
      <c r="AC72" s="6">
        <v>-131</v>
      </c>
      <c r="AD72" s="6">
        <v>-270</v>
      </c>
      <c r="AE72" s="6">
        <v>-243</v>
      </c>
      <c r="AF72" s="6">
        <v>56</v>
      </c>
      <c r="AG72" s="6">
        <v>723</v>
      </c>
      <c r="AH72" s="6">
        <v>846</v>
      </c>
      <c r="AI72" s="6">
        <v>1111</v>
      </c>
      <c r="AJ72" s="6">
        <v>1882</v>
      </c>
      <c r="AK72" s="6">
        <v>2364</v>
      </c>
      <c r="AL72" s="6">
        <v>3073</v>
      </c>
      <c r="AM72" s="6">
        <v>3945</v>
      </c>
      <c r="AN72" s="6">
        <v>5188</v>
      </c>
      <c r="AO72" s="6">
        <v>6699</v>
      </c>
    </row>
    <row r="73" spans="1:41" ht="15.75" x14ac:dyDescent="0.25">
      <c r="A73" s="4" t="s">
        <v>104</v>
      </c>
      <c r="B73" s="6">
        <v>-123</v>
      </c>
      <c r="C73" s="6">
        <v>-125</v>
      </c>
      <c r="D73" s="6">
        <v>-127</v>
      </c>
      <c r="E73" s="6">
        <v>-119</v>
      </c>
      <c r="F73" s="6">
        <v>-99</v>
      </c>
      <c r="G73" s="6">
        <v>-105</v>
      </c>
      <c r="H73" s="6">
        <v>-108</v>
      </c>
      <c r="I73" s="6">
        <v>-108</v>
      </c>
      <c r="J73" s="6">
        <v>-108</v>
      </c>
      <c r="K73" s="6">
        <v>-109</v>
      </c>
      <c r="L73" s="6">
        <v>-67</v>
      </c>
      <c r="M73" s="6">
        <v>-50</v>
      </c>
      <c r="N73" s="6">
        <v>-48</v>
      </c>
      <c r="O73" s="6">
        <v>-50</v>
      </c>
      <c r="P73" s="6">
        <v>-53</v>
      </c>
      <c r="Q73" s="6">
        <v>-53</v>
      </c>
      <c r="R73" s="6">
        <v>-54</v>
      </c>
      <c r="S73" s="6">
        <v>-54</v>
      </c>
      <c r="T73" s="6">
        <v>-126</v>
      </c>
      <c r="U73" s="6">
        <v>-131</v>
      </c>
      <c r="V73" s="6">
        <v>-141</v>
      </c>
      <c r="W73" s="6">
        <v>-401</v>
      </c>
      <c r="X73" s="6">
        <v>-1356</v>
      </c>
      <c r="Y73" s="6">
        <v>-2130</v>
      </c>
      <c r="Z73" s="6">
        <v>-941</v>
      </c>
      <c r="AA73" s="6">
        <v>-1893</v>
      </c>
      <c r="AB73" s="6">
        <v>-2815</v>
      </c>
      <c r="AC73" s="6">
        <v>-3099</v>
      </c>
      <c r="AD73" s="6">
        <v>-3362</v>
      </c>
      <c r="AE73" s="6">
        <v>-3430</v>
      </c>
      <c r="AF73" s="6">
        <v>-4235</v>
      </c>
      <c r="AG73" s="6">
        <v>-4514</v>
      </c>
      <c r="AH73" s="6">
        <v>-4690</v>
      </c>
      <c r="AI73" s="6">
        <v>-5103</v>
      </c>
      <c r="AJ73" s="6">
        <v>-5812</v>
      </c>
      <c r="AK73" s="6">
        <v>-6106</v>
      </c>
      <c r="AL73" s="6">
        <v>-6899</v>
      </c>
      <c r="AM73" s="6">
        <v>-6535</v>
      </c>
      <c r="AN73" s="6">
        <v>-7059</v>
      </c>
      <c r="AO73" s="6">
        <v>-7079</v>
      </c>
    </row>
    <row r="74" spans="1:41" ht="15.75" x14ac:dyDescent="0.25">
      <c r="A74" s="4" t="s">
        <v>105</v>
      </c>
      <c r="B74" s="6">
        <v>-6</v>
      </c>
      <c r="C74" s="6">
        <v>-3</v>
      </c>
      <c r="D74" s="6">
        <v>-3</v>
      </c>
      <c r="E74" s="6">
        <v>-5</v>
      </c>
      <c r="F74" s="6">
        <v>-4</v>
      </c>
      <c r="G74" s="6">
        <v>0</v>
      </c>
      <c r="H74" s="6">
        <v>2</v>
      </c>
      <c r="I74" s="6">
        <v>6</v>
      </c>
      <c r="J74" s="6">
        <v>3</v>
      </c>
      <c r="K74" s="6">
        <v>-10</v>
      </c>
      <c r="L74" s="6">
        <v>-10</v>
      </c>
      <c r="M74" s="6">
        <v>-8</v>
      </c>
      <c r="N74" s="6">
        <v>-1</v>
      </c>
      <c r="O74" s="6">
        <v>0</v>
      </c>
      <c r="P74" s="6">
        <v>-7</v>
      </c>
      <c r="Q74" s="6">
        <v>0</v>
      </c>
      <c r="R74" s="6">
        <v>-14</v>
      </c>
      <c r="S74" s="6">
        <v>-4</v>
      </c>
      <c r="T74" s="6">
        <v>5</v>
      </c>
      <c r="U74" s="6">
        <v>17</v>
      </c>
      <c r="V74" s="6">
        <v>6</v>
      </c>
      <c r="W74" s="6">
        <v>7</v>
      </c>
      <c r="X74" s="6">
        <v>0</v>
      </c>
      <c r="Y74" s="6">
        <v>-3</v>
      </c>
      <c r="Z74" s="6">
        <v>-2</v>
      </c>
      <c r="AA74" s="6">
        <v>-33</v>
      </c>
      <c r="AB74" s="6">
        <v>-88</v>
      </c>
      <c r="AC74" s="6">
        <v>-41</v>
      </c>
      <c r="AD74" s="6">
        <v>-21</v>
      </c>
      <c r="AE74" s="6">
        <v>-32</v>
      </c>
      <c r="AF74" s="6">
        <v>-50</v>
      </c>
      <c r="AG74" s="6">
        <v>-10</v>
      </c>
      <c r="AH74" s="6">
        <v>-28</v>
      </c>
      <c r="AI74" s="6">
        <v>-29</v>
      </c>
      <c r="AJ74" s="6">
        <v>2</v>
      </c>
      <c r="AK74" s="6">
        <v>-69</v>
      </c>
      <c r="AL74" s="6">
        <v>-40</v>
      </c>
      <c r="AM74" s="6">
        <v>10</v>
      </c>
      <c r="AN74" s="6">
        <v>-13</v>
      </c>
      <c r="AO74" s="6">
        <v>-3</v>
      </c>
    </row>
    <row r="75" spans="1:41" ht="15.75" x14ac:dyDescent="0.25">
      <c r="A75" s="7" t="s">
        <v>106</v>
      </c>
      <c r="B75" s="8">
        <f>SUM(B70:B74)</f>
        <v>-503</v>
      </c>
      <c r="C75" s="8">
        <f t="shared" ref="C75:AO75" si="16">SUM(C70:C74)</f>
        <v>-413</v>
      </c>
      <c r="D75" s="8">
        <f t="shared" si="16"/>
        <v>385</v>
      </c>
      <c r="E75" s="8">
        <f t="shared" si="16"/>
        <v>416</v>
      </c>
      <c r="F75" s="8">
        <f t="shared" si="16"/>
        <v>409</v>
      </c>
      <c r="G75" s="8">
        <f t="shared" si="16"/>
        <v>417</v>
      </c>
      <c r="H75" s="8">
        <f t="shared" si="16"/>
        <v>520</v>
      </c>
      <c r="I75" s="8">
        <f t="shared" si="16"/>
        <v>596</v>
      </c>
      <c r="J75" s="8">
        <f t="shared" si="16"/>
        <v>715</v>
      </c>
      <c r="K75" s="8">
        <f t="shared" si="16"/>
        <v>879</v>
      </c>
      <c r="L75" s="8">
        <f t="shared" si="16"/>
        <v>1125</v>
      </c>
      <c r="M75" s="8">
        <f t="shared" si="16"/>
        <v>1266</v>
      </c>
      <c r="N75" s="8">
        <f t="shared" si="16"/>
        <v>1788</v>
      </c>
      <c r="O75" s="8">
        <f t="shared" si="16"/>
        <v>1901</v>
      </c>
      <c r="P75" s="8">
        <f t="shared" si="16"/>
        <v>2176</v>
      </c>
      <c r="Q75" s="8">
        <f t="shared" si="16"/>
        <v>2827</v>
      </c>
      <c r="R75" s="8">
        <f t="shared" si="16"/>
        <v>3037</v>
      </c>
      <c r="S75" s="8">
        <f t="shared" si="16"/>
        <v>3305</v>
      </c>
      <c r="T75" s="8">
        <f t="shared" si="16"/>
        <v>3867</v>
      </c>
      <c r="U75" s="8">
        <f t="shared" si="16"/>
        <v>5837</v>
      </c>
      <c r="V75" s="8">
        <f t="shared" si="16"/>
        <v>6477</v>
      </c>
      <c r="W75" s="8">
        <f t="shared" si="16"/>
        <v>7065</v>
      </c>
      <c r="X75" s="8">
        <f t="shared" si="16"/>
        <v>7136</v>
      </c>
      <c r="Y75" s="8">
        <f t="shared" si="16"/>
        <v>7497</v>
      </c>
      <c r="Z75" s="8">
        <f t="shared" si="16"/>
        <v>55333</v>
      </c>
      <c r="AA75" s="8">
        <f t="shared" si="16"/>
        <v>55169</v>
      </c>
      <c r="AB75" s="8">
        <f t="shared" si="16"/>
        <v>54542</v>
      </c>
      <c r="AC75" s="8">
        <f t="shared" si="16"/>
        <v>54750</v>
      </c>
      <c r="AD75" s="8">
        <f t="shared" si="16"/>
        <v>54694</v>
      </c>
      <c r="AE75" s="8">
        <f t="shared" si="16"/>
        <v>55136</v>
      </c>
      <c r="AF75" s="8">
        <f t="shared" si="16"/>
        <v>54970</v>
      </c>
      <c r="AG75" s="8">
        <f t="shared" si="16"/>
        <v>55892</v>
      </c>
      <c r="AH75" s="8">
        <f t="shared" si="16"/>
        <v>56198</v>
      </c>
      <c r="AI75" s="8">
        <f t="shared" si="16"/>
        <v>56538</v>
      </c>
      <c r="AJ75" s="8">
        <f t="shared" si="16"/>
        <v>56985</v>
      </c>
      <c r="AK75" s="8">
        <f t="shared" si="16"/>
        <v>57568</v>
      </c>
      <c r="AL75" s="8">
        <f t="shared" si="16"/>
        <v>57881</v>
      </c>
      <c r="AM75" s="8">
        <f t="shared" si="16"/>
        <v>59665</v>
      </c>
      <c r="AN75" s="8">
        <f t="shared" si="16"/>
        <v>60790</v>
      </c>
      <c r="AO75" s="8">
        <f t="shared" si="16"/>
        <v>62999</v>
      </c>
    </row>
    <row r="76" spans="1:41" ht="15.75" x14ac:dyDescent="0.25">
      <c r="A76" s="7" t="s">
        <v>107</v>
      </c>
      <c r="B76" s="8">
        <f>B75+B69</f>
        <v>2981</v>
      </c>
      <c r="C76" s="8">
        <f t="shared" ref="C76:AO76" si="17">C75+C69</f>
        <v>3316</v>
      </c>
      <c r="D76" s="8">
        <f t="shared" si="17"/>
        <v>3616</v>
      </c>
      <c r="E76" s="8">
        <f t="shared" si="17"/>
        <v>3321</v>
      </c>
      <c r="F76" s="8">
        <f t="shared" si="17"/>
        <v>3299</v>
      </c>
      <c r="G76" s="8">
        <f t="shared" si="17"/>
        <v>3370</v>
      </c>
      <c r="H76" s="8">
        <f t="shared" si="17"/>
        <v>3586</v>
      </c>
      <c r="I76" s="8">
        <f t="shared" si="17"/>
        <v>3552</v>
      </c>
      <c r="J76" s="8">
        <f t="shared" si="17"/>
        <v>3763</v>
      </c>
      <c r="K76" s="8">
        <f t="shared" si="17"/>
        <v>4103</v>
      </c>
      <c r="L76" s="8">
        <f t="shared" si="17"/>
        <v>4347</v>
      </c>
      <c r="M76" s="8">
        <f t="shared" si="17"/>
        <v>4556</v>
      </c>
      <c r="N76" s="8">
        <f t="shared" si="17"/>
        <v>4931</v>
      </c>
      <c r="O76" s="8">
        <f t="shared" si="17"/>
        <v>5102</v>
      </c>
      <c r="P76" s="8">
        <f t="shared" si="17"/>
        <v>5253</v>
      </c>
      <c r="Q76" s="8">
        <f t="shared" si="17"/>
        <v>6028</v>
      </c>
      <c r="R76" s="8">
        <f t="shared" si="17"/>
        <v>5864</v>
      </c>
      <c r="S76" s="8">
        <f t="shared" si="17"/>
        <v>6583</v>
      </c>
      <c r="T76" s="8">
        <f t="shared" si="17"/>
        <v>7023</v>
      </c>
      <c r="U76" s="8">
        <f t="shared" si="17"/>
        <v>8962</v>
      </c>
      <c r="V76" s="8">
        <f t="shared" si="17"/>
        <v>10047</v>
      </c>
      <c r="W76" s="8">
        <f t="shared" si="17"/>
        <v>10691</v>
      </c>
      <c r="X76" s="8">
        <f t="shared" si="17"/>
        <v>11153</v>
      </c>
      <c r="Y76" s="8">
        <f t="shared" si="17"/>
        <v>12419</v>
      </c>
      <c r="Z76" s="8">
        <f t="shared" si="17"/>
        <v>66915</v>
      </c>
      <c r="AA76" s="8">
        <f t="shared" si="17"/>
        <v>67502</v>
      </c>
      <c r="AB76" s="8">
        <f t="shared" si="17"/>
        <v>67811</v>
      </c>
      <c r="AC76" s="8">
        <f t="shared" si="17"/>
        <v>67580</v>
      </c>
      <c r="AD76" s="8">
        <f t="shared" si="17"/>
        <v>67634</v>
      </c>
      <c r="AE76" s="8">
        <f t="shared" si="17"/>
        <v>67967</v>
      </c>
      <c r="AF76" s="8">
        <f t="shared" si="17"/>
        <v>67626</v>
      </c>
      <c r="AG76" s="8">
        <f t="shared" si="17"/>
        <v>67885</v>
      </c>
      <c r="AH76" s="8">
        <f t="shared" si="17"/>
        <v>67895</v>
      </c>
      <c r="AI76" s="8">
        <f t="shared" si="17"/>
        <v>67886</v>
      </c>
      <c r="AJ76" s="8">
        <f t="shared" si="17"/>
        <v>69636</v>
      </c>
      <c r="AK76" s="8">
        <f t="shared" si="17"/>
        <v>69226</v>
      </c>
      <c r="AL76" s="8">
        <f t="shared" si="17"/>
        <v>71550</v>
      </c>
      <c r="AM76" s="8">
        <f t="shared" si="17"/>
        <v>74820</v>
      </c>
      <c r="AN76" s="8">
        <f t="shared" si="17"/>
        <v>76891</v>
      </c>
      <c r="AO76" s="8">
        <f t="shared" si="17"/>
        <v>76926</v>
      </c>
    </row>
    <row r="77" spans="1:41" ht="15.75" x14ac:dyDescent="0.25">
      <c r="A77" s="12" t="s">
        <v>140</v>
      </c>
      <c r="B77" s="13">
        <f>B76-B54</f>
        <v>0</v>
      </c>
      <c r="C77" s="13">
        <f t="shared" ref="C77:AO77" si="18">C76-C54</f>
        <v>0</v>
      </c>
      <c r="D77" s="13">
        <f t="shared" si="18"/>
        <v>0</v>
      </c>
      <c r="E77" s="13">
        <f t="shared" si="18"/>
        <v>0</v>
      </c>
      <c r="F77" s="13">
        <f t="shared" si="18"/>
        <v>0</v>
      </c>
      <c r="G77" s="13">
        <f t="shared" si="18"/>
        <v>0</v>
      </c>
      <c r="H77" s="13">
        <f t="shared" si="18"/>
        <v>0</v>
      </c>
      <c r="I77" s="13">
        <f t="shared" si="18"/>
        <v>0</v>
      </c>
      <c r="J77" s="13">
        <f t="shared" si="18"/>
        <v>0</v>
      </c>
      <c r="K77" s="13">
        <f t="shared" si="18"/>
        <v>0</v>
      </c>
      <c r="L77" s="13">
        <f t="shared" si="18"/>
        <v>0</v>
      </c>
      <c r="M77" s="13">
        <f t="shared" si="18"/>
        <v>0</v>
      </c>
      <c r="N77" s="13">
        <f t="shared" si="18"/>
        <v>0</v>
      </c>
      <c r="O77" s="13">
        <f t="shared" si="18"/>
        <v>0</v>
      </c>
      <c r="P77" s="13">
        <f t="shared" si="18"/>
        <v>0</v>
      </c>
      <c r="Q77" s="13">
        <f t="shared" si="18"/>
        <v>0</v>
      </c>
      <c r="R77" s="13">
        <f t="shared" si="18"/>
        <v>0</v>
      </c>
      <c r="S77" s="13">
        <f t="shared" si="18"/>
        <v>0</v>
      </c>
      <c r="T77" s="13">
        <f t="shared" si="18"/>
        <v>0</v>
      </c>
      <c r="U77" s="13">
        <f t="shared" si="18"/>
        <v>0</v>
      </c>
      <c r="V77" s="13">
        <f t="shared" si="18"/>
        <v>0</v>
      </c>
      <c r="W77" s="13">
        <f t="shared" si="18"/>
        <v>0</v>
      </c>
      <c r="X77" s="13">
        <f t="shared" si="18"/>
        <v>0</v>
      </c>
      <c r="Y77" s="13">
        <f t="shared" si="18"/>
        <v>0</v>
      </c>
      <c r="Z77" s="13">
        <f t="shared" si="18"/>
        <v>0</v>
      </c>
      <c r="AA77" s="13">
        <f t="shared" si="18"/>
        <v>0</v>
      </c>
      <c r="AB77" s="13">
        <f t="shared" si="18"/>
        <v>0</v>
      </c>
      <c r="AC77" s="13">
        <f t="shared" si="18"/>
        <v>0</v>
      </c>
      <c r="AD77" s="13">
        <f t="shared" si="18"/>
        <v>0</v>
      </c>
      <c r="AE77" s="13">
        <f t="shared" si="18"/>
        <v>0</v>
      </c>
      <c r="AF77" s="13">
        <f t="shared" si="18"/>
        <v>0</v>
      </c>
      <c r="AG77" s="13">
        <f t="shared" si="18"/>
        <v>0</v>
      </c>
      <c r="AH77" s="13">
        <f t="shared" si="18"/>
        <v>0</v>
      </c>
      <c r="AI77" s="13">
        <f t="shared" si="18"/>
        <v>0</v>
      </c>
      <c r="AJ77" s="13">
        <f t="shared" si="18"/>
        <v>0</v>
      </c>
      <c r="AK77" s="13">
        <f t="shared" si="18"/>
        <v>0</v>
      </c>
      <c r="AL77" s="13">
        <f t="shared" si="18"/>
        <v>0</v>
      </c>
      <c r="AM77" s="13">
        <f t="shared" si="18"/>
        <v>0</v>
      </c>
      <c r="AN77" s="13">
        <f t="shared" si="18"/>
        <v>0</v>
      </c>
      <c r="AO77" s="13">
        <f t="shared" si="18"/>
        <v>0</v>
      </c>
    </row>
    <row r="80" spans="1:41" ht="15.75" x14ac:dyDescent="0.25">
      <c r="A80" s="1" t="s">
        <v>108</v>
      </c>
      <c r="B80" s="15"/>
      <c r="C80" s="15"/>
      <c r="D80" s="15"/>
      <c r="E80" s="15"/>
    </row>
    <row r="82" spans="1:41" ht="15.75" x14ac:dyDescent="0.25">
      <c r="A82" s="2" t="s">
        <v>0</v>
      </c>
      <c r="B82" s="3" t="s">
        <v>1</v>
      </c>
      <c r="C82" s="3" t="s">
        <v>2</v>
      </c>
      <c r="D82" s="3" t="s">
        <v>3</v>
      </c>
      <c r="E82" s="3" t="s">
        <v>4</v>
      </c>
      <c r="F82" s="3" t="s">
        <v>5</v>
      </c>
      <c r="G82" s="3" t="s">
        <v>6</v>
      </c>
      <c r="H82" s="3" t="s">
        <v>7</v>
      </c>
      <c r="I82" s="3" t="s">
        <v>8</v>
      </c>
      <c r="J82" s="3" t="s">
        <v>9</v>
      </c>
      <c r="K82" s="3" t="s">
        <v>10</v>
      </c>
      <c r="L82" s="3" t="s">
        <v>11</v>
      </c>
      <c r="M82" s="3" t="s">
        <v>12</v>
      </c>
      <c r="N82" s="3" t="s">
        <v>13</v>
      </c>
      <c r="O82" s="3" t="s">
        <v>14</v>
      </c>
      <c r="P82" s="3" t="s">
        <v>15</v>
      </c>
      <c r="Q82" s="3" t="s">
        <v>16</v>
      </c>
      <c r="R82" s="3" t="s">
        <v>17</v>
      </c>
      <c r="S82" s="3" t="s">
        <v>18</v>
      </c>
      <c r="T82" s="3" t="s">
        <v>19</v>
      </c>
      <c r="U82" s="3" t="s">
        <v>20</v>
      </c>
      <c r="V82" s="3" t="s">
        <v>21</v>
      </c>
      <c r="W82" s="3" t="s">
        <v>22</v>
      </c>
      <c r="X82" s="3" t="s">
        <v>23</v>
      </c>
      <c r="Y82" s="3" t="s">
        <v>24</v>
      </c>
      <c r="Z82" s="3" t="s">
        <v>25</v>
      </c>
      <c r="AA82" s="3" t="s">
        <v>26</v>
      </c>
      <c r="AB82" s="3" t="s">
        <v>27</v>
      </c>
      <c r="AC82" s="3" t="s">
        <v>28</v>
      </c>
      <c r="AD82" s="3" t="s">
        <v>29</v>
      </c>
      <c r="AE82" s="3" t="s">
        <v>30</v>
      </c>
      <c r="AF82" s="3" t="s">
        <v>31</v>
      </c>
      <c r="AG82" s="3" t="s">
        <v>32</v>
      </c>
      <c r="AH82" s="3" t="s">
        <v>33</v>
      </c>
      <c r="AI82" s="3" t="s">
        <v>34</v>
      </c>
      <c r="AJ82" s="3" t="s">
        <v>35</v>
      </c>
      <c r="AK82" s="3" t="s">
        <v>36</v>
      </c>
      <c r="AL82" s="3" t="s">
        <v>37</v>
      </c>
      <c r="AM82" s="3" t="s">
        <v>38</v>
      </c>
      <c r="AN82" s="3" t="s">
        <v>39</v>
      </c>
      <c r="AO82" s="3" t="s">
        <v>40</v>
      </c>
    </row>
    <row r="83" spans="1:41" ht="15.75" x14ac:dyDescent="0.25">
      <c r="A83" s="4" t="s">
        <v>61</v>
      </c>
      <c r="B83" s="6">
        <v>-109</v>
      </c>
      <c r="C83" s="6">
        <v>69</v>
      </c>
      <c r="D83" s="6">
        <v>-406</v>
      </c>
      <c r="E83" s="6">
        <v>-51</v>
      </c>
      <c r="F83" s="6">
        <v>-33</v>
      </c>
      <c r="G83" s="6">
        <v>-42</v>
      </c>
      <c r="H83" s="6">
        <v>61</v>
      </c>
      <c r="I83" s="6">
        <v>-19</v>
      </c>
      <c r="J83" s="6">
        <v>81</v>
      </c>
      <c r="K83" s="6">
        <v>116</v>
      </c>
      <c r="L83" s="6">
        <v>102</v>
      </c>
      <c r="M83" s="6">
        <v>38</v>
      </c>
      <c r="N83" s="6">
        <v>16</v>
      </c>
      <c r="O83" s="6">
        <v>35</v>
      </c>
      <c r="P83" s="6">
        <v>120</v>
      </c>
      <c r="Q83" s="6">
        <v>170</v>
      </c>
      <c r="R83" s="6">
        <v>162</v>
      </c>
      <c r="S83" s="6">
        <v>157</v>
      </c>
      <c r="T83" s="6">
        <v>390</v>
      </c>
      <c r="U83" s="6">
        <v>1781</v>
      </c>
      <c r="V83" s="6">
        <v>555</v>
      </c>
      <c r="W83" s="6">
        <v>710</v>
      </c>
      <c r="X83" s="6">
        <v>923</v>
      </c>
      <c r="Y83" s="6">
        <v>974</v>
      </c>
      <c r="Z83" s="6">
        <v>786</v>
      </c>
      <c r="AA83" s="6">
        <v>447</v>
      </c>
      <c r="AB83" s="6">
        <v>66</v>
      </c>
      <c r="AC83" s="6">
        <v>21</v>
      </c>
      <c r="AD83" s="6">
        <v>-139</v>
      </c>
      <c r="AE83" s="6">
        <v>27</v>
      </c>
      <c r="AF83" s="6">
        <v>299</v>
      </c>
      <c r="AG83" s="6">
        <v>667</v>
      </c>
      <c r="AH83" s="6">
        <v>123</v>
      </c>
      <c r="AI83" s="6">
        <v>265</v>
      </c>
      <c r="AJ83" s="6">
        <v>771</v>
      </c>
      <c r="AK83" s="6">
        <v>482</v>
      </c>
      <c r="AL83" s="6">
        <v>709</v>
      </c>
      <c r="AM83" s="6">
        <v>872</v>
      </c>
      <c r="AN83" s="6">
        <v>1243</v>
      </c>
      <c r="AO83" s="6">
        <v>1511</v>
      </c>
    </row>
    <row r="84" spans="1:41" ht="15.75" x14ac:dyDescent="0.25">
      <c r="A84" s="4" t="s">
        <v>109</v>
      </c>
      <c r="B84" s="6">
        <v>33</v>
      </c>
      <c r="C84" s="6">
        <v>33</v>
      </c>
      <c r="D84" s="6">
        <v>33</v>
      </c>
      <c r="E84" s="6">
        <v>34</v>
      </c>
      <c r="F84" s="6">
        <v>34</v>
      </c>
      <c r="G84" s="6">
        <v>35</v>
      </c>
      <c r="H84" s="6">
        <v>36</v>
      </c>
      <c r="I84" s="6">
        <v>39</v>
      </c>
      <c r="J84" s="6">
        <v>44</v>
      </c>
      <c r="K84" s="6">
        <v>42</v>
      </c>
      <c r="L84" s="6">
        <v>41</v>
      </c>
      <c r="M84" s="6">
        <v>43</v>
      </c>
      <c r="N84" s="6">
        <v>55</v>
      </c>
      <c r="O84" s="6">
        <v>61</v>
      </c>
      <c r="P84" s="6">
        <v>69</v>
      </c>
      <c r="Q84" s="6">
        <v>73</v>
      </c>
      <c r="R84" s="6">
        <v>78</v>
      </c>
      <c r="S84" s="6">
        <v>82</v>
      </c>
      <c r="T84" s="6">
        <v>93</v>
      </c>
      <c r="U84" s="6">
        <v>101</v>
      </c>
      <c r="V84" s="6">
        <v>107</v>
      </c>
      <c r="W84" s="6">
        <v>110</v>
      </c>
      <c r="X84" s="6">
        <v>112</v>
      </c>
      <c r="Y84" s="6">
        <v>134</v>
      </c>
      <c r="Z84" s="6">
        <v>628</v>
      </c>
      <c r="AA84" s="6">
        <v>1201</v>
      </c>
      <c r="AB84" s="6">
        <v>1188</v>
      </c>
      <c r="AC84" s="6">
        <v>507</v>
      </c>
      <c r="AD84" s="6">
        <v>1006</v>
      </c>
      <c r="AE84" s="6">
        <v>873</v>
      </c>
      <c r="AF84" s="6">
        <v>848</v>
      </c>
      <c r="AG84" s="6">
        <v>824</v>
      </c>
      <c r="AH84" s="6">
        <v>784</v>
      </c>
      <c r="AI84" s="6">
        <v>769</v>
      </c>
      <c r="AJ84" s="6">
        <v>756</v>
      </c>
      <c r="AK84" s="6">
        <v>755</v>
      </c>
      <c r="AL84" s="6">
        <v>742</v>
      </c>
      <c r="AM84" s="6">
        <v>757</v>
      </c>
      <c r="AN84" s="6">
        <v>754</v>
      </c>
      <c r="AO84" s="6">
        <v>751</v>
      </c>
    </row>
    <row r="85" spans="1:41" ht="15.75" x14ac:dyDescent="0.25">
      <c r="A85" s="4" t="s">
        <v>110</v>
      </c>
      <c r="B85" s="6">
        <v>0</v>
      </c>
      <c r="C85" s="6">
        <v>0</v>
      </c>
      <c r="D85" s="6">
        <v>0</v>
      </c>
      <c r="E85" s="6">
        <v>21</v>
      </c>
      <c r="F85" s="6">
        <v>9</v>
      </c>
      <c r="G85" s="6">
        <v>9</v>
      </c>
      <c r="H85" s="6">
        <v>9</v>
      </c>
      <c r="I85" s="6">
        <v>9</v>
      </c>
      <c r="J85" s="6">
        <v>10</v>
      </c>
      <c r="K85" s="6">
        <v>10</v>
      </c>
      <c r="L85" s="6">
        <v>9</v>
      </c>
      <c r="M85" s="6">
        <v>9</v>
      </c>
      <c r="N85" s="6">
        <v>9</v>
      </c>
      <c r="O85" s="6">
        <v>9</v>
      </c>
      <c r="P85" s="6">
        <v>7</v>
      </c>
      <c r="Q85" s="6">
        <v>5</v>
      </c>
      <c r="R85" s="6">
        <v>4</v>
      </c>
      <c r="S85" s="6">
        <v>4</v>
      </c>
      <c r="T85" s="6">
        <v>4</v>
      </c>
      <c r="U85" s="6">
        <v>2</v>
      </c>
      <c r="V85" s="6">
        <v>0</v>
      </c>
      <c r="W85" s="6">
        <v>0</v>
      </c>
      <c r="X85" s="6">
        <v>0</v>
      </c>
      <c r="Y85" s="6">
        <v>5</v>
      </c>
      <c r="Z85" s="6">
        <v>0</v>
      </c>
      <c r="AA85" s="6">
        <v>0</v>
      </c>
      <c r="AB85" s="6">
        <v>0</v>
      </c>
      <c r="AC85" s="6">
        <v>738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</row>
    <row r="86" spans="1:41" ht="15.75" x14ac:dyDescent="0.25">
      <c r="A86" s="4" t="s">
        <v>111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27</v>
      </c>
      <c r="N86" s="6">
        <v>6</v>
      </c>
      <c r="O86" s="6">
        <v>2</v>
      </c>
      <c r="P86" s="6">
        <v>26</v>
      </c>
      <c r="Q86" s="6">
        <v>8</v>
      </c>
      <c r="R86" s="6">
        <v>18</v>
      </c>
      <c r="S86" s="6">
        <v>8</v>
      </c>
      <c r="T86" s="6">
        <v>2</v>
      </c>
      <c r="U86" s="6">
        <v>5</v>
      </c>
      <c r="V86" s="6">
        <v>8</v>
      </c>
      <c r="W86" s="6">
        <v>11</v>
      </c>
      <c r="X86" s="6">
        <v>0</v>
      </c>
      <c r="Y86" s="6">
        <v>15</v>
      </c>
      <c r="Z86" s="6">
        <v>15</v>
      </c>
      <c r="AA86" s="6">
        <v>0</v>
      </c>
      <c r="AB86" s="6">
        <v>0</v>
      </c>
      <c r="AC86" s="6">
        <v>1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</row>
    <row r="87" spans="1:41" ht="15.75" x14ac:dyDescent="0.25">
      <c r="A87" s="4" t="s">
        <v>112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45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</row>
    <row r="88" spans="1:41" ht="15.75" x14ac:dyDescent="0.25">
      <c r="A88" s="4" t="s">
        <v>113</v>
      </c>
      <c r="B88" s="6">
        <v>0</v>
      </c>
      <c r="C88" s="6">
        <v>-150</v>
      </c>
      <c r="D88" s="6">
        <v>4</v>
      </c>
      <c r="E88" s="6">
        <v>0</v>
      </c>
      <c r="F88" s="6">
        <v>0</v>
      </c>
      <c r="G88" s="6">
        <v>0</v>
      </c>
      <c r="H88" s="6">
        <v>0</v>
      </c>
      <c r="I88" s="6">
        <v>-3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-2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-341</v>
      </c>
    </row>
    <row r="89" spans="1:41" ht="15.75" x14ac:dyDescent="0.25">
      <c r="A89" s="4" t="s">
        <v>114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-1</v>
      </c>
      <c r="U89" s="6">
        <v>1</v>
      </c>
      <c r="V89" s="6">
        <v>8</v>
      </c>
      <c r="W89" s="6">
        <v>0</v>
      </c>
      <c r="X89" s="6">
        <v>-60</v>
      </c>
      <c r="Y89" s="6">
        <v>-4</v>
      </c>
      <c r="Z89" s="6">
        <v>44</v>
      </c>
      <c r="AA89" s="6">
        <v>10</v>
      </c>
      <c r="AB89" s="6">
        <v>3</v>
      </c>
      <c r="AC89" s="6">
        <v>5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</row>
    <row r="90" spans="1:41" ht="15.75" x14ac:dyDescent="0.25">
      <c r="A90" s="4" t="s">
        <v>115</v>
      </c>
      <c r="B90" s="6">
        <v>16</v>
      </c>
      <c r="C90" s="6">
        <v>18</v>
      </c>
      <c r="D90" s="6">
        <v>23</v>
      </c>
      <c r="E90" s="6">
        <v>29</v>
      </c>
      <c r="F90" s="6">
        <v>23</v>
      </c>
      <c r="G90" s="6">
        <v>24</v>
      </c>
      <c r="H90" s="6">
        <v>29</v>
      </c>
      <c r="I90" s="6">
        <v>21</v>
      </c>
      <c r="J90" s="6">
        <v>32</v>
      </c>
      <c r="K90" s="6">
        <v>33</v>
      </c>
      <c r="L90" s="6">
        <v>36</v>
      </c>
      <c r="M90" s="6">
        <v>36</v>
      </c>
      <c r="N90" s="6">
        <v>41</v>
      </c>
      <c r="O90" s="6">
        <v>45</v>
      </c>
      <c r="P90" s="6">
        <v>54</v>
      </c>
      <c r="Q90" s="6">
        <v>57</v>
      </c>
      <c r="R90" s="6">
        <v>59</v>
      </c>
      <c r="S90" s="6">
        <v>60</v>
      </c>
      <c r="T90" s="6">
        <v>76</v>
      </c>
      <c r="U90" s="6">
        <v>79</v>
      </c>
      <c r="V90" s="6">
        <v>85</v>
      </c>
      <c r="W90" s="6">
        <v>83</v>
      </c>
      <c r="X90" s="6">
        <v>99</v>
      </c>
      <c r="Y90" s="6">
        <v>112</v>
      </c>
      <c r="Z90" s="6">
        <v>199</v>
      </c>
      <c r="AA90" s="6">
        <v>292</v>
      </c>
      <c r="AB90" s="6">
        <v>275</v>
      </c>
      <c r="AC90" s="6">
        <v>315</v>
      </c>
      <c r="AD90" s="6">
        <v>309</v>
      </c>
      <c r="AE90" s="6">
        <v>348</v>
      </c>
      <c r="AF90" s="6">
        <v>353</v>
      </c>
      <c r="AG90" s="6">
        <v>374</v>
      </c>
      <c r="AH90" s="6">
        <v>371</v>
      </c>
      <c r="AI90" s="6">
        <v>346</v>
      </c>
      <c r="AJ90" s="6">
        <v>351</v>
      </c>
      <c r="AK90" s="6">
        <v>339</v>
      </c>
      <c r="AL90" s="6">
        <v>364</v>
      </c>
      <c r="AM90" s="6">
        <v>369</v>
      </c>
      <c r="AN90" s="6">
        <v>419</v>
      </c>
      <c r="AO90" s="6">
        <v>486</v>
      </c>
    </row>
    <row r="91" spans="1:41" ht="15.75" x14ac:dyDescent="0.25">
      <c r="A91" s="4" t="s">
        <v>116</v>
      </c>
      <c r="B91" s="6">
        <v>-1</v>
      </c>
      <c r="C91" s="6">
        <v>12</v>
      </c>
      <c r="D91" s="6">
        <v>308</v>
      </c>
      <c r="E91" s="6">
        <v>-6</v>
      </c>
      <c r="F91" s="6">
        <v>9</v>
      </c>
      <c r="G91" s="6">
        <v>-1</v>
      </c>
      <c r="H91" s="6">
        <v>8</v>
      </c>
      <c r="I91" s="6">
        <v>-1</v>
      </c>
      <c r="J91" s="6">
        <v>2</v>
      </c>
      <c r="K91" s="6">
        <v>-2</v>
      </c>
      <c r="L91" s="6">
        <v>9</v>
      </c>
      <c r="M91" s="6">
        <v>-2</v>
      </c>
      <c r="N91" s="6">
        <v>7</v>
      </c>
      <c r="O91" s="6">
        <v>-3</v>
      </c>
      <c r="P91" s="6">
        <v>31</v>
      </c>
      <c r="Q91" s="6">
        <v>132</v>
      </c>
      <c r="R91" s="6">
        <v>3</v>
      </c>
      <c r="S91" s="6">
        <v>5</v>
      </c>
      <c r="T91" s="6">
        <v>43</v>
      </c>
      <c r="U91" s="6">
        <v>-1212</v>
      </c>
      <c r="V91" s="6">
        <v>78</v>
      </c>
      <c r="W91" s="6">
        <v>72</v>
      </c>
      <c r="X91" s="6">
        <v>56</v>
      </c>
      <c r="Y91" s="6">
        <v>102</v>
      </c>
      <c r="Z91" s="6">
        <v>-255</v>
      </c>
      <c r="AA91" s="6">
        <v>-182</v>
      </c>
      <c r="AB91" s="6">
        <v>-713</v>
      </c>
      <c r="AC91" s="6">
        <v>-180</v>
      </c>
      <c r="AD91" s="6">
        <v>-303</v>
      </c>
      <c r="AE91" s="6">
        <v>-287</v>
      </c>
      <c r="AF91" s="6">
        <v>-241</v>
      </c>
      <c r="AG91" s="6">
        <v>-242</v>
      </c>
      <c r="AH91" s="6">
        <v>3</v>
      </c>
      <c r="AI91" s="6">
        <v>-179</v>
      </c>
      <c r="AJ91" s="6">
        <v>-590</v>
      </c>
      <c r="AK91" s="6">
        <v>-207</v>
      </c>
      <c r="AL91" s="6">
        <v>-128</v>
      </c>
      <c r="AM91" s="6">
        <v>-1000</v>
      </c>
      <c r="AN91" s="6">
        <v>80</v>
      </c>
      <c r="AO91" s="6">
        <v>1283</v>
      </c>
    </row>
    <row r="92" spans="1:41" ht="15.75" x14ac:dyDescent="0.25">
      <c r="A92" s="4" t="s">
        <v>117</v>
      </c>
      <c r="B92" s="6">
        <v>26</v>
      </c>
      <c r="C92" s="6">
        <v>-164</v>
      </c>
      <c r="D92" s="6">
        <v>31</v>
      </c>
      <c r="E92" s="6">
        <v>329</v>
      </c>
      <c r="F92" s="6">
        <v>-395</v>
      </c>
      <c r="G92" s="6">
        <v>-43</v>
      </c>
      <c r="H92" s="6">
        <v>-89</v>
      </c>
      <c r="I92" s="6">
        <v>424</v>
      </c>
      <c r="J92" s="6">
        <v>-295</v>
      </c>
      <c r="K92" s="6">
        <v>-398</v>
      </c>
      <c r="L92" s="6">
        <v>-110</v>
      </c>
      <c r="M92" s="6">
        <v>-3</v>
      </c>
      <c r="N92" s="6">
        <v>-5</v>
      </c>
      <c r="O92" s="6">
        <v>-93</v>
      </c>
      <c r="P92" s="6">
        <v>-60</v>
      </c>
      <c r="Q92" s="6">
        <v>-465</v>
      </c>
      <c r="R92" s="6">
        <v>168</v>
      </c>
      <c r="S92" s="6">
        <v>-104</v>
      </c>
      <c r="T92" s="6">
        <v>-351</v>
      </c>
      <c r="U92" s="6">
        <v>68</v>
      </c>
      <c r="V92" s="6">
        <v>-112</v>
      </c>
      <c r="W92" s="6">
        <v>158</v>
      </c>
      <c r="X92" s="6">
        <v>-204</v>
      </c>
      <c r="Y92" s="6">
        <v>-482</v>
      </c>
      <c r="Z92" s="6">
        <v>-672</v>
      </c>
      <c r="AA92" s="6">
        <v>-344</v>
      </c>
      <c r="AB92" s="6">
        <v>-285</v>
      </c>
      <c r="AC92" s="6">
        <v>210</v>
      </c>
      <c r="AD92" s="6">
        <v>86</v>
      </c>
      <c r="AE92" s="6">
        <v>-272</v>
      </c>
      <c r="AF92" s="6">
        <v>-743</v>
      </c>
      <c r="AG92" s="6">
        <v>-410</v>
      </c>
      <c r="AH92" s="6">
        <v>913</v>
      </c>
      <c r="AI92" s="6">
        <v>-661</v>
      </c>
      <c r="AJ92" s="6">
        <v>-2213</v>
      </c>
      <c r="AK92" s="6">
        <v>96</v>
      </c>
      <c r="AL92" s="6">
        <v>748</v>
      </c>
      <c r="AM92" s="6">
        <v>330</v>
      </c>
      <c r="AN92" s="6">
        <v>-1085</v>
      </c>
      <c r="AO92" s="6">
        <v>-114</v>
      </c>
    </row>
    <row r="93" spans="1:41" ht="15.75" x14ac:dyDescent="0.25">
      <c r="A93" s="4" t="s">
        <v>118</v>
      </c>
      <c r="B93" s="6">
        <v>3</v>
      </c>
      <c r="C93" s="6">
        <v>-69</v>
      </c>
      <c r="D93" s="6">
        <v>-28</v>
      </c>
      <c r="E93" s="6">
        <v>21</v>
      </c>
      <c r="F93" s="6">
        <v>76</v>
      </c>
      <c r="G93" s="6">
        <v>-43</v>
      </c>
      <c r="H93" s="6">
        <v>-28</v>
      </c>
      <c r="I93" s="6">
        <v>-8</v>
      </c>
      <c r="J93" s="6">
        <v>-21</v>
      </c>
      <c r="K93" s="6">
        <v>-35</v>
      </c>
      <c r="L93" s="6">
        <v>12</v>
      </c>
      <c r="M93" s="6">
        <v>-107</v>
      </c>
      <c r="N93" s="6">
        <v>-110</v>
      </c>
      <c r="O93" s="6">
        <v>-60</v>
      </c>
      <c r="P93" s="6">
        <v>-25</v>
      </c>
      <c r="Q93" s="6">
        <v>58</v>
      </c>
      <c r="R93" s="6">
        <v>-74</v>
      </c>
      <c r="S93" s="6">
        <v>-268</v>
      </c>
      <c r="T93" s="6">
        <v>32</v>
      </c>
      <c r="U93" s="6">
        <v>-107</v>
      </c>
      <c r="V93" s="6">
        <v>-254</v>
      </c>
      <c r="W93" s="6">
        <v>-112</v>
      </c>
      <c r="X93" s="6">
        <v>-138</v>
      </c>
      <c r="Y93" s="6">
        <v>-52</v>
      </c>
      <c r="Z93" s="6">
        <v>-26</v>
      </c>
      <c r="AA93" s="6">
        <v>-248</v>
      </c>
      <c r="AB93" s="6">
        <v>-723</v>
      </c>
      <c r="AC93" s="6">
        <v>-404</v>
      </c>
      <c r="AD93" s="6">
        <v>-464</v>
      </c>
      <c r="AE93" s="6">
        <v>-332</v>
      </c>
      <c r="AF93" s="6">
        <v>122</v>
      </c>
      <c r="AG93" s="6">
        <v>94</v>
      </c>
      <c r="AH93" s="6">
        <v>-368</v>
      </c>
      <c r="AI93" s="6">
        <v>-342</v>
      </c>
      <c r="AJ93" s="6">
        <v>-386</v>
      </c>
      <c r="AK93" s="6">
        <v>-362</v>
      </c>
      <c r="AL93" s="6">
        <v>-682</v>
      </c>
      <c r="AM93" s="6">
        <v>-261</v>
      </c>
      <c r="AN93" s="6">
        <v>-636</v>
      </c>
      <c r="AO93" s="6">
        <v>-610</v>
      </c>
    </row>
    <row r="94" spans="1:41" ht="15.75" x14ac:dyDescent="0.25">
      <c r="A94" s="4" t="s">
        <v>119</v>
      </c>
      <c r="B94" s="6">
        <v>-27</v>
      </c>
      <c r="C94" s="6">
        <v>280</v>
      </c>
      <c r="D94" s="6">
        <v>-102</v>
      </c>
      <c r="E94" s="6">
        <v>-93</v>
      </c>
      <c r="F94" s="6">
        <v>60</v>
      </c>
      <c r="G94" s="6">
        <v>-62</v>
      </c>
      <c r="H94" s="6">
        <v>13</v>
      </c>
      <c r="I94" s="6">
        <v>-5</v>
      </c>
      <c r="J94" s="6">
        <v>39</v>
      </c>
      <c r="K94" s="6">
        <v>98</v>
      </c>
      <c r="L94" s="6">
        <v>65</v>
      </c>
      <c r="M94" s="6">
        <v>91</v>
      </c>
      <c r="N94" s="6">
        <v>-208</v>
      </c>
      <c r="O94" s="6">
        <v>21</v>
      </c>
      <c r="P94" s="6">
        <v>8</v>
      </c>
      <c r="Q94" s="6">
        <v>332</v>
      </c>
      <c r="R94" s="6">
        <v>-369</v>
      </c>
      <c r="S94" s="6">
        <v>168</v>
      </c>
      <c r="T94" s="6">
        <v>-31</v>
      </c>
      <c r="U94" s="6">
        <v>-281</v>
      </c>
      <c r="V94" s="6">
        <v>466</v>
      </c>
      <c r="W94" s="6">
        <v>-120</v>
      </c>
      <c r="X94" s="6">
        <v>180</v>
      </c>
      <c r="Y94" s="6">
        <v>275</v>
      </c>
      <c r="Z94" s="6">
        <v>4</v>
      </c>
      <c r="AA94" s="6">
        <v>24</v>
      </c>
      <c r="AB94" s="6">
        <v>783</v>
      </c>
      <c r="AC94" s="6">
        <v>120</v>
      </c>
      <c r="AD94" s="6">
        <v>73</v>
      </c>
      <c r="AE94" s="6">
        <v>236</v>
      </c>
      <c r="AF94" s="6">
        <v>-547</v>
      </c>
      <c r="AG94" s="6">
        <v>-181</v>
      </c>
      <c r="AH94" s="6">
        <v>-561</v>
      </c>
      <c r="AI94" s="6">
        <v>262</v>
      </c>
      <c r="AJ94" s="6">
        <v>873</v>
      </c>
      <c r="AK94" s="6">
        <v>-571</v>
      </c>
      <c r="AL94" s="6">
        <v>-289</v>
      </c>
      <c r="AM94" s="6">
        <v>836</v>
      </c>
      <c r="AN94" s="6">
        <v>451</v>
      </c>
      <c r="AO94" s="6">
        <v>-588</v>
      </c>
    </row>
    <row r="95" spans="1:41" ht="15.75" x14ac:dyDescent="0.25">
      <c r="A95" s="4" t="s">
        <v>120</v>
      </c>
      <c r="B95" s="6">
        <v>17</v>
      </c>
      <c r="C95" s="6">
        <v>-114</v>
      </c>
      <c r="D95" s="6">
        <v>166</v>
      </c>
      <c r="E95" s="6">
        <v>-96</v>
      </c>
      <c r="F95" s="6">
        <v>-82</v>
      </c>
      <c r="G95" s="6">
        <v>41</v>
      </c>
      <c r="H95" s="6">
        <v>30</v>
      </c>
      <c r="I95" s="6">
        <v>-133</v>
      </c>
      <c r="J95" s="6">
        <v>1</v>
      </c>
      <c r="K95" s="6">
        <v>81</v>
      </c>
      <c r="L95" s="6">
        <v>-88</v>
      </c>
      <c r="M95" s="6">
        <v>-57</v>
      </c>
      <c r="N95" s="6">
        <v>-24</v>
      </c>
      <c r="O95" s="6">
        <v>13</v>
      </c>
      <c r="P95" s="6">
        <v>4</v>
      </c>
      <c r="Q95" s="6">
        <v>72</v>
      </c>
      <c r="R95" s="6">
        <v>-114</v>
      </c>
      <c r="S95" s="6">
        <v>131</v>
      </c>
      <c r="T95" s="6">
        <v>82</v>
      </c>
      <c r="U95" s="6">
        <v>119</v>
      </c>
      <c r="V95" s="6">
        <v>-43</v>
      </c>
      <c r="W95" s="6">
        <v>40</v>
      </c>
      <c r="X95" s="6">
        <v>-119</v>
      </c>
      <c r="Y95" s="6">
        <v>-257</v>
      </c>
      <c r="Z95" s="6">
        <v>272</v>
      </c>
      <c r="AA95" s="6">
        <v>-162</v>
      </c>
      <c r="AB95" s="6">
        <v>371</v>
      </c>
      <c r="AC95" s="6">
        <v>-766</v>
      </c>
      <c r="AD95" s="6">
        <v>-82</v>
      </c>
      <c r="AE95" s="6">
        <v>-214</v>
      </c>
      <c r="AF95" s="6">
        <v>330</v>
      </c>
      <c r="AG95" s="6">
        <v>-745</v>
      </c>
      <c r="AH95" s="6">
        <v>-744</v>
      </c>
      <c r="AI95" s="6">
        <v>133</v>
      </c>
      <c r="AJ95" s="6">
        <v>1066</v>
      </c>
      <c r="AK95" s="6">
        <v>767</v>
      </c>
      <c r="AL95" s="6">
        <v>-525</v>
      </c>
      <c r="AM95" s="6">
        <v>-441</v>
      </c>
      <c r="AN95" s="6">
        <v>562</v>
      </c>
      <c r="AO95" s="6">
        <v>-74</v>
      </c>
    </row>
    <row r="96" spans="1:41" ht="15.75" x14ac:dyDescent="0.25">
      <c r="A96" s="7" t="s">
        <v>121</v>
      </c>
      <c r="B96" s="8">
        <f>SUM(B83:B95)</f>
        <v>-42</v>
      </c>
      <c r="C96" s="8">
        <f t="shared" ref="C96:AO96" si="19">SUM(C83:C95)</f>
        <v>-85</v>
      </c>
      <c r="D96" s="8">
        <f t="shared" si="19"/>
        <v>29</v>
      </c>
      <c r="E96" s="8">
        <f t="shared" si="19"/>
        <v>188</v>
      </c>
      <c r="F96" s="8">
        <f t="shared" si="19"/>
        <v>-299</v>
      </c>
      <c r="G96" s="8">
        <f t="shared" si="19"/>
        <v>-82</v>
      </c>
      <c r="H96" s="8">
        <f t="shared" si="19"/>
        <v>69</v>
      </c>
      <c r="I96" s="8">
        <f t="shared" si="19"/>
        <v>324</v>
      </c>
      <c r="J96" s="8">
        <f t="shared" si="19"/>
        <v>-107</v>
      </c>
      <c r="K96" s="8">
        <f t="shared" si="19"/>
        <v>-55</v>
      </c>
      <c r="L96" s="8">
        <f t="shared" si="19"/>
        <v>76</v>
      </c>
      <c r="M96" s="8">
        <f t="shared" si="19"/>
        <v>120</v>
      </c>
      <c r="N96" s="8">
        <f t="shared" si="19"/>
        <v>-213</v>
      </c>
      <c r="O96" s="8">
        <f t="shared" si="19"/>
        <v>30</v>
      </c>
      <c r="P96" s="8">
        <f t="shared" si="19"/>
        <v>234</v>
      </c>
      <c r="Q96" s="8">
        <f t="shared" si="19"/>
        <v>442</v>
      </c>
      <c r="R96" s="8">
        <f t="shared" si="19"/>
        <v>-65</v>
      </c>
      <c r="S96" s="8">
        <f t="shared" si="19"/>
        <v>243</v>
      </c>
      <c r="T96" s="8">
        <f t="shared" si="19"/>
        <v>339</v>
      </c>
      <c r="U96" s="8">
        <f t="shared" si="19"/>
        <v>554</v>
      </c>
      <c r="V96" s="8">
        <f t="shared" si="19"/>
        <v>898</v>
      </c>
      <c r="W96" s="8">
        <f t="shared" si="19"/>
        <v>952</v>
      </c>
      <c r="X96" s="8">
        <f t="shared" si="19"/>
        <v>849</v>
      </c>
      <c r="Y96" s="8">
        <f t="shared" si="19"/>
        <v>822</v>
      </c>
      <c r="Z96" s="8">
        <f t="shared" si="19"/>
        <v>995</v>
      </c>
      <c r="AA96" s="8">
        <f t="shared" si="19"/>
        <v>1038</v>
      </c>
      <c r="AB96" s="8">
        <f t="shared" si="19"/>
        <v>965</v>
      </c>
      <c r="AC96" s="8">
        <f t="shared" si="19"/>
        <v>567</v>
      </c>
      <c r="AD96" s="8">
        <f t="shared" si="19"/>
        <v>486</v>
      </c>
      <c r="AE96" s="8">
        <f t="shared" si="19"/>
        <v>379</v>
      </c>
      <c r="AF96" s="8">
        <f t="shared" si="19"/>
        <v>421</v>
      </c>
      <c r="AG96" s="8">
        <f t="shared" si="19"/>
        <v>381</v>
      </c>
      <c r="AH96" s="8">
        <f t="shared" si="19"/>
        <v>521</v>
      </c>
      <c r="AI96" s="8">
        <f t="shared" si="19"/>
        <v>593</v>
      </c>
      <c r="AJ96" s="8">
        <f t="shared" si="19"/>
        <v>628</v>
      </c>
      <c r="AK96" s="8">
        <f t="shared" si="19"/>
        <v>1299</v>
      </c>
      <c r="AL96" s="8">
        <f t="shared" si="19"/>
        <v>939</v>
      </c>
      <c r="AM96" s="8">
        <f t="shared" si="19"/>
        <v>1462</v>
      </c>
      <c r="AN96" s="8">
        <f t="shared" si="19"/>
        <v>1788</v>
      </c>
      <c r="AO96" s="8">
        <f t="shared" si="19"/>
        <v>2304</v>
      </c>
    </row>
    <row r="97" spans="1:41" ht="15.75" x14ac:dyDescent="0.25">
      <c r="A97" s="4" t="s">
        <v>122</v>
      </c>
      <c r="B97" s="6">
        <v>-26</v>
      </c>
      <c r="C97" s="6">
        <v>-21</v>
      </c>
      <c r="D97" s="6">
        <v>-9</v>
      </c>
      <c r="E97" s="6">
        <v>-21</v>
      </c>
      <c r="F97" s="6">
        <v>-23</v>
      </c>
      <c r="G97" s="6">
        <v>-12</v>
      </c>
      <c r="H97" s="6">
        <v>-34</v>
      </c>
      <c r="I97" s="6">
        <v>-44</v>
      </c>
      <c r="J97" s="6">
        <v>-46</v>
      </c>
      <c r="K97" s="6">
        <v>-43</v>
      </c>
      <c r="L97" s="6">
        <v>-33</v>
      </c>
      <c r="M97" s="6">
        <v>-41</v>
      </c>
      <c r="N97" s="6">
        <v>-62</v>
      </c>
      <c r="O97" s="6">
        <v>-58</v>
      </c>
      <c r="P97" s="6">
        <v>-55</v>
      </c>
      <c r="Q97" s="6">
        <v>-42</v>
      </c>
      <c r="R97" s="6">
        <v>-55</v>
      </c>
      <c r="S97" s="6">
        <v>-91</v>
      </c>
      <c r="T97" s="6">
        <v>-74</v>
      </c>
      <c r="U97" s="6">
        <v>-74</v>
      </c>
      <c r="V97" s="6">
        <v>-66</v>
      </c>
      <c r="W97" s="6">
        <v>-64</v>
      </c>
      <c r="X97" s="6">
        <v>-85</v>
      </c>
      <c r="Y97" s="6">
        <v>-86</v>
      </c>
      <c r="Z97" s="6">
        <v>-71</v>
      </c>
      <c r="AA97" s="6">
        <v>-132</v>
      </c>
      <c r="AB97" s="6">
        <v>-123</v>
      </c>
      <c r="AC97" s="6">
        <v>-124</v>
      </c>
      <c r="AD97" s="6">
        <v>-158</v>
      </c>
      <c r="AE97" s="6">
        <v>-125</v>
      </c>
      <c r="AF97" s="6">
        <v>-124</v>
      </c>
      <c r="AG97" s="6">
        <v>-139</v>
      </c>
      <c r="AH97" s="6">
        <v>-142</v>
      </c>
      <c r="AI97" s="6">
        <v>-154</v>
      </c>
      <c r="AJ97" s="6">
        <v>-132</v>
      </c>
      <c r="AK97" s="6">
        <v>-208</v>
      </c>
      <c r="AL97" s="6">
        <v>-212</v>
      </c>
      <c r="AM97" s="6">
        <v>-282</v>
      </c>
      <c r="AN97" s="6">
        <v>-258</v>
      </c>
      <c r="AO97" s="6">
        <v>-222</v>
      </c>
    </row>
    <row r="98" spans="1:41" ht="15.75" x14ac:dyDescent="0.25">
      <c r="A98" s="4" t="s">
        <v>123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2366</v>
      </c>
      <c r="AA98" s="6">
        <v>-1558</v>
      </c>
      <c r="AB98" s="6">
        <v>0</v>
      </c>
      <c r="AC98" s="6">
        <v>14</v>
      </c>
      <c r="AD98" s="6">
        <v>0</v>
      </c>
      <c r="AE98" s="6">
        <v>0</v>
      </c>
      <c r="AF98" s="6">
        <v>-14</v>
      </c>
      <c r="AG98" s="6">
        <v>-117</v>
      </c>
      <c r="AH98" s="6">
        <v>0</v>
      </c>
      <c r="AI98" s="6">
        <v>0</v>
      </c>
      <c r="AJ98" s="6">
        <v>-548</v>
      </c>
      <c r="AK98" s="6">
        <v>0</v>
      </c>
      <c r="AL98" s="6">
        <v>0</v>
      </c>
      <c r="AM98" s="6">
        <v>-1716</v>
      </c>
      <c r="AN98" s="6">
        <v>0</v>
      </c>
      <c r="AO98" s="6">
        <v>-44</v>
      </c>
    </row>
    <row r="99" spans="1:41" ht="15.75" x14ac:dyDescent="0.25">
      <c r="A99" s="4" t="s">
        <v>124</v>
      </c>
      <c r="B99" s="6">
        <v>0</v>
      </c>
      <c r="C99" s="6">
        <v>351</v>
      </c>
      <c r="D99" s="6">
        <v>-5</v>
      </c>
      <c r="E99" s="6">
        <v>-4</v>
      </c>
      <c r="F99" s="6">
        <v>-221</v>
      </c>
      <c r="G99" s="6">
        <v>137</v>
      </c>
      <c r="H99" s="6">
        <v>84</v>
      </c>
      <c r="I99" s="6">
        <v>1</v>
      </c>
      <c r="J99" s="6">
        <v>0</v>
      </c>
      <c r="K99" s="6">
        <v>-35</v>
      </c>
      <c r="L99" s="6">
        <v>25</v>
      </c>
      <c r="M99" s="6">
        <v>-68</v>
      </c>
      <c r="N99" s="6">
        <v>-138</v>
      </c>
      <c r="O99" s="6">
        <v>51</v>
      </c>
      <c r="P99" s="6">
        <v>112</v>
      </c>
      <c r="Q99" s="6">
        <v>16</v>
      </c>
      <c r="R99" s="6">
        <v>-18</v>
      </c>
      <c r="S99" s="6">
        <v>55</v>
      </c>
      <c r="T99" s="6">
        <v>-475</v>
      </c>
      <c r="U99" s="6">
        <v>-220</v>
      </c>
      <c r="V99" s="6">
        <v>-658</v>
      </c>
      <c r="W99" s="6">
        <v>183</v>
      </c>
      <c r="X99" s="6">
        <v>2</v>
      </c>
      <c r="Y99" s="6">
        <v>95</v>
      </c>
      <c r="Z99" s="6">
        <v>864</v>
      </c>
      <c r="AA99" s="6">
        <v>765</v>
      </c>
      <c r="AB99" s="6">
        <v>-1164</v>
      </c>
      <c r="AC99" s="6">
        <v>1178</v>
      </c>
      <c r="AD99" s="6">
        <v>-1085</v>
      </c>
      <c r="AE99" s="6">
        <v>-312</v>
      </c>
      <c r="AF99" s="6">
        <v>250</v>
      </c>
      <c r="AG99" s="6">
        <v>401</v>
      </c>
      <c r="AH99" s="6">
        <v>6</v>
      </c>
      <c r="AI99" s="6">
        <v>539</v>
      </c>
      <c r="AJ99" s="6">
        <v>559</v>
      </c>
      <c r="AK99" s="6">
        <v>-906</v>
      </c>
      <c r="AL99" s="6">
        <v>-145</v>
      </c>
      <c r="AM99" s="6">
        <v>-278</v>
      </c>
      <c r="AN99" s="6">
        <v>-1071</v>
      </c>
      <c r="AO99" s="6">
        <v>-2633</v>
      </c>
    </row>
    <row r="100" spans="1:41" ht="15.75" x14ac:dyDescent="0.25">
      <c r="A100" s="4" t="s">
        <v>125</v>
      </c>
      <c r="B100" s="6">
        <v>0</v>
      </c>
      <c r="C100" s="6">
        <v>-1</v>
      </c>
      <c r="D100" s="6">
        <v>4</v>
      </c>
      <c r="E100" s="6">
        <v>-1</v>
      </c>
      <c r="F100" s="6">
        <v>-2</v>
      </c>
      <c r="G100" s="6">
        <v>-1</v>
      </c>
      <c r="H100" s="6">
        <v>1</v>
      </c>
      <c r="I100" s="6">
        <v>60</v>
      </c>
      <c r="J100" s="6">
        <v>21</v>
      </c>
      <c r="K100" s="6">
        <v>10</v>
      </c>
      <c r="L100" s="6">
        <v>19</v>
      </c>
      <c r="M100" s="6">
        <v>21</v>
      </c>
      <c r="N100" s="6">
        <v>27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2</v>
      </c>
      <c r="W100" s="6">
        <v>0</v>
      </c>
      <c r="X100" s="6">
        <v>0</v>
      </c>
      <c r="Y100" s="6">
        <v>-9</v>
      </c>
      <c r="Z100" s="6">
        <v>-1</v>
      </c>
      <c r="AA100" s="6">
        <v>-3</v>
      </c>
      <c r="AB100" s="6">
        <v>-11</v>
      </c>
      <c r="AC100" s="6">
        <v>-1</v>
      </c>
      <c r="AD100" s="6">
        <v>6</v>
      </c>
      <c r="AE100" s="6">
        <v>-1</v>
      </c>
      <c r="AF100" s="6">
        <v>-10</v>
      </c>
      <c r="AG100" s="6">
        <v>5</v>
      </c>
      <c r="AH100" s="6">
        <v>1</v>
      </c>
      <c r="AI100" s="6">
        <v>1</v>
      </c>
      <c r="AJ100" s="6">
        <v>-17</v>
      </c>
      <c r="AK100" s="6">
        <v>-100</v>
      </c>
      <c r="AL100" s="6">
        <v>0</v>
      </c>
      <c r="AM100" s="6">
        <v>-22</v>
      </c>
      <c r="AN100" s="6">
        <v>-8</v>
      </c>
      <c r="AO100" s="6">
        <v>1358</v>
      </c>
    </row>
    <row r="101" spans="1:41" ht="15.75" x14ac:dyDescent="0.25">
      <c r="A101" s="7" t="s">
        <v>126</v>
      </c>
      <c r="B101" s="8">
        <f>SUM(B97:B100)</f>
        <v>-26</v>
      </c>
      <c r="C101" s="8">
        <f t="shared" ref="C101:AO101" si="20">SUM(C97:C100)</f>
        <v>329</v>
      </c>
      <c r="D101" s="8">
        <f t="shared" si="20"/>
        <v>-10</v>
      </c>
      <c r="E101" s="8">
        <f t="shared" si="20"/>
        <v>-26</v>
      </c>
      <c r="F101" s="8">
        <f t="shared" si="20"/>
        <v>-246</v>
      </c>
      <c r="G101" s="8">
        <f t="shared" si="20"/>
        <v>124</v>
      </c>
      <c r="H101" s="8">
        <f t="shared" si="20"/>
        <v>51</v>
      </c>
      <c r="I101" s="8">
        <f t="shared" si="20"/>
        <v>17</v>
      </c>
      <c r="J101" s="8">
        <f t="shared" si="20"/>
        <v>-25</v>
      </c>
      <c r="K101" s="8">
        <f t="shared" si="20"/>
        <v>-68</v>
      </c>
      <c r="L101" s="8">
        <f t="shared" si="20"/>
        <v>11</v>
      </c>
      <c r="M101" s="8">
        <f t="shared" si="20"/>
        <v>-88</v>
      </c>
      <c r="N101" s="8">
        <f t="shared" si="20"/>
        <v>-173</v>
      </c>
      <c r="O101" s="8">
        <f t="shared" si="20"/>
        <v>-7</v>
      </c>
      <c r="P101" s="8">
        <f t="shared" si="20"/>
        <v>57</v>
      </c>
      <c r="Q101" s="8">
        <f t="shared" si="20"/>
        <v>-26</v>
      </c>
      <c r="R101" s="8">
        <f t="shared" si="20"/>
        <v>-73</v>
      </c>
      <c r="S101" s="8">
        <f t="shared" si="20"/>
        <v>-36</v>
      </c>
      <c r="T101" s="8">
        <f t="shared" si="20"/>
        <v>-549</v>
      </c>
      <c r="U101" s="8">
        <f t="shared" si="20"/>
        <v>-294</v>
      </c>
      <c r="V101" s="8">
        <f t="shared" si="20"/>
        <v>-722</v>
      </c>
      <c r="W101" s="8">
        <f t="shared" si="20"/>
        <v>119</v>
      </c>
      <c r="X101" s="8">
        <f t="shared" si="20"/>
        <v>-83</v>
      </c>
      <c r="Y101" s="8">
        <f t="shared" si="20"/>
        <v>0</v>
      </c>
      <c r="Z101" s="8">
        <f t="shared" si="20"/>
        <v>3158</v>
      </c>
      <c r="AA101" s="8">
        <f t="shared" si="20"/>
        <v>-928</v>
      </c>
      <c r="AB101" s="8">
        <f t="shared" si="20"/>
        <v>-1298</v>
      </c>
      <c r="AC101" s="8">
        <f t="shared" si="20"/>
        <v>1067</v>
      </c>
      <c r="AD101" s="8">
        <f t="shared" si="20"/>
        <v>-1237</v>
      </c>
      <c r="AE101" s="8">
        <f t="shared" si="20"/>
        <v>-438</v>
      </c>
      <c r="AF101" s="8">
        <f t="shared" si="20"/>
        <v>102</v>
      </c>
      <c r="AG101" s="8">
        <f t="shared" si="20"/>
        <v>150</v>
      </c>
      <c r="AH101" s="8">
        <f t="shared" si="20"/>
        <v>-135</v>
      </c>
      <c r="AI101" s="8">
        <f t="shared" si="20"/>
        <v>386</v>
      </c>
      <c r="AJ101" s="8">
        <f t="shared" si="20"/>
        <v>-138</v>
      </c>
      <c r="AK101" s="8">
        <f t="shared" si="20"/>
        <v>-1214</v>
      </c>
      <c r="AL101" s="8">
        <f t="shared" si="20"/>
        <v>-357</v>
      </c>
      <c r="AM101" s="8">
        <f t="shared" si="20"/>
        <v>-2298</v>
      </c>
      <c r="AN101" s="8">
        <f t="shared" si="20"/>
        <v>-1337</v>
      </c>
      <c r="AO101" s="8">
        <f t="shared" si="20"/>
        <v>-1541</v>
      </c>
    </row>
    <row r="102" spans="1:41" ht="15.75" x14ac:dyDescent="0.25">
      <c r="A102" s="4" t="s">
        <v>127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947</v>
      </c>
      <c r="AM102" s="6">
        <v>0</v>
      </c>
      <c r="AN102" s="6">
        <v>0</v>
      </c>
      <c r="AO102" s="6">
        <v>0</v>
      </c>
    </row>
    <row r="103" spans="1:41" ht="15.75" x14ac:dyDescent="0.25">
      <c r="A103" s="4" t="s">
        <v>128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1494</v>
      </c>
      <c r="AM103" s="6">
        <v>0</v>
      </c>
      <c r="AN103" s="6">
        <v>0</v>
      </c>
      <c r="AO103" s="6">
        <v>0</v>
      </c>
    </row>
    <row r="104" spans="1:41" ht="15.75" x14ac:dyDescent="0.25">
      <c r="A104" s="4" t="s">
        <v>129</v>
      </c>
      <c r="B104" s="6">
        <v>0</v>
      </c>
      <c r="C104" s="6">
        <v>0</v>
      </c>
      <c r="D104" s="6">
        <v>681</v>
      </c>
      <c r="E104" s="6">
        <v>101</v>
      </c>
      <c r="F104" s="6">
        <v>0</v>
      </c>
      <c r="G104" s="6">
        <v>42</v>
      </c>
      <c r="H104" s="6">
        <v>28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200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991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2441</v>
      </c>
      <c r="AM104" s="6">
        <v>0</v>
      </c>
      <c r="AN104" s="6">
        <v>0</v>
      </c>
      <c r="AO104" s="6">
        <v>0</v>
      </c>
    </row>
    <row r="105" spans="1:41" ht="15.75" x14ac:dyDescent="0.25">
      <c r="A105" s="4" t="s">
        <v>130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-14</v>
      </c>
      <c r="K105" s="6">
        <v>0</v>
      </c>
      <c r="L105" s="6">
        <v>0</v>
      </c>
      <c r="M105" s="6">
        <v>0</v>
      </c>
      <c r="N105" s="6">
        <v>-164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-950</v>
      </c>
      <c r="AN105" s="6">
        <v>0</v>
      </c>
      <c r="AO105" s="6">
        <v>0</v>
      </c>
    </row>
    <row r="106" spans="1:41" ht="15.75" x14ac:dyDescent="0.25">
      <c r="A106" s="4" t="s">
        <v>131</v>
      </c>
      <c r="B106" s="6">
        <v>0</v>
      </c>
      <c r="C106" s="6">
        <v>-4</v>
      </c>
      <c r="D106" s="6">
        <v>-1074</v>
      </c>
      <c r="E106" s="6">
        <v>-265</v>
      </c>
      <c r="F106" s="6">
        <v>0</v>
      </c>
      <c r="G106" s="6">
        <v>-42</v>
      </c>
      <c r="H106" s="6">
        <v>-28</v>
      </c>
      <c r="I106" s="6">
        <v>-40</v>
      </c>
      <c r="J106" s="6">
        <v>-14</v>
      </c>
      <c r="K106" s="6">
        <v>-1</v>
      </c>
      <c r="L106" s="6">
        <v>0</v>
      </c>
      <c r="M106" s="6">
        <v>-26</v>
      </c>
      <c r="N106" s="6">
        <v>-164</v>
      </c>
      <c r="O106" s="6">
        <v>-70</v>
      </c>
      <c r="P106" s="6">
        <v>-97</v>
      </c>
      <c r="Q106" s="6">
        <v>-142</v>
      </c>
      <c r="R106" s="6">
        <v>0</v>
      </c>
      <c r="S106" s="6">
        <v>0</v>
      </c>
      <c r="T106" s="6">
        <v>-200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-312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-750</v>
      </c>
      <c r="AJ106" s="6">
        <v>0</v>
      </c>
      <c r="AK106" s="6">
        <v>0</v>
      </c>
      <c r="AL106" s="6">
        <v>0</v>
      </c>
      <c r="AM106" s="6">
        <v>-950</v>
      </c>
      <c r="AN106" s="6">
        <v>0</v>
      </c>
      <c r="AO106" s="6">
        <v>0</v>
      </c>
    </row>
    <row r="107" spans="1:41" ht="15.75" x14ac:dyDescent="0.25">
      <c r="A107" s="7" t="s">
        <v>132</v>
      </c>
      <c r="B107" s="8">
        <f>SUM(B102:B106)</f>
        <v>0</v>
      </c>
      <c r="C107" s="8">
        <f t="shared" ref="C107:AO107" si="21">SUM(C102:C106)</f>
        <v>-4</v>
      </c>
      <c r="D107" s="8">
        <f t="shared" si="21"/>
        <v>-393</v>
      </c>
      <c r="E107" s="8">
        <f t="shared" si="21"/>
        <v>-164</v>
      </c>
      <c r="F107" s="8">
        <f t="shared" si="21"/>
        <v>0</v>
      </c>
      <c r="G107" s="8">
        <f t="shared" si="21"/>
        <v>0</v>
      </c>
      <c r="H107" s="8">
        <f t="shared" si="21"/>
        <v>0</v>
      </c>
      <c r="I107" s="8">
        <f t="shared" si="21"/>
        <v>-40</v>
      </c>
      <c r="J107" s="8">
        <f t="shared" si="21"/>
        <v>-28</v>
      </c>
      <c r="K107" s="8">
        <f t="shared" si="21"/>
        <v>-1</v>
      </c>
      <c r="L107" s="8">
        <f t="shared" si="21"/>
        <v>0</v>
      </c>
      <c r="M107" s="8">
        <f t="shared" si="21"/>
        <v>-26</v>
      </c>
      <c r="N107" s="8">
        <f t="shared" si="21"/>
        <v>-328</v>
      </c>
      <c r="O107" s="8">
        <f t="shared" si="21"/>
        <v>-70</v>
      </c>
      <c r="P107" s="8">
        <f t="shared" si="21"/>
        <v>-97</v>
      </c>
      <c r="Q107" s="8">
        <f t="shared" si="21"/>
        <v>-142</v>
      </c>
      <c r="R107" s="8">
        <f t="shared" si="21"/>
        <v>0</v>
      </c>
      <c r="S107" s="8">
        <f t="shared" si="21"/>
        <v>200</v>
      </c>
      <c r="T107" s="8">
        <f t="shared" si="21"/>
        <v>-200</v>
      </c>
      <c r="U107" s="8">
        <f t="shared" si="21"/>
        <v>0</v>
      </c>
      <c r="V107" s="8">
        <f t="shared" si="21"/>
        <v>0</v>
      </c>
      <c r="W107" s="8">
        <f t="shared" si="21"/>
        <v>0</v>
      </c>
      <c r="X107" s="8">
        <f t="shared" si="21"/>
        <v>0</v>
      </c>
      <c r="Y107" s="8">
        <f t="shared" si="21"/>
        <v>0</v>
      </c>
      <c r="Z107" s="8">
        <f t="shared" si="21"/>
        <v>0</v>
      </c>
      <c r="AA107" s="8">
        <f t="shared" si="21"/>
        <v>991</v>
      </c>
      <c r="AB107" s="8">
        <f t="shared" si="21"/>
        <v>-312</v>
      </c>
      <c r="AC107" s="8">
        <f t="shared" si="21"/>
        <v>0</v>
      </c>
      <c r="AD107" s="8">
        <f t="shared" si="21"/>
        <v>0</v>
      </c>
      <c r="AE107" s="8">
        <f t="shared" si="21"/>
        <v>0</v>
      </c>
      <c r="AF107" s="8">
        <f t="shared" si="21"/>
        <v>0</v>
      </c>
      <c r="AG107" s="8">
        <f t="shared" si="21"/>
        <v>0</v>
      </c>
      <c r="AH107" s="8">
        <f t="shared" si="21"/>
        <v>0</v>
      </c>
      <c r="AI107" s="8">
        <f t="shared" si="21"/>
        <v>-750</v>
      </c>
      <c r="AJ107" s="8">
        <f t="shared" si="21"/>
        <v>0</v>
      </c>
      <c r="AK107" s="8">
        <f t="shared" si="21"/>
        <v>0</v>
      </c>
      <c r="AL107" s="8">
        <f t="shared" si="21"/>
        <v>4882</v>
      </c>
      <c r="AM107" s="8">
        <f t="shared" si="21"/>
        <v>-1900</v>
      </c>
      <c r="AN107" s="8">
        <f t="shared" si="21"/>
        <v>0</v>
      </c>
      <c r="AO107" s="8">
        <f t="shared" si="21"/>
        <v>0</v>
      </c>
    </row>
    <row r="108" spans="1:41" ht="15.75" x14ac:dyDescent="0.25">
      <c r="A108" s="4" t="s">
        <v>133</v>
      </c>
      <c r="B108" s="6">
        <v>0</v>
      </c>
      <c r="C108" s="6">
        <v>2</v>
      </c>
      <c r="D108" s="6">
        <v>678</v>
      </c>
      <c r="E108" s="6">
        <v>7</v>
      </c>
      <c r="F108" s="6">
        <v>8</v>
      </c>
      <c r="G108" s="6">
        <v>2</v>
      </c>
      <c r="H108" s="6">
        <v>5</v>
      </c>
      <c r="I108" s="6">
        <v>5</v>
      </c>
      <c r="J108" s="6">
        <v>6</v>
      </c>
      <c r="K108" s="6">
        <v>29</v>
      </c>
      <c r="L108" s="6">
        <v>9</v>
      </c>
      <c r="M108" s="6">
        <v>26</v>
      </c>
      <c r="N108" s="6">
        <v>450</v>
      </c>
      <c r="O108" s="6">
        <v>34</v>
      </c>
      <c r="P108" s="6">
        <v>3</v>
      </c>
      <c r="Q108" s="6">
        <v>36</v>
      </c>
      <c r="R108" s="6">
        <v>3</v>
      </c>
      <c r="S108" s="6">
        <v>39</v>
      </c>
      <c r="T108" s="6">
        <v>3</v>
      </c>
      <c r="U108" s="6">
        <v>40</v>
      </c>
      <c r="V108" s="6">
        <v>2</v>
      </c>
      <c r="W108" s="6">
        <v>49</v>
      </c>
      <c r="X108" s="6">
        <v>4</v>
      </c>
      <c r="Y108" s="6">
        <v>49</v>
      </c>
      <c r="Z108" s="6">
        <v>2</v>
      </c>
      <c r="AA108" s="6">
        <v>76</v>
      </c>
      <c r="AB108" s="6">
        <v>1</v>
      </c>
      <c r="AC108" s="6">
        <v>88</v>
      </c>
      <c r="AD108" s="6">
        <v>3</v>
      </c>
      <c r="AE108" s="6">
        <v>141</v>
      </c>
      <c r="AF108" s="6">
        <v>4</v>
      </c>
      <c r="AG108" s="6">
        <v>120</v>
      </c>
      <c r="AH108" s="6">
        <v>5</v>
      </c>
      <c r="AI108" s="6">
        <v>143</v>
      </c>
      <c r="AJ108" s="6">
        <v>4</v>
      </c>
      <c r="AK108" s="6">
        <v>127</v>
      </c>
      <c r="AL108" s="6">
        <v>4</v>
      </c>
      <c r="AM108" s="6">
        <v>155</v>
      </c>
      <c r="AN108" s="6">
        <v>10</v>
      </c>
      <c r="AO108" s="6">
        <v>116</v>
      </c>
    </row>
    <row r="109" spans="1:41" ht="15.75" x14ac:dyDescent="0.25">
      <c r="A109" s="4" t="s">
        <v>134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-6</v>
      </c>
      <c r="Q109" s="6">
        <v>0</v>
      </c>
      <c r="R109" s="6">
        <v>-1</v>
      </c>
      <c r="S109" s="6">
        <v>0</v>
      </c>
      <c r="T109" s="6">
        <v>-72</v>
      </c>
      <c r="U109" s="6">
        <v>-5</v>
      </c>
      <c r="V109" s="6">
        <v>-10</v>
      </c>
      <c r="W109" s="6">
        <v>-260</v>
      </c>
      <c r="X109" s="6">
        <v>-953</v>
      </c>
      <c r="Y109" s="6">
        <v>-776</v>
      </c>
      <c r="Z109" s="6">
        <v>-1949</v>
      </c>
      <c r="AA109" s="6">
        <v>-952</v>
      </c>
      <c r="AB109" s="6">
        <v>-922</v>
      </c>
      <c r="AC109" s="6">
        <v>-285</v>
      </c>
      <c r="AD109" s="6">
        <v>-262</v>
      </c>
      <c r="AE109" s="6">
        <v>-66</v>
      </c>
      <c r="AF109" s="6">
        <v>-806</v>
      </c>
      <c r="AG109" s="6">
        <v>-278</v>
      </c>
      <c r="AH109" s="6">
        <v>-133</v>
      </c>
      <c r="AI109" s="6">
        <v>-449</v>
      </c>
      <c r="AJ109" s="6">
        <v>-710</v>
      </c>
      <c r="AK109" s="6">
        <v>-298</v>
      </c>
      <c r="AL109" s="6">
        <v>-779</v>
      </c>
      <c r="AM109" s="6">
        <v>-524</v>
      </c>
      <c r="AN109" s="6">
        <v>-460</v>
      </c>
      <c r="AO109" s="6">
        <v>-160</v>
      </c>
    </row>
    <row r="110" spans="1:41" ht="15.75" x14ac:dyDescent="0.25">
      <c r="A110" s="4" t="s">
        <v>135</v>
      </c>
      <c r="B110" s="6">
        <v>-1</v>
      </c>
      <c r="C110" s="6">
        <v>-1</v>
      </c>
      <c r="D110" s="6">
        <v>-3</v>
      </c>
      <c r="E110" s="6">
        <v>1</v>
      </c>
      <c r="F110" s="6">
        <v>-5</v>
      </c>
      <c r="G110" s="6">
        <v>-6</v>
      </c>
      <c r="H110" s="6">
        <v>-3</v>
      </c>
      <c r="I110" s="6">
        <v>1</v>
      </c>
      <c r="J110" s="6">
        <v>0</v>
      </c>
      <c r="K110" s="6">
        <v>0</v>
      </c>
      <c r="L110" s="6">
        <v>-1</v>
      </c>
      <c r="M110" s="6">
        <v>0</v>
      </c>
      <c r="N110" s="6">
        <v>0</v>
      </c>
      <c r="O110" s="6">
        <v>-2</v>
      </c>
      <c r="P110" s="6">
        <v>2</v>
      </c>
      <c r="Q110" s="6">
        <v>-1</v>
      </c>
      <c r="R110" s="6">
        <v>0</v>
      </c>
      <c r="S110" s="6">
        <v>-1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-1</v>
      </c>
      <c r="AA110" s="6">
        <v>-1</v>
      </c>
      <c r="AB110" s="6">
        <v>0</v>
      </c>
      <c r="AC110" s="6">
        <v>0</v>
      </c>
      <c r="AD110" s="6">
        <v>0</v>
      </c>
      <c r="AE110" s="6">
        <v>0</v>
      </c>
      <c r="AF110" s="6">
        <v>-1</v>
      </c>
      <c r="AG110" s="6">
        <v>-1</v>
      </c>
      <c r="AH110" s="6">
        <v>-1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-284</v>
      </c>
    </row>
    <row r="111" spans="1:41" ht="15.75" x14ac:dyDescent="0.25">
      <c r="A111" s="7" t="s">
        <v>136</v>
      </c>
      <c r="B111" s="8">
        <f>SUM(B107:B110)</f>
        <v>-1</v>
      </c>
      <c r="C111" s="8">
        <f t="shared" ref="C111:AO111" si="22">SUM(C107:C110)</f>
        <v>-3</v>
      </c>
      <c r="D111" s="8">
        <f t="shared" si="22"/>
        <v>282</v>
      </c>
      <c r="E111" s="8">
        <f t="shared" si="22"/>
        <v>-156</v>
      </c>
      <c r="F111" s="8">
        <f t="shared" si="22"/>
        <v>3</v>
      </c>
      <c r="G111" s="8">
        <f t="shared" si="22"/>
        <v>-4</v>
      </c>
      <c r="H111" s="8">
        <f t="shared" si="22"/>
        <v>2</v>
      </c>
      <c r="I111" s="8">
        <f t="shared" si="22"/>
        <v>-34</v>
      </c>
      <c r="J111" s="8">
        <f t="shared" si="22"/>
        <v>-22</v>
      </c>
      <c r="K111" s="8">
        <f t="shared" si="22"/>
        <v>28</v>
      </c>
      <c r="L111" s="8">
        <f t="shared" si="22"/>
        <v>8</v>
      </c>
      <c r="M111" s="8">
        <f t="shared" si="22"/>
        <v>0</v>
      </c>
      <c r="N111" s="8">
        <f t="shared" si="22"/>
        <v>122</v>
      </c>
      <c r="O111" s="8">
        <f t="shared" si="22"/>
        <v>-38</v>
      </c>
      <c r="P111" s="8">
        <f t="shared" si="22"/>
        <v>-98</v>
      </c>
      <c r="Q111" s="8">
        <f t="shared" si="22"/>
        <v>-107</v>
      </c>
      <c r="R111" s="8">
        <f t="shared" si="22"/>
        <v>2</v>
      </c>
      <c r="S111" s="8">
        <f t="shared" si="22"/>
        <v>238</v>
      </c>
      <c r="T111" s="8">
        <f t="shared" si="22"/>
        <v>-269</v>
      </c>
      <c r="U111" s="8">
        <f t="shared" si="22"/>
        <v>35</v>
      </c>
      <c r="V111" s="8">
        <f t="shared" si="22"/>
        <v>-8</v>
      </c>
      <c r="W111" s="8">
        <f t="shared" si="22"/>
        <v>-211</v>
      </c>
      <c r="X111" s="8">
        <f t="shared" si="22"/>
        <v>-949</v>
      </c>
      <c r="Y111" s="8">
        <f t="shared" si="22"/>
        <v>-727</v>
      </c>
      <c r="Z111" s="8">
        <f t="shared" si="22"/>
        <v>-1948</v>
      </c>
      <c r="AA111" s="8">
        <f t="shared" si="22"/>
        <v>114</v>
      </c>
      <c r="AB111" s="8">
        <f t="shared" si="22"/>
        <v>-1233</v>
      </c>
      <c r="AC111" s="8">
        <f t="shared" si="22"/>
        <v>-197</v>
      </c>
      <c r="AD111" s="8">
        <f t="shared" si="22"/>
        <v>-259</v>
      </c>
      <c r="AE111" s="8">
        <f t="shared" si="22"/>
        <v>75</v>
      </c>
      <c r="AF111" s="8">
        <f t="shared" si="22"/>
        <v>-803</v>
      </c>
      <c r="AG111" s="8">
        <f t="shared" si="22"/>
        <v>-159</v>
      </c>
      <c r="AH111" s="8">
        <f t="shared" si="22"/>
        <v>-129</v>
      </c>
      <c r="AI111" s="8">
        <f t="shared" si="22"/>
        <v>-1056</v>
      </c>
      <c r="AJ111" s="8">
        <f t="shared" si="22"/>
        <v>-706</v>
      </c>
      <c r="AK111" s="8">
        <f t="shared" si="22"/>
        <v>-171</v>
      </c>
      <c r="AL111" s="8">
        <f t="shared" si="22"/>
        <v>4107</v>
      </c>
      <c r="AM111" s="8">
        <f t="shared" si="22"/>
        <v>-2269</v>
      </c>
      <c r="AN111" s="8">
        <f t="shared" si="22"/>
        <v>-450</v>
      </c>
      <c r="AO111" s="8">
        <f t="shared" si="22"/>
        <v>-328</v>
      </c>
    </row>
    <row r="112" spans="1:41" ht="15.75" x14ac:dyDescent="0.25">
      <c r="A112" s="7" t="s">
        <v>137</v>
      </c>
      <c r="B112" s="8">
        <f>B111+B101+B96</f>
        <v>-69</v>
      </c>
      <c r="C112" s="8">
        <f t="shared" ref="C112:AO112" si="23">C111+C101+C96</f>
        <v>241</v>
      </c>
      <c r="D112" s="8">
        <f t="shared" si="23"/>
        <v>301</v>
      </c>
      <c r="E112" s="8">
        <f t="shared" si="23"/>
        <v>6</v>
      </c>
      <c r="F112" s="8">
        <f t="shared" si="23"/>
        <v>-542</v>
      </c>
      <c r="G112" s="8">
        <f t="shared" si="23"/>
        <v>38</v>
      </c>
      <c r="H112" s="8">
        <f t="shared" si="23"/>
        <v>122</v>
      </c>
      <c r="I112" s="8">
        <f t="shared" si="23"/>
        <v>307</v>
      </c>
      <c r="J112" s="8">
        <f t="shared" si="23"/>
        <v>-154</v>
      </c>
      <c r="K112" s="8">
        <f t="shared" si="23"/>
        <v>-95</v>
      </c>
      <c r="L112" s="8">
        <f t="shared" si="23"/>
        <v>95</v>
      </c>
      <c r="M112" s="8">
        <f t="shared" si="23"/>
        <v>32</v>
      </c>
      <c r="N112" s="8">
        <f t="shared" si="23"/>
        <v>-264</v>
      </c>
      <c r="O112" s="8">
        <f t="shared" si="23"/>
        <v>-15</v>
      </c>
      <c r="P112" s="8">
        <f t="shared" si="23"/>
        <v>193</v>
      </c>
      <c r="Q112" s="8">
        <f t="shared" si="23"/>
        <v>309</v>
      </c>
      <c r="R112" s="8">
        <f t="shared" si="23"/>
        <v>-136</v>
      </c>
      <c r="S112" s="8">
        <f t="shared" si="23"/>
        <v>445</v>
      </c>
      <c r="T112" s="8">
        <f t="shared" si="23"/>
        <v>-479</v>
      </c>
      <c r="U112" s="8">
        <f t="shared" si="23"/>
        <v>295</v>
      </c>
      <c r="V112" s="8">
        <f t="shared" si="23"/>
        <v>168</v>
      </c>
      <c r="W112" s="8">
        <f t="shared" si="23"/>
        <v>860</v>
      </c>
      <c r="X112" s="8">
        <f t="shared" si="23"/>
        <v>-183</v>
      </c>
      <c r="Y112" s="8">
        <f t="shared" si="23"/>
        <v>95</v>
      </c>
      <c r="Z112" s="8">
        <f t="shared" si="23"/>
        <v>2205</v>
      </c>
      <c r="AA112" s="8">
        <f t="shared" si="23"/>
        <v>224</v>
      </c>
      <c r="AB112" s="8">
        <f t="shared" si="23"/>
        <v>-1566</v>
      </c>
      <c r="AC112" s="8">
        <f t="shared" si="23"/>
        <v>1437</v>
      </c>
      <c r="AD112" s="8">
        <f t="shared" si="23"/>
        <v>-1010</v>
      </c>
      <c r="AE112" s="8">
        <f t="shared" si="23"/>
        <v>16</v>
      </c>
      <c r="AF112" s="8">
        <f t="shared" si="23"/>
        <v>-280</v>
      </c>
      <c r="AG112" s="8">
        <f t="shared" si="23"/>
        <v>372</v>
      </c>
      <c r="AH112" s="8">
        <f t="shared" si="23"/>
        <v>257</v>
      </c>
      <c r="AI112" s="8">
        <f t="shared" si="23"/>
        <v>-77</v>
      </c>
      <c r="AJ112" s="8">
        <f t="shared" si="23"/>
        <v>-216</v>
      </c>
      <c r="AK112" s="8">
        <f t="shared" si="23"/>
        <v>-86</v>
      </c>
      <c r="AL112" s="8">
        <f t="shared" si="23"/>
        <v>4689</v>
      </c>
      <c r="AM112" s="8">
        <f t="shared" si="23"/>
        <v>-3105</v>
      </c>
      <c r="AN112" s="8">
        <f t="shared" si="23"/>
        <v>1</v>
      </c>
      <c r="AO112" s="8">
        <f t="shared" si="23"/>
        <v>435</v>
      </c>
    </row>
    <row r="113" spans="1:41" ht="15.75" x14ac:dyDescent="0.25">
      <c r="A113" s="7" t="s">
        <v>151</v>
      </c>
      <c r="B113" s="8">
        <f>B96-B90+B97</f>
        <v>-84</v>
      </c>
      <c r="C113" s="8">
        <f t="shared" ref="C113:AO113" si="24">C96-C90+C97</f>
        <v>-124</v>
      </c>
      <c r="D113" s="8">
        <f t="shared" si="24"/>
        <v>-3</v>
      </c>
      <c r="E113" s="8">
        <f t="shared" si="24"/>
        <v>138</v>
      </c>
      <c r="F113" s="8">
        <f t="shared" si="24"/>
        <v>-345</v>
      </c>
      <c r="G113" s="8">
        <f t="shared" si="24"/>
        <v>-118</v>
      </c>
      <c r="H113" s="8">
        <f t="shared" si="24"/>
        <v>6</v>
      </c>
      <c r="I113" s="8">
        <f t="shared" si="24"/>
        <v>259</v>
      </c>
      <c r="J113" s="8">
        <f t="shared" si="24"/>
        <v>-185</v>
      </c>
      <c r="K113" s="8">
        <f t="shared" si="24"/>
        <v>-131</v>
      </c>
      <c r="L113" s="8">
        <f t="shared" si="24"/>
        <v>7</v>
      </c>
      <c r="M113" s="8">
        <f t="shared" si="24"/>
        <v>43</v>
      </c>
      <c r="N113" s="8">
        <f t="shared" si="24"/>
        <v>-316</v>
      </c>
      <c r="O113" s="8">
        <f t="shared" si="24"/>
        <v>-73</v>
      </c>
      <c r="P113" s="8">
        <f t="shared" si="24"/>
        <v>125</v>
      </c>
      <c r="Q113" s="8">
        <f t="shared" si="24"/>
        <v>343</v>
      </c>
      <c r="R113" s="8">
        <f t="shared" si="24"/>
        <v>-179</v>
      </c>
      <c r="S113" s="8">
        <f t="shared" si="24"/>
        <v>92</v>
      </c>
      <c r="T113" s="8">
        <f t="shared" si="24"/>
        <v>189</v>
      </c>
      <c r="U113" s="8">
        <f t="shared" si="24"/>
        <v>401</v>
      </c>
      <c r="V113" s="8">
        <f t="shared" si="24"/>
        <v>747</v>
      </c>
      <c r="W113" s="8">
        <f t="shared" si="24"/>
        <v>805</v>
      </c>
      <c r="X113" s="8">
        <f t="shared" si="24"/>
        <v>665</v>
      </c>
      <c r="Y113" s="8">
        <f t="shared" si="24"/>
        <v>624</v>
      </c>
      <c r="Z113" s="8">
        <f t="shared" si="24"/>
        <v>725</v>
      </c>
      <c r="AA113" s="8">
        <f t="shared" si="24"/>
        <v>614</v>
      </c>
      <c r="AB113" s="8">
        <f t="shared" si="24"/>
        <v>567</v>
      </c>
      <c r="AC113" s="8">
        <f t="shared" si="24"/>
        <v>128</v>
      </c>
      <c r="AD113" s="8">
        <f t="shared" si="24"/>
        <v>19</v>
      </c>
      <c r="AE113" s="8">
        <f t="shared" si="24"/>
        <v>-94</v>
      </c>
      <c r="AF113" s="8">
        <f t="shared" si="24"/>
        <v>-56</v>
      </c>
      <c r="AG113" s="8">
        <f t="shared" si="24"/>
        <v>-132</v>
      </c>
      <c r="AH113" s="8">
        <f t="shared" si="24"/>
        <v>8</v>
      </c>
      <c r="AI113" s="8">
        <f t="shared" si="24"/>
        <v>93</v>
      </c>
      <c r="AJ113" s="8">
        <f t="shared" si="24"/>
        <v>145</v>
      </c>
      <c r="AK113" s="8">
        <f t="shared" si="24"/>
        <v>752</v>
      </c>
      <c r="AL113" s="8">
        <f t="shared" si="24"/>
        <v>363</v>
      </c>
      <c r="AM113" s="8">
        <f t="shared" si="24"/>
        <v>811</v>
      </c>
      <c r="AN113" s="8">
        <f t="shared" si="24"/>
        <v>1111</v>
      </c>
      <c r="AO113" s="8">
        <f t="shared" si="24"/>
        <v>1596</v>
      </c>
    </row>
    <row r="114" spans="1:41" ht="15.75" x14ac:dyDescent="0.25">
      <c r="A114" s="7" t="s">
        <v>152</v>
      </c>
      <c r="B114" s="19">
        <f>B113/B26</f>
        <v>-0.10592686002522068</v>
      </c>
      <c r="C114" s="19">
        <f t="shared" ref="C114:AO114" si="25">C113/C26</f>
        <v>-0.15103532277710111</v>
      </c>
      <c r="D114" s="19">
        <f t="shared" si="25"/>
        <v>-3.6809815950920245E-3</v>
      </c>
      <c r="E114" s="19">
        <f t="shared" si="25"/>
        <v>0.14822771213748656</v>
      </c>
      <c r="F114" s="19">
        <f t="shared" si="25"/>
        <v>-0.36741214057507987</v>
      </c>
      <c r="G114" s="19">
        <f t="shared" si="25"/>
        <v>-0.12486772486772486</v>
      </c>
      <c r="H114" s="19">
        <f t="shared" si="25"/>
        <v>5.7581573896353169E-3</v>
      </c>
      <c r="I114" s="19">
        <f t="shared" si="25"/>
        <v>0.24975891996142718</v>
      </c>
      <c r="J114" s="19">
        <f t="shared" si="25"/>
        <v>-0.17805582290664101</v>
      </c>
      <c r="K114" s="19">
        <f t="shared" si="25"/>
        <v>-0.11421098517872712</v>
      </c>
      <c r="L114" s="19">
        <f t="shared" si="25"/>
        <v>6.5055762081784388E-3</v>
      </c>
      <c r="M114" s="19">
        <f t="shared" si="25"/>
        <v>3.9851714550509731E-2</v>
      </c>
      <c r="N114" s="19">
        <f t="shared" si="25"/>
        <v>-0.28884826325411334</v>
      </c>
      <c r="O114" s="19">
        <f t="shared" si="25"/>
        <v>-6.5825067628494133E-2</v>
      </c>
      <c r="P114" s="19">
        <f t="shared" si="25"/>
        <v>0.11190689346463742</v>
      </c>
      <c r="Q114" s="19">
        <f t="shared" si="25"/>
        <v>0.28872053872053871</v>
      </c>
      <c r="R114" s="19">
        <f t="shared" si="25"/>
        <v>-0.14624183006535948</v>
      </c>
      <c r="S114" s="19">
        <f t="shared" si="25"/>
        <v>7.4979625101874489E-2</v>
      </c>
      <c r="T114" s="19">
        <f t="shared" si="25"/>
        <v>0.15555555555555556</v>
      </c>
      <c r="U114" s="19">
        <f t="shared" si="25"/>
        <v>0.3270799347471452</v>
      </c>
      <c r="V114" s="19">
        <f t="shared" si="25"/>
        <v>0.60682372055239642</v>
      </c>
      <c r="W114" s="19">
        <f t="shared" si="25"/>
        <v>0.65340909090909094</v>
      </c>
      <c r="X114" s="19">
        <f t="shared" si="25"/>
        <v>0.54065040650406504</v>
      </c>
      <c r="Y114" s="19">
        <f t="shared" si="25"/>
        <v>0.51063829787234039</v>
      </c>
      <c r="Z114" s="19">
        <f t="shared" si="25"/>
        <v>0.51418439716312059</v>
      </c>
      <c r="AA114" s="19">
        <f t="shared" si="25"/>
        <v>0.37622549019607843</v>
      </c>
      <c r="AB114" s="19">
        <f t="shared" si="25"/>
        <v>0.34892307692307695</v>
      </c>
      <c r="AC114" s="19">
        <f t="shared" si="25"/>
        <v>7.9110012360939425E-2</v>
      </c>
      <c r="AD114" s="19">
        <f t="shared" si="25"/>
        <v>1.1793916821849782E-2</v>
      </c>
      <c r="AE114" s="19">
        <f t="shared" si="25"/>
        <v>-5.7775046097111246E-2</v>
      </c>
      <c r="AF114" s="19">
        <f t="shared" si="25"/>
        <v>-3.437691835481891E-2</v>
      </c>
      <c r="AG114" s="19">
        <f t="shared" si="25"/>
        <v>-8.1081081081081086E-2</v>
      </c>
      <c r="AH114" s="19">
        <f t="shared" si="25"/>
        <v>4.881025015253203E-3</v>
      </c>
      <c r="AI114" s="19">
        <f t="shared" si="25"/>
        <v>5.6811240073304826E-2</v>
      </c>
      <c r="AJ114" s="19">
        <f t="shared" si="25"/>
        <v>8.8630806845965776E-2</v>
      </c>
      <c r="AK114" s="19">
        <f t="shared" si="25"/>
        <v>0.46022031823745407</v>
      </c>
      <c r="AL114" s="19">
        <f t="shared" si="25"/>
        <v>0.22324723247232472</v>
      </c>
      <c r="AM114" s="19">
        <f t="shared" si="25"/>
        <v>0.49754601226993866</v>
      </c>
      <c r="AN114" s="19">
        <f t="shared" si="25"/>
        <v>0.67702620353443022</v>
      </c>
      <c r="AO114" s="19">
        <f t="shared" si="25"/>
        <v>0.96785930867192238</v>
      </c>
    </row>
  </sheetData>
  <mergeCells count="3">
    <mergeCell ref="A80:E80"/>
    <mergeCell ref="A1:E1"/>
    <mergeCell ref="A36:E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5DCAB-2910-49B2-A11B-A312D91DF849}">
  <dimension ref="B2:C11"/>
  <sheetViews>
    <sheetView tabSelected="1" workbookViewId="0">
      <selection activeCell="D13" sqref="D13"/>
    </sheetView>
  </sheetViews>
  <sheetFormatPr defaultRowHeight="15" x14ac:dyDescent="0.2"/>
  <cols>
    <col min="1" max="1" width="9.140625" style="16"/>
    <col min="2" max="2" width="14.5703125" style="16" customWidth="1"/>
    <col min="3" max="3" width="11.5703125" style="16" bestFit="1" customWidth="1"/>
    <col min="4" max="16384" width="9.140625" style="16"/>
  </cols>
  <sheetData>
    <row r="2" spans="2:3" s="17" customFormat="1" ht="15.75" x14ac:dyDescent="0.25">
      <c r="B2" s="17" t="s">
        <v>141</v>
      </c>
      <c r="C2" s="20">
        <v>215</v>
      </c>
    </row>
    <row r="3" spans="2:3" x14ac:dyDescent="0.2">
      <c r="B3" s="16" t="s">
        <v>142</v>
      </c>
      <c r="C3" s="21">
        <f>'AMD Financials'!AO26</f>
        <v>1649</v>
      </c>
    </row>
    <row r="4" spans="2:3" x14ac:dyDescent="0.2">
      <c r="B4" s="16" t="s">
        <v>143</v>
      </c>
      <c r="C4" s="21">
        <f>C3*C2</f>
        <v>354535</v>
      </c>
    </row>
    <row r="5" spans="2:3" x14ac:dyDescent="0.2">
      <c r="B5" s="16" t="s">
        <v>144</v>
      </c>
      <c r="C5" s="21">
        <f>'AMD Financials'!AO41</f>
        <v>10552</v>
      </c>
    </row>
    <row r="6" spans="2:3" x14ac:dyDescent="0.2">
      <c r="B6" s="16" t="s">
        <v>145</v>
      </c>
      <c r="C6" s="21">
        <f>SUM('AMD Financials'!AO57,'AMD Financials'!AO58,'AMD Financials'!AO59,'AMD Financials'!AO64,'AMD Financials'!AO65)</f>
        <v>4006</v>
      </c>
    </row>
    <row r="7" spans="2:3" x14ac:dyDescent="0.2">
      <c r="B7" s="16" t="s">
        <v>146</v>
      </c>
      <c r="C7" s="21">
        <f>C4-C5+C6</f>
        <v>347989</v>
      </c>
    </row>
    <row r="8" spans="2:3" x14ac:dyDescent="0.2">
      <c r="B8" s="16" t="s">
        <v>147</v>
      </c>
      <c r="C8" s="22">
        <f>SUM('AMD Financials'!AL33:AO33)/'Key Metrics'!C2</f>
        <v>1.6912746144319001E-2</v>
      </c>
    </row>
    <row r="9" spans="2:3" x14ac:dyDescent="0.2">
      <c r="B9" s="16" t="s">
        <v>148</v>
      </c>
      <c r="C9" s="22">
        <f>SUM('AMD Financials'!AL31:AO31)/'Key Metrics'!C7</f>
        <v>1.719594584886304E-2</v>
      </c>
    </row>
    <row r="10" spans="2:3" x14ac:dyDescent="0.2">
      <c r="B10" s="16" t="s">
        <v>149</v>
      </c>
      <c r="C10" s="22">
        <f>SUM('AMD Financials'!AL29:AO29)/'Key Metrics'!C7</f>
        <v>2.5828402621921959E-2</v>
      </c>
    </row>
    <row r="11" spans="2:3" x14ac:dyDescent="0.2">
      <c r="B11" s="16" t="s">
        <v>150</v>
      </c>
      <c r="C11" s="22">
        <f>SUM('AMD Financials'!AL114:AO114)/'Key Metrics'!C2</f>
        <v>1.1003157009063331E-2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AMD Financials</vt:lpstr>
      <vt:lpstr>Key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Tomohawk WR</cp:lastModifiedBy>
  <dcterms:created xsi:type="dcterms:W3CDTF">2026-02-10T20:14:02Z</dcterms:created>
  <dcterms:modified xsi:type="dcterms:W3CDTF">2026-02-11T15:47:46Z</dcterms:modified>
</cp:coreProperties>
</file>