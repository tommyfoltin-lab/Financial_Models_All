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81124774-E691-446F-8425-F35E69897B8D}" xr6:coauthVersionLast="47" xr6:coauthVersionMax="47" xr10:uidLastSave="{00000000-0000-0000-0000-000000000000}"/>
  <bookViews>
    <workbookView xWindow="1170" yWindow="390" windowWidth="26955" windowHeight="15015" activeTab="1" xr2:uid="{00000000-000D-0000-FFFF-FFFF00000000}"/>
  </bookViews>
  <sheets>
    <sheet name="Cover" sheetId="1" r:id="rId1"/>
    <sheet name="Financial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D28" i="2"/>
  <c r="E28" i="2"/>
  <c r="F28" i="2"/>
  <c r="G28" i="2"/>
  <c r="H28" i="2"/>
  <c r="I28" i="2"/>
  <c r="J28" i="2"/>
  <c r="K28" i="2"/>
  <c r="B28" i="2"/>
  <c r="K112" i="2"/>
  <c r="J112" i="2"/>
  <c r="I112" i="2"/>
  <c r="H112" i="2"/>
  <c r="G112" i="2"/>
  <c r="F112" i="2"/>
  <c r="E112" i="2"/>
  <c r="D112" i="2"/>
  <c r="C112" i="2"/>
  <c r="B112" i="2"/>
  <c r="K101" i="2"/>
  <c r="J101" i="2"/>
  <c r="I101" i="2"/>
  <c r="H101" i="2"/>
  <c r="G101" i="2"/>
  <c r="F101" i="2"/>
  <c r="E101" i="2"/>
  <c r="D101" i="2"/>
  <c r="C101" i="2"/>
  <c r="B101" i="2"/>
  <c r="K89" i="2"/>
  <c r="J89" i="2"/>
  <c r="I89" i="2"/>
  <c r="H89" i="2"/>
  <c r="G89" i="2"/>
  <c r="F89" i="2"/>
  <c r="E89" i="2"/>
  <c r="D89" i="2"/>
  <c r="C89" i="2"/>
  <c r="B89" i="2"/>
  <c r="K68" i="2"/>
  <c r="K69" i="2" s="1"/>
  <c r="J68" i="2"/>
  <c r="J69" i="2" s="1"/>
  <c r="I68" i="2"/>
  <c r="I69" i="2" s="1"/>
  <c r="H68" i="2"/>
  <c r="H69" i="2" s="1"/>
  <c r="G68" i="2"/>
  <c r="G69" i="2" s="1"/>
  <c r="F68" i="2"/>
  <c r="F69" i="2" s="1"/>
  <c r="E68" i="2"/>
  <c r="E69" i="2" s="1"/>
  <c r="D68" i="2"/>
  <c r="D69" i="2" s="1"/>
  <c r="C68" i="2"/>
  <c r="C69" i="2" s="1"/>
  <c r="B68" i="2"/>
  <c r="B69" i="2" s="1"/>
  <c r="K60" i="2"/>
  <c r="J60" i="2"/>
  <c r="I60" i="2"/>
  <c r="H60" i="2"/>
  <c r="G60" i="2"/>
  <c r="F60" i="2"/>
  <c r="E60" i="2"/>
  <c r="D60" i="2"/>
  <c r="C60" i="2"/>
  <c r="B60" i="2"/>
  <c r="K55" i="2"/>
  <c r="K61" i="2" s="1"/>
  <c r="J55" i="2"/>
  <c r="J61" i="2" s="1"/>
  <c r="J70" i="2" s="1"/>
  <c r="I55" i="2"/>
  <c r="I61" i="2" s="1"/>
  <c r="H55" i="2"/>
  <c r="H61" i="2" s="1"/>
  <c r="H70" i="2" s="1"/>
  <c r="G55" i="2"/>
  <c r="G61" i="2" s="1"/>
  <c r="F55" i="2"/>
  <c r="F61" i="2" s="1"/>
  <c r="F70" i="2" s="1"/>
  <c r="E55" i="2"/>
  <c r="E61" i="2" s="1"/>
  <c r="D55" i="2"/>
  <c r="D61" i="2" s="1"/>
  <c r="D70" i="2" s="1"/>
  <c r="C55" i="2"/>
  <c r="C61" i="2" s="1"/>
  <c r="C70" i="2" s="1"/>
  <c r="B55" i="2"/>
  <c r="B61" i="2" s="1"/>
  <c r="B70" i="2" s="1"/>
  <c r="K49" i="2"/>
  <c r="J49" i="2"/>
  <c r="I49" i="2"/>
  <c r="H49" i="2"/>
  <c r="G49" i="2"/>
  <c r="F49" i="2"/>
  <c r="E49" i="2"/>
  <c r="D49" i="2"/>
  <c r="C49" i="2"/>
  <c r="B49" i="2"/>
  <c r="K43" i="2"/>
  <c r="K50" i="2" s="1"/>
  <c r="J43" i="2"/>
  <c r="J50" i="2" s="1"/>
  <c r="I43" i="2"/>
  <c r="I50" i="2" s="1"/>
  <c r="H43" i="2"/>
  <c r="H50" i="2" s="1"/>
  <c r="H71" i="2" s="1"/>
  <c r="G43" i="2"/>
  <c r="G50" i="2" s="1"/>
  <c r="F43" i="2"/>
  <c r="F50" i="2" s="1"/>
  <c r="F71" i="2" s="1"/>
  <c r="E43" i="2"/>
  <c r="E50" i="2" s="1"/>
  <c r="D43" i="2"/>
  <c r="D50" i="2" s="1"/>
  <c r="D71" i="2" s="1"/>
  <c r="C43" i="2"/>
  <c r="C50" i="2" s="1"/>
  <c r="C71" i="2" s="1"/>
  <c r="B43" i="2"/>
  <c r="B50" i="2" s="1"/>
  <c r="B71" i="2" s="1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K25" i="2"/>
  <c r="J25" i="2"/>
  <c r="I25" i="2"/>
  <c r="H25" i="2"/>
  <c r="G25" i="2"/>
  <c r="F25" i="2"/>
  <c r="E25" i="2"/>
  <c r="D25" i="2"/>
  <c r="C25" i="2"/>
  <c r="B25" i="2"/>
  <c r="K11" i="2"/>
  <c r="J11" i="2"/>
  <c r="H11" i="2"/>
  <c r="G11" i="2"/>
  <c r="F11" i="2"/>
  <c r="K6" i="2"/>
  <c r="K29" i="2" s="1"/>
  <c r="J6" i="2"/>
  <c r="J29" i="2" s="1"/>
  <c r="I6" i="2"/>
  <c r="H6" i="2"/>
  <c r="H29" i="2" s="1"/>
  <c r="G6" i="2"/>
  <c r="G29" i="2" s="1"/>
  <c r="F6" i="2"/>
  <c r="F29" i="2" s="1"/>
  <c r="E6" i="2"/>
  <c r="D6" i="2"/>
  <c r="C6" i="2"/>
  <c r="B6" i="2"/>
  <c r="C6" i="1"/>
  <c r="C5" i="1"/>
  <c r="C3" i="1"/>
  <c r="C4" i="1" s="1"/>
  <c r="C7" i="1" s="1"/>
  <c r="K114" i="2" l="1"/>
  <c r="K116" i="2" s="1"/>
  <c r="J114" i="2"/>
  <c r="J116" i="2" s="1"/>
  <c r="I114" i="2"/>
  <c r="I116" i="2" s="1"/>
  <c r="H114" i="2"/>
  <c r="H116" i="2" s="1"/>
  <c r="G114" i="2"/>
  <c r="G116" i="2" s="1"/>
  <c r="F114" i="2"/>
  <c r="F116" i="2" s="1"/>
  <c r="E114" i="2"/>
  <c r="E116" i="2" s="1"/>
  <c r="D114" i="2"/>
  <c r="D116" i="2" s="1"/>
  <c r="C114" i="2"/>
  <c r="C116" i="2" s="1"/>
  <c r="B114" i="2"/>
  <c r="B116" i="2" s="1"/>
  <c r="K30" i="2"/>
  <c r="K27" i="2"/>
  <c r="K26" i="2"/>
  <c r="K14" i="2"/>
  <c r="J30" i="2"/>
  <c r="J27" i="2"/>
  <c r="J26" i="2"/>
  <c r="J14" i="2"/>
  <c r="H27" i="2"/>
  <c r="H26" i="2"/>
  <c r="H30" i="2"/>
  <c r="H14" i="2"/>
  <c r="G27" i="2"/>
  <c r="G30" i="2"/>
  <c r="G26" i="2"/>
  <c r="G14" i="2"/>
  <c r="F27" i="2"/>
  <c r="F26" i="2"/>
  <c r="F30" i="2"/>
  <c r="F14" i="2"/>
  <c r="I11" i="2"/>
  <c r="I29" i="2"/>
  <c r="E29" i="2"/>
  <c r="E11" i="2"/>
  <c r="D29" i="2"/>
  <c r="D11" i="2"/>
  <c r="C29" i="2"/>
  <c r="C11" i="2"/>
  <c r="B11" i="2"/>
  <c r="B29" i="2"/>
  <c r="K70" i="2"/>
  <c r="K71" i="2" s="1"/>
  <c r="I70" i="2"/>
  <c r="I71" i="2" s="1"/>
  <c r="G70" i="2"/>
  <c r="G71" i="2" s="1"/>
  <c r="E70" i="2"/>
  <c r="E71" i="2" s="1"/>
  <c r="J71" i="2"/>
  <c r="K17" i="2" l="1"/>
  <c r="K32" i="2"/>
  <c r="J17" i="2"/>
  <c r="J32" i="2"/>
  <c r="H17" i="2"/>
  <c r="H32" i="2"/>
  <c r="G17" i="2"/>
  <c r="G32" i="2"/>
  <c r="F17" i="2"/>
  <c r="F32" i="2"/>
  <c r="I26" i="2"/>
  <c r="I27" i="2"/>
  <c r="I30" i="2"/>
  <c r="I14" i="2"/>
  <c r="E26" i="2"/>
  <c r="E27" i="2"/>
  <c r="E30" i="2"/>
  <c r="E14" i="2"/>
  <c r="D26" i="2"/>
  <c r="D27" i="2"/>
  <c r="D30" i="2"/>
  <c r="D14" i="2"/>
  <c r="C26" i="2"/>
  <c r="C27" i="2"/>
  <c r="C30" i="2"/>
  <c r="C14" i="2"/>
  <c r="B26" i="2"/>
  <c r="B27" i="2"/>
  <c r="B30" i="2"/>
  <c r="B14" i="2"/>
  <c r="K19" i="2" l="1"/>
  <c r="K31" i="2"/>
  <c r="J19" i="2"/>
  <c r="J31" i="2"/>
  <c r="H19" i="2"/>
  <c r="H31" i="2"/>
  <c r="G19" i="2"/>
  <c r="G31" i="2"/>
  <c r="F19" i="2"/>
  <c r="F31" i="2"/>
  <c r="I17" i="2"/>
  <c r="I32" i="2"/>
  <c r="E17" i="2"/>
  <c r="E32" i="2"/>
  <c r="D17" i="2"/>
  <c r="D32" i="2"/>
  <c r="C17" i="2"/>
  <c r="C32" i="2"/>
  <c r="B17" i="2"/>
  <c r="B32" i="2"/>
  <c r="I19" i="2" l="1"/>
  <c r="I31" i="2"/>
  <c r="E19" i="2"/>
  <c r="E31" i="2"/>
  <c r="D19" i="2"/>
  <c r="D31" i="2"/>
  <c r="C19" i="2"/>
  <c r="C31" i="2"/>
  <c r="B19" i="2"/>
  <c r="B31" i="2"/>
</calcChain>
</file>

<file path=xl/sharedStrings.xml><?xml version="1.0" encoding="utf-8"?>
<sst xmlns="http://schemas.openxmlformats.org/spreadsheetml/2006/main" count="209" uniqueCount="206">
  <si>
    <t>NXPI</t>
  </si>
  <si>
    <t>Shares</t>
  </si>
  <si>
    <t>MC</t>
  </si>
  <si>
    <t>Cash</t>
  </si>
  <si>
    <t>Debt</t>
  </si>
  <si>
    <t>EV</t>
  </si>
  <si>
    <t>Period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</si>
  <si>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</si>
  <si>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</si>
  <si>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</si>
  <si>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</si>
  <si>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</si>
  <si>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</si>
  <si>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</si>
  <si>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</si>
  <si>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</si>
  <si>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</si>
  <si>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Revenue</t>
  </si>
  <si>
    <t>Cost of revenue</t>
  </si>
  <si>
    <t>Gross profit</t>
  </si>
  <si>
    <t>Research and development</t>
  </si>
  <si>
    <t>Selling, general and administrative</t>
  </si>
  <si>
    <t>Amortization of acquisition-related intangible assets</t>
  </si>
  <si>
    <t>Other income (expense)</t>
  </si>
  <si>
    <t>Operating income</t>
  </si>
  <si>
    <t>Extinguishment of debt</t>
  </si>
  <si>
    <t>Other financial income (expense)</t>
  </si>
  <si>
    <t>Income before income taxes</t>
  </si>
  <si>
    <t>Provision for income taxes</t>
  </si>
  <si>
    <t>Results relating to equity-accounted investees</t>
  </si>
  <si>
    <t>Net income</t>
  </si>
  <si>
    <t>Net income attributable to NCI</t>
  </si>
  <si>
    <t>Net income attributable to stockholders</t>
  </si>
  <si>
    <t>Basic EPS</t>
  </si>
  <si>
    <t>Diluted EPS</t>
  </si>
  <si>
    <t>Basic WASO</t>
  </si>
  <si>
    <t>Diluted WASO</t>
  </si>
  <si>
    <t>Revenue growth</t>
  </si>
  <si>
    <t>EBIT</t>
  </si>
  <si>
    <t>EBITDA</t>
  </si>
  <si>
    <t>Free cash flow</t>
  </si>
  <si>
    <t>Gross margin</t>
  </si>
  <si>
    <t>Operating margin</t>
  </si>
  <si>
    <t>Net margin</t>
  </si>
  <si>
    <t>Effective tax rate</t>
  </si>
  <si>
    <t>R&amp;D % of sales</t>
  </si>
  <si>
    <t>SG&amp;A % of sales</t>
  </si>
  <si>
    <t>Balance Sheet</t>
  </si>
  <si>
    <t>Cash and cash equivalents</t>
  </si>
  <si>
    <t>Short-term deposits</t>
  </si>
  <si>
    <t>Accounts receivable, net</t>
  </si>
  <si>
    <t>Assets held for sale</t>
  </si>
  <si>
    <t>Inventories, net</t>
  </si>
  <si>
    <t>Other current assets</t>
  </si>
  <si>
    <t>Total current assets</t>
  </si>
  <si>
    <t>Deferred tax assets</t>
  </si>
  <si>
    <t>Other non-current assets</t>
  </si>
  <si>
    <t>Property, plant and equipment, net</t>
  </si>
  <si>
    <t>Identified intangible assets, net</t>
  </si>
  <si>
    <t>Goodwill</t>
  </si>
  <si>
    <t>Total non-current assets</t>
  </si>
  <si>
    <t>Total assets</t>
  </si>
  <si>
    <t>Accounts payable</t>
  </si>
  <si>
    <t>Restructuring liabilities-current</t>
  </si>
  <si>
    <t>Other current liabilities</t>
  </si>
  <si>
    <t>Short-term debt</t>
  </si>
  <si>
    <t>Total current liabilities</t>
  </si>
  <si>
    <t>Long-term debt</t>
  </si>
  <si>
    <t>Restructuring liabilities</t>
  </si>
  <si>
    <t>Deferred tax liabilities</t>
  </si>
  <si>
    <t>Other non-current liabilities</t>
  </si>
  <si>
    <t>Total non-current liabilities</t>
  </si>
  <si>
    <t>Total liabilities</t>
  </si>
  <si>
    <t>Non-controlling interests</t>
  </si>
  <si>
    <t>Common stock</t>
  </si>
  <si>
    <t>Capital in excess of par value</t>
  </si>
  <si>
    <t>Treasury shares</t>
  </si>
  <si>
    <t>Accumulated other comprehensive income (loss)</t>
  </si>
  <si>
    <t>Accumulated deficit</t>
  </si>
  <si>
    <t>Stockholders equity</t>
  </si>
  <si>
    <t>Total equity</t>
  </si>
  <si>
    <t>Total liabilities and equity</t>
  </si>
  <si>
    <t>Balance check</t>
  </si>
  <si>
    <t>Cash Flow Statement</t>
  </si>
  <si>
    <t>Depreciation and amortization</t>
  </si>
  <si>
    <t>Share-based compensation</t>
  </si>
  <si>
    <t>Amortization of discount on debt, net</t>
  </si>
  <si>
    <t>Amortization of debt issuance costs</t>
  </si>
  <si>
    <t>Net gain/loss on sale of assets</t>
  </si>
  <si>
    <t>Gain/loss on equity securities, net</t>
  </si>
  <si>
    <t>Deferred tax expense (benefit)</t>
  </si>
  <si>
    <t>Change in receivables and other current assets</t>
  </si>
  <si>
    <t>Change in inventories</t>
  </si>
  <si>
    <t>Change in accounts payable and other liabilities</t>
  </si>
  <si>
    <t>Change in other non-current assets</t>
  </si>
  <si>
    <t>Exchange differences</t>
  </si>
  <si>
    <t>Other items</t>
  </si>
  <si>
    <t>Net cash provided by operating activities</t>
  </si>
  <si>
    <t>Purchase of identified intangible assets</t>
  </si>
  <si>
    <t>Capital expenditures on property, plant and equipment</t>
  </si>
  <si>
    <t>Insurance recoveries received for equipment damage</t>
  </si>
  <si>
    <t>Proceeds from disposals of property, plant and equipment</t>
  </si>
  <si>
    <t>Advance payment from sale of property, plant and equipment</t>
  </si>
  <si>
    <t>Purchase of businesses, net of cash acquired</t>
  </si>
  <si>
    <t>Proceeds from sale of businesses, net</t>
  </si>
  <si>
    <t>Investment in short-term deposits</t>
  </si>
  <si>
    <t>Proceeds of short-term deposits</t>
  </si>
  <si>
    <t>Purchase of investments</t>
  </si>
  <si>
    <t>Proceeds from sale of investments</t>
  </si>
  <si>
    <t>Net cash provided by investing activities</t>
  </si>
  <si>
    <t>Repurchase of long-term debt</t>
  </si>
  <si>
    <t>Proceeds from issuance of long-term debt</t>
  </si>
  <si>
    <t>Cash paid for debt issuance costs</t>
  </si>
  <si>
    <t>Proceeds from issuance of commercial paper notes</t>
  </si>
  <si>
    <t>Repayment of commercial paper notes</t>
  </si>
  <si>
    <t>Dividends paid to non-controlling interests</t>
  </si>
  <si>
    <t>Dividends paid to common stockholders</t>
  </si>
  <si>
    <t>Proceeds from issuance of common stock through stock plans</t>
  </si>
  <si>
    <t>Purchase of treasury shares and restricted stock unit withholdings</t>
  </si>
  <si>
    <t>Other, net</t>
  </si>
  <si>
    <t>Net cash provided by financing activities</t>
  </si>
  <si>
    <t>Effect of exchange rates on cash</t>
  </si>
  <si>
    <t>Increase/decrease in cash and cash equivalents</t>
  </si>
  <si>
    <t>Cash and cash equivalents at beginning of period</t>
  </si>
  <si>
    <t>Cash and cash equivalents at end of period</t>
  </si>
  <si>
    <t>• NXP in one line: automotive and industrial embedded chips. More “brains, sensing, security, and connectivity at the edge” than data-center artificial intelligence.</t>
  </si>
  <si>
    <t xml:space="preserve">• Company: NXP Semiconductors N.V. is a Dutch semiconductor company based in Eindhoven. It was incorporated in 2006 and trades on Nasdaq under NXPI. FY2025 revenue was $12.27 billion, down from $12.61 billion in FY2024. </t>
  </si>
  <si>
    <t>• History:</t>
  </si>
  <si>
    <t>• Roots trace back to Philips entering semiconductors in the Netherlands in 1953.</t>
  </si>
  <si>
    <t>• Philips and Sony invented Near Field Communication in 2002.</t>
  </si>
  <si>
    <t>• NXP listed on Nasdaq in 2010.</t>
  </si>
  <si>
    <t>• NXP merged with Freescale in 2015, giving it major scale in automotive chips.</t>
  </si>
  <si>
    <t xml:space="preserve">• Recent push is software-defined vehicles, automotive networking, and edge artificial intelligence. </t>
  </si>
  <si>
    <t>• Main end markets:</t>
  </si>
  <si>
    <t>• Automotive: 58% of FY2025 revenue.</t>
  </si>
  <si>
    <t>• Industrial and Internet of Things: 19%.</t>
  </si>
  <si>
    <t>• Mobile: 13%.</t>
  </si>
  <si>
    <t xml:space="preserve">• Communication infrastructure and other: 11%. </t>
  </si>
  <si>
    <t>• Automotive products:</t>
  </si>
  <si>
    <t>• Microcontrollers.</t>
  </si>
  <si>
    <t>• In-vehicle networking chips.</t>
  </si>
  <si>
    <t>• Radar chips.</t>
  </si>
  <si>
    <t>• Secure car access.</t>
  </si>
  <si>
    <t>• Battery management.</t>
  </si>
  <si>
    <t>• Infotainment processors.</t>
  </si>
  <si>
    <t>• Software-defined vehicle middleware.</t>
  </si>
  <si>
    <t xml:space="preserve">• Electrification chips. </t>
  </si>
  <si>
    <t>• Industrial and Internet of Things products:</t>
  </si>
  <si>
    <t>• Processors.</t>
  </si>
  <si>
    <t>• Analog and security chips.</t>
  </si>
  <si>
    <t>• Connectivity.</t>
  </si>
  <si>
    <t>• Edge artificial intelligence processors after Kinara.</t>
  </si>
  <si>
    <t xml:space="preserve">• Factory automation, robotics, smart buildings, and connected devices. </t>
  </si>
  <si>
    <t>• Mobile products:</t>
  </si>
  <si>
    <t>• Secure mobile payment chips.</t>
  </si>
  <si>
    <t>• Ultra-wideband chips.</t>
  </si>
  <si>
    <t>• Near Field Communication.</t>
  </si>
  <si>
    <t>• Custom analog interfaces.</t>
  </si>
  <si>
    <t xml:space="preserve">• Access and identity solutions. </t>
  </si>
  <si>
    <t>• Communication infrastructure and other:</t>
  </si>
  <si>
    <t>• Radio frequency power amplifiers.</t>
  </si>
  <si>
    <t>• Secure cards.</t>
  </si>
  <si>
    <t>• ePassports and identity credentials.</t>
  </si>
  <si>
    <t>• Transportation and payment cards.</t>
  </si>
  <si>
    <t>• Legacy networking processors.</t>
  </si>
  <si>
    <t xml:space="preserve">• 5G radio power products. </t>
  </si>
  <si>
    <t>• Manufacturing model:</t>
  </si>
  <si>
    <t>• Hybrid model.</t>
  </si>
  <si>
    <t>• Own fabs for specialty process technology.</t>
  </si>
  <si>
    <t>• Uses joint ventures and outside foundries where it makes economic sense.</t>
  </si>
  <si>
    <t>• Keeps a lot of assembly and test in-house.</t>
  </si>
  <si>
    <t xml:space="preserve">• Moving more toward 300 millimeter wafer capacity through joint ventures in Germany and Singapore. </t>
  </si>
  <si>
    <t>• Why customers buy from NXP:</t>
  </si>
  <si>
    <t>• Automotive reliability.</t>
  </si>
  <si>
    <t>• Long product life.</t>
  </si>
  <si>
    <t>• Functional safety.</t>
  </si>
  <si>
    <t>• Security.</t>
  </si>
  <si>
    <t>• Mixed-signal and embedded expertise.</t>
  </si>
  <si>
    <t xml:space="preserve">• Full system solutions, meaning chips plus software and support. </t>
  </si>
  <si>
    <t>• Growth drivers:</t>
  </si>
  <si>
    <t>• More chips per car.</t>
  </si>
  <si>
    <t>• Advanced driver assistance.</t>
  </si>
  <si>
    <t>• Electric vehicles.</t>
  </si>
  <si>
    <t>• Software-defined vehicle architecture.</t>
  </si>
  <si>
    <t>• Radar.</t>
  </si>
  <si>
    <t>• Industrial automation.</t>
  </si>
  <si>
    <t>• Edge artificial intelligence.</t>
  </si>
  <si>
    <t xml:space="preserve">• Secure payments and identity. </t>
  </si>
  <si>
    <t>• Main competitors:</t>
  </si>
  <si>
    <t>• Analog Devices.</t>
  </si>
  <si>
    <t>• Broadcom.</t>
  </si>
  <si>
    <t>• Infineon.</t>
  </si>
  <si>
    <t>• Microchip.</t>
  </si>
  <si>
    <t>• Qualcomm.</t>
  </si>
  <si>
    <t>• Renesas.</t>
  </si>
  <si>
    <t>• STMicroelectronics.</t>
  </si>
  <si>
    <t xml:space="preserve">• Texas Instruments. </t>
  </si>
  <si>
    <t>• Investment angle:</t>
  </si>
  <si>
    <t>• Bull case: high automotive exposure, sticky design wins, strong margins, and rising semiconductor content per vehicle.</t>
  </si>
  <si>
    <t>• Bear case: automotive is cyclical, communication infrastructure is weak, China/trade risk matters, and customers can cut orders hard during inventory corrections.</t>
  </si>
  <si>
    <t>• Clean takeaway: NXP is a high-quality auto and industrial chip company, but it needs an auto and industrial recovery to reaccelerate.</t>
  </si>
  <si>
    <t>Q226</t>
  </si>
  <si>
    <t>Q326</t>
  </si>
  <si>
    <t>Q426</t>
  </si>
  <si>
    <t>Q127</t>
  </si>
  <si>
    <t>Q227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</si>
</sst>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(#,##0\);\-"/>
    <numFmt numFmtId="165" formatCode="_(* #,##0_);_(* \(#,##0\);_(* &quot;-&quot;??_);_(@_)"/>
    <numFmt numFmtId="166" formatCode="0.0%"/>
  </numFmts>
  <fonts count="8">
    <font>
      <sz val="11"/>
      <name val="Carlito"/>
    </font>
    <font>
      <sz val="10"/>
      <color rgb="FF000000"/>
      <name val="Arial"/>
    </font>
    <font>
      <b/>
      <sz val="10"/>
      <color rgb="FF000000"/>
      <name val="Arial"/>
    </font>
    <font>
      <sz val="11"/>
      <name val="Carlito"/>
    </font>
    <font>
      <sz val="10"/>
      <name val="Arial"/>
    </font>
    <font>
      <b/>
      <sz val="10"/>
      <name val="Arial"/>
    </font>
    <font>
      <u/>
      <sz val="10"/>
      <name val="Arial"/>
      <family val="2"/>
    </font>
    <font>
      <sz val="8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5" fontId="4" fillId="0" borderId="0" xfId="1" applyNumberFormat="1" applyFont="1"/>
    <xf numFmtId="43" fontId="4" fillId="0" borderId="0" xfId="1" applyFont="1"/>
    <xf numFmtId="164" fontId="5" fillId="0" borderId="0" xfId="0" applyNumberFormat="1" applyFont="1"/>
    <xf numFmtId="166" fontId="4" fillId="0" borderId="0" xfId="0" applyNumberFormat="1" applyFont="1"/>
    <xf numFmtId="3" fontId="1" fillId="0" borderId="0" xfId="0" applyNumberFormat="1" applyFont="1"/>
    <xf numFmtId="165" fontId="0" fillId="0" borderId="0" xfId="1" applyNumberFormat="1" applyFont="1"/>
    <xf numFmtId="0" fontId="6" fillId="0" borderId="0" xfId="0" applyFont="1" applyAlignment="1">
      <alignment horizontal="right"/>
    </xf>
    <xf numFmtId="0" fontId="4" fillId="0" borderId="1" xfId="0" applyFont="1" applyBorder="1"/>
    <xf numFmtId="0" fontId="6" fillId="0" borderId="1" xfId="0" applyFont="1" applyBorder="1" applyAlignment="1">
      <alignment horizontal="right"/>
    </xf>
    <xf numFmtId="165" fontId="5" fillId="0" borderId="1" xfId="1" applyNumberFormat="1" applyFont="1" applyBorder="1"/>
    <xf numFmtId="165" fontId="4" fillId="0" borderId="1" xfId="1" applyNumberFormat="1" applyFont="1" applyBorder="1"/>
    <xf numFmtId="43" fontId="4" fillId="0" borderId="1" xfId="1" applyFont="1" applyBorder="1"/>
    <xf numFmtId="165" fontId="0" fillId="0" borderId="1" xfId="1" applyNumberFormat="1" applyFont="1" applyBorder="1"/>
    <xf numFmtId="166" fontId="4" fillId="0" borderId="1" xfId="0" applyNumberFormat="1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0" fillId="0" borderId="1" xfId="0" applyBorder="1"/>
  </cellXfs>
  <cellStyles count="2">
    <cellStyle name="Comma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workbookViewId="0">
      <selection activeCell="O68" sqref="O68"/>
    </sheetView>
  </sheetViews>
  <sheetFormatPr defaultRowHeight="14.25"/>
  <cols>
    <col min="1" max="1" width="10" customWidth="1"/>
    <col min="2" max="2" width="18" customWidth="1"/>
    <col min="3" max="15" width="11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/>
      <c r="B2" s="3" t="s">
        <v>0</v>
      </c>
      <c r="C2" s="4">
        <v>280.56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 t="s">
        <v>1</v>
      </c>
      <c r="C3" s="12">
        <f>Financials!K23</f>
        <v>253.52500000000001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/>
      <c r="B4" s="1" t="s">
        <v>2</v>
      </c>
      <c r="C4" s="2">
        <f>C3*C2</f>
        <v>71128.974000000002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/>
      <c r="B5" s="1" t="s">
        <v>3</v>
      </c>
      <c r="C5" s="2">
        <f>SUM(Financials!K37:K38)</f>
        <v>3708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 t="s">
        <v>4</v>
      </c>
      <c r="C6" s="2">
        <f>SUM(Financials!K54,Financials!K56)</f>
        <v>11724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 t="s">
        <v>5</v>
      </c>
      <c r="C7" s="2">
        <f>C4-C5+C6</f>
        <v>79144.974000000002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B9" t="s">
        <v>125</v>
      </c>
    </row>
    <row r="11" spans="1:15">
      <c r="B11" t="s">
        <v>126</v>
      </c>
    </row>
    <row r="13" spans="1:15">
      <c r="B13" t="s">
        <v>127</v>
      </c>
    </row>
    <row r="14" spans="1:15">
      <c r="B14" t="s">
        <v>128</v>
      </c>
    </row>
    <row r="15" spans="1:15">
      <c r="B15" t="s">
        <v>129</v>
      </c>
    </row>
    <row r="16" spans="1:15">
      <c r="B16" t="s">
        <v>130</v>
      </c>
    </row>
    <row r="17" spans="2:2">
      <c r="B17" t="s">
        <v>131</v>
      </c>
    </row>
    <row r="18" spans="2:2">
      <c r="B18" t="s">
        <v>132</v>
      </c>
    </row>
    <row r="20" spans="2:2">
      <c r="B20" t="s">
        <v>133</v>
      </c>
    </row>
    <row r="21" spans="2:2">
      <c r="B21" t="s">
        <v>134</v>
      </c>
    </row>
    <row r="22" spans="2:2">
      <c r="B22" t="s">
        <v>135</v>
      </c>
    </row>
    <row r="23" spans="2:2">
      <c r="B23" t="s">
        <v>136</v>
      </c>
    </row>
    <row r="24" spans="2:2">
      <c r="B24" t="s">
        <v>137</v>
      </c>
    </row>
    <row r="26" spans="2:2">
      <c r="B26" t="s">
        <v>138</v>
      </c>
    </row>
    <row r="27" spans="2:2">
      <c r="B27" t="s">
        <v>139</v>
      </c>
    </row>
    <row r="28" spans="2:2">
      <c r="B28" t="s">
        <v>140</v>
      </c>
    </row>
    <row r="29" spans="2:2">
      <c r="B29" t="s">
        <v>141</v>
      </c>
    </row>
    <row r="30" spans="2:2">
      <c r="B30" t="s">
        <v>142</v>
      </c>
    </row>
    <row r="31" spans="2:2">
      <c r="B31" t="s">
        <v>143</v>
      </c>
    </row>
    <row r="32" spans="2:2">
      <c r="B32" t="s">
        <v>144</v>
      </c>
    </row>
    <row r="33" spans="2:2">
      <c r="B33" t="s">
        <v>145</v>
      </c>
    </row>
    <row r="34" spans="2:2">
      <c r="B34" t="s">
        <v>146</v>
      </c>
    </row>
    <row r="36" spans="2:2">
      <c r="B36" t="s">
        <v>147</v>
      </c>
    </row>
    <row r="37" spans="2:2">
      <c r="B37" t="s">
        <v>148</v>
      </c>
    </row>
    <row r="38" spans="2:2">
      <c r="B38" t="s">
        <v>149</v>
      </c>
    </row>
    <row r="39" spans="2:2">
      <c r="B39" t="s">
        <v>150</v>
      </c>
    </row>
    <row r="40" spans="2:2">
      <c r="B40" t="s">
        <v>151</v>
      </c>
    </row>
    <row r="41" spans="2:2">
      <c r="B41" t="s">
        <v>152</v>
      </c>
    </row>
    <row r="43" spans="2:2">
      <c r="B43" t="s">
        <v>153</v>
      </c>
    </row>
    <row r="44" spans="2:2">
      <c r="B44" t="s">
        <v>154</v>
      </c>
    </row>
    <row r="45" spans="2:2">
      <c r="B45" t="s">
        <v>155</v>
      </c>
    </row>
    <row r="46" spans="2:2">
      <c r="B46" t="s">
        <v>156</v>
      </c>
    </row>
    <row r="47" spans="2:2">
      <c r="B47" t="s">
        <v>157</v>
      </c>
    </row>
    <row r="48" spans="2:2">
      <c r="B48" t="s">
        <v>158</v>
      </c>
    </row>
    <row r="50" spans="2:2">
      <c r="B50" t="s">
        <v>159</v>
      </c>
    </row>
    <row r="51" spans="2:2">
      <c r="B51" t="s">
        <v>160</v>
      </c>
    </row>
    <row r="52" spans="2:2">
      <c r="B52" t="s">
        <v>161</v>
      </c>
    </row>
    <row r="53" spans="2:2">
      <c r="B53" t="s">
        <v>162</v>
      </c>
    </row>
    <row r="54" spans="2:2">
      <c r="B54" t="s">
        <v>163</v>
      </c>
    </row>
    <row r="55" spans="2:2">
      <c r="B55" t="s">
        <v>164</v>
      </c>
    </row>
    <row r="56" spans="2:2">
      <c r="B56" t="s">
        <v>165</v>
      </c>
    </row>
    <row r="58" spans="2:2">
      <c r="B58" t="s">
        <v>166</v>
      </c>
    </row>
    <row r="59" spans="2:2">
      <c r="B59" t="s">
        <v>167</v>
      </c>
    </row>
    <row r="60" spans="2:2">
      <c r="B60" t="s">
        <v>168</v>
      </c>
    </row>
    <row r="61" spans="2:2">
      <c r="B61" t="s">
        <v>169</v>
      </c>
    </row>
    <row r="62" spans="2:2">
      <c r="B62" t="s">
        <v>170</v>
      </c>
    </row>
    <row r="63" spans="2:2">
      <c r="B63" t="s">
        <v>171</v>
      </c>
    </row>
    <row r="65" spans="2:2">
      <c r="B65" t="s">
        <v>172</v>
      </c>
    </row>
    <row r="66" spans="2:2">
      <c r="B66" t="s">
        <v>173</v>
      </c>
    </row>
    <row r="67" spans="2:2">
      <c r="B67" t="s">
        <v>174</v>
      </c>
    </row>
    <row r="68" spans="2:2">
      <c r="B68" t="s">
        <v>175</v>
      </c>
    </row>
    <row r="69" spans="2:2">
      <c r="B69" t="s">
        <v>176</v>
      </c>
    </row>
    <row r="70" spans="2:2">
      <c r="B70" t="s">
        <v>177</v>
      </c>
    </row>
    <row r="71" spans="2:2">
      <c r="B71" t="s">
        <v>178</v>
      </c>
    </row>
    <row r="73" spans="2:2">
      <c r="B73" t="s">
        <v>179</v>
      </c>
    </row>
    <row r="74" spans="2:2">
      <c r="B74" t="s">
        <v>180</v>
      </c>
    </row>
    <row r="75" spans="2:2">
      <c r="B75" t="s">
        <v>181</v>
      </c>
    </row>
    <row r="76" spans="2:2">
      <c r="B76" t="s">
        <v>182</v>
      </c>
    </row>
    <row r="77" spans="2:2">
      <c r="B77" t="s">
        <v>183</v>
      </c>
    </row>
    <row r="78" spans="2:2">
      <c r="B78" t="s">
        <v>142</v>
      </c>
    </row>
    <row r="79" spans="2:2">
      <c r="B79" t="s">
        <v>184</v>
      </c>
    </row>
    <row r="80" spans="2:2">
      <c r="B80" t="s">
        <v>185</v>
      </c>
    </row>
    <row r="81" spans="2:2">
      <c r="B81" t="s">
        <v>186</v>
      </c>
    </row>
    <row r="82" spans="2:2">
      <c r="B82" t="s">
        <v>187</v>
      </c>
    </row>
    <row r="84" spans="2:2">
      <c r="B84" t="s">
        <v>188</v>
      </c>
    </row>
    <row r="85" spans="2:2">
      <c r="B85" t="s">
        <v>189</v>
      </c>
    </row>
    <row r="86" spans="2:2">
      <c r="B86" t="s">
        <v>190</v>
      </c>
    </row>
    <row r="87" spans="2:2">
      <c r="B87" t="s">
        <v>191</v>
      </c>
    </row>
    <row r="88" spans="2:2">
      <c r="B88" t="s">
        <v>192</v>
      </c>
    </row>
    <row r="89" spans="2:2">
      <c r="B89" t="s">
        <v>193</v>
      </c>
    </row>
    <row r="90" spans="2:2">
      <c r="B90" t="s">
        <v>194</v>
      </c>
    </row>
    <row r="91" spans="2:2">
      <c r="B91" t="s">
        <v>195</v>
      </c>
    </row>
    <row r="92" spans="2:2">
      <c r="B92" t="s">
        <v>196</v>
      </c>
    </row>
    <row r="94" spans="2:2">
      <c r="B94" t="s">
        <v>197</v>
      </c>
    </row>
    <row r="95" spans="2:2">
      <c r="B95" t="s">
        <v>198</v>
      </c>
    </row>
    <row r="96" spans="2:2">
      <c r="B96" t="s">
        <v>199</v>
      </c>
    </row>
    <row r="97" spans="2:2">
      <c r="B97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7"/>
  <sheetViews>
    <sheetView tabSelected="1" workbookViewId="0">
      <selection activeCell="H10" sqref="H10"/>
    </sheetView>
  </sheetViews>
  <sheetFormatPr defaultRowHeight="14.25"/>
  <cols>
    <col min="1" max="1" width="42" customWidth="1"/>
    <col min="2" max="10" width="12" customWidth="1"/>
    <col min="11" max="11" width="12" style="24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15"/>
    </row>
    <row r="2" spans="1:16">
      <c r="A2" s="5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6" t="s">
        <v>16</v>
      </c>
      <c r="L2" s="14" t="s">
        <v>201</v>
      </c>
      <c r="M2" s="14" t="s">
        <v>202</v>
      </c>
      <c r="N2" s="14" t="s">
        <v>203</v>
      </c>
      <c r="O2" s="14" t="s">
        <v>204</v>
      </c>
      <c r="P2" s="14" t="s">
        <v>205</v>
      </c>
    </row>
    <row r="3" spans="1:16">
      <c r="A3" s="5"/>
      <c r="B3" s="5"/>
      <c r="C3" s="5"/>
      <c r="D3" s="5"/>
      <c r="E3" s="5"/>
      <c r="F3" s="5"/>
      <c r="G3" s="5"/>
      <c r="H3" s="5"/>
      <c r="I3" s="5"/>
      <c r="J3" s="5"/>
      <c r="K3" s="15"/>
    </row>
    <row r="4" spans="1:16">
      <c r="A4" s="6" t="s">
        <v>17</v>
      </c>
      <c r="B4" s="7">
        <v>3422</v>
      </c>
      <c r="C4" s="7">
        <v>3126</v>
      </c>
      <c r="D4" s="7">
        <v>3127</v>
      </c>
      <c r="E4" s="7">
        <v>3250</v>
      </c>
      <c r="F4" s="7">
        <v>3111</v>
      </c>
      <c r="G4" s="7">
        <v>2835</v>
      </c>
      <c r="H4" s="7">
        <v>2926</v>
      </c>
      <c r="I4" s="7">
        <v>3173</v>
      </c>
      <c r="J4" s="7">
        <v>3335</v>
      </c>
      <c r="K4" s="17">
        <v>3181</v>
      </c>
    </row>
    <row r="5" spans="1:16">
      <c r="A5" s="5" t="s">
        <v>18</v>
      </c>
      <c r="B5" s="8">
        <v>-1485</v>
      </c>
      <c r="C5" s="8">
        <v>-1343</v>
      </c>
      <c r="D5" s="8">
        <v>-1335</v>
      </c>
      <c r="E5" s="8">
        <v>-1384</v>
      </c>
      <c r="F5" s="8">
        <v>-1433</v>
      </c>
      <c r="G5" s="8">
        <v>-1275</v>
      </c>
      <c r="H5" s="8">
        <v>-1364</v>
      </c>
      <c r="I5" s="8">
        <v>-1386</v>
      </c>
      <c r="J5" s="8">
        <v>-1528</v>
      </c>
      <c r="K5" s="18">
        <v>-1393</v>
      </c>
    </row>
    <row r="6" spans="1:16">
      <c r="A6" s="6" t="s">
        <v>19</v>
      </c>
      <c r="B6" s="7">
        <f t="shared" ref="B6:K6" si="0">B4+B5</f>
        <v>1937</v>
      </c>
      <c r="C6" s="7">
        <f t="shared" si="0"/>
        <v>1783</v>
      </c>
      <c r="D6" s="7">
        <f t="shared" si="0"/>
        <v>1792</v>
      </c>
      <c r="E6" s="7">
        <f t="shared" si="0"/>
        <v>1866</v>
      </c>
      <c r="F6" s="7">
        <f t="shared" si="0"/>
        <v>1678</v>
      </c>
      <c r="G6" s="7">
        <f t="shared" si="0"/>
        <v>1560</v>
      </c>
      <c r="H6" s="7">
        <f t="shared" si="0"/>
        <v>1562</v>
      </c>
      <c r="I6" s="7">
        <f t="shared" si="0"/>
        <v>1787</v>
      </c>
      <c r="J6" s="7">
        <f t="shared" si="0"/>
        <v>1807</v>
      </c>
      <c r="K6" s="17">
        <f t="shared" si="0"/>
        <v>1788</v>
      </c>
    </row>
    <row r="7" spans="1:16">
      <c r="A7" s="5" t="s">
        <v>20</v>
      </c>
      <c r="B7" s="8">
        <v>-651</v>
      </c>
      <c r="C7" s="8">
        <v>-564</v>
      </c>
      <c r="D7" s="8">
        <v>-594</v>
      </c>
      <c r="E7" s="8">
        <v>-577</v>
      </c>
      <c r="F7" s="8">
        <v>-612</v>
      </c>
      <c r="G7" s="8">
        <v>-547</v>
      </c>
      <c r="H7" s="8">
        <v>-573</v>
      </c>
      <c r="I7" s="8">
        <v>-575</v>
      </c>
      <c r="J7" s="8">
        <v>-665</v>
      </c>
      <c r="K7" s="18">
        <v>-588</v>
      </c>
    </row>
    <row r="8" spans="1:16">
      <c r="A8" s="5" t="s">
        <v>21</v>
      </c>
      <c r="B8" s="8">
        <v>-311</v>
      </c>
      <c r="C8" s="8">
        <v>-306</v>
      </c>
      <c r="D8" s="8">
        <v>-270</v>
      </c>
      <c r="E8" s="8">
        <v>-265</v>
      </c>
      <c r="F8" s="8">
        <v>-323</v>
      </c>
      <c r="G8" s="8">
        <v>-281</v>
      </c>
      <c r="H8" s="8">
        <v>-278</v>
      </c>
      <c r="I8" s="8">
        <v>-286</v>
      </c>
      <c r="J8" s="8">
        <v>-359</v>
      </c>
      <c r="K8" s="18">
        <v>-284</v>
      </c>
    </row>
    <row r="9" spans="1:16">
      <c r="A9" s="5" t="s">
        <v>22</v>
      </c>
      <c r="B9" s="8">
        <v>-63</v>
      </c>
      <c r="C9" s="8">
        <v>-51</v>
      </c>
      <c r="D9" s="8">
        <v>-28</v>
      </c>
      <c r="E9" s="8">
        <v>-29</v>
      </c>
      <c r="F9" s="8">
        <v>-28</v>
      </c>
      <c r="G9" s="8">
        <v>-27</v>
      </c>
      <c r="H9" s="8">
        <v>-25</v>
      </c>
      <c r="I9" s="8">
        <v>-31</v>
      </c>
      <c r="J9" s="8">
        <v>-34</v>
      </c>
      <c r="K9" s="18">
        <v>-32</v>
      </c>
    </row>
    <row r="10" spans="1:16">
      <c r="A10" s="5" t="s">
        <v>23</v>
      </c>
      <c r="B10" s="8">
        <v>-5</v>
      </c>
      <c r="C10" s="8">
        <v>-6</v>
      </c>
      <c r="D10" s="8">
        <v>-4</v>
      </c>
      <c r="E10" s="8">
        <v>-5</v>
      </c>
      <c r="F10" s="8">
        <v>-40</v>
      </c>
      <c r="G10" s="8">
        <v>18</v>
      </c>
      <c r="H10" s="8">
        <v>1</v>
      </c>
      <c r="I10" s="8">
        <v>-2</v>
      </c>
      <c r="J10" s="8">
        <v>-5</v>
      </c>
      <c r="K10" s="18">
        <v>621</v>
      </c>
    </row>
    <row r="11" spans="1:16">
      <c r="A11" s="6" t="s">
        <v>24</v>
      </c>
      <c r="B11" s="7">
        <f>SUM(B6:B10)</f>
        <v>907</v>
      </c>
      <c r="C11" s="7">
        <f t="shared" ref="C11:K11" si="1">SUM(C6:C10)</f>
        <v>856</v>
      </c>
      <c r="D11" s="7">
        <f t="shared" si="1"/>
        <v>896</v>
      </c>
      <c r="E11" s="7">
        <f t="shared" si="1"/>
        <v>990</v>
      </c>
      <c r="F11" s="7">
        <f t="shared" si="1"/>
        <v>675</v>
      </c>
      <c r="G11" s="7">
        <f t="shared" si="1"/>
        <v>723</v>
      </c>
      <c r="H11" s="7">
        <f t="shared" si="1"/>
        <v>687</v>
      </c>
      <c r="I11" s="7">
        <f t="shared" si="1"/>
        <v>893</v>
      </c>
      <c r="J11" s="7">
        <f t="shared" si="1"/>
        <v>744</v>
      </c>
      <c r="K11" s="17">
        <f t="shared" si="1"/>
        <v>1505</v>
      </c>
    </row>
    <row r="12" spans="1:16">
      <c r="A12" s="5" t="s">
        <v>25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18">
        <v>0</v>
      </c>
    </row>
    <row r="13" spans="1:16">
      <c r="A13" s="5" t="s">
        <v>26</v>
      </c>
      <c r="B13" s="8">
        <v>-78</v>
      </c>
      <c r="C13" s="8">
        <v>-70</v>
      </c>
      <c r="D13" s="8">
        <v>-75</v>
      </c>
      <c r="E13" s="8">
        <v>-82</v>
      </c>
      <c r="F13" s="8">
        <v>-91</v>
      </c>
      <c r="G13" s="8">
        <v>-92</v>
      </c>
      <c r="H13" s="8">
        <v>-86</v>
      </c>
      <c r="I13" s="8">
        <v>-98</v>
      </c>
      <c r="J13" s="8">
        <v>-108</v>
      </c>
      <c r="K13" s="18">
        <v>-96</v>
      </c>
    </row>
    <row r="14" spans="1:16">
      <c r="A14" s="6" t="s">
        <v>27</v>
      </c>
      <c r="B14" s="7">
        <f t="shared" ref="B14:K14" si="2">B11+B12+B13</f>
        <v>829</v>
      </c>
      <c r="C14" s="7">
        <f t="shared" si="2"/>
        <v>786</v>
      </c>
      <c r="D14" s="7">
        <f t="shared" si="2"/>
        <v>821</v>
      </c>
      <c r="E14" s="7">
        <f t="shared" si="2"/>
        <v>908</v>
      </c>
      <c r="F14" s="7">
        <f t="shared" si="2"/>
        <v>584</v>
      </c>
      <c r="G14" s="7">
        <f t="shared" si="2"/>
        <v>631</v>
      </c>
      <c r="H14" s="7">
        <f t="shared" si="2"/>
        <v>601</v>
      </c>
      <c r="I14" s="7">
        <f t="shared" si="2"/>
        <v>795</v>
      </c>
      <c r="J14" s="7">
        <f t="shared" si="2"/>
        <v>636</v>
      </c>
      <c r="K14" s="17">
        <f t="shared" si="2"/>
        <v>1409</v>
      </c>
    </row>
    <row r="15" spans="1:16">
      <c r="A15" s="5" t="s">
        <v>28</v>
      </c>
      <c r="B15" s="8">
        <v>-124</v>
      </c>
      <c r="C15" s="8">
        <v>-141</v>
      </c>
      <c r="D15" s="8">
        <v>-154</v>
      </c>
      <c r="E15" s="8">
        <v>-173</v>
      </c>
      <c r="F15" s="8">
        <v>-77</v>
      </c>
      <c r="G15" s="8">
        <v>-130</v>
      </c>
      <c r="H15" s="8">
        <v>-116</v>
      </c>
      <c r="I15" s="8">
        <v>-148</v>
      </c>
      <c r="J15" s="8">
        <v>-131</v>
      </c>
      <c r="K15" s="18">
        <v>-272</v>
      </c>
    </row>
    <row r="16" spans="1:16">
      <c r="A16" s="5" t="s">
        <v>29</v>
      </c>
      <c r="B16" s="8">
        <v>-2</v>
      </c>
      <c r="C16" s="8">
        <v>-1</v>
      </c>
      <c r="D16" s="8">
        <v>-3</v>
      </c>
      <c r="E16" s="8">
        <v>-6</v>
      </c>
      <c r="F16" s="8">
        <v>-2</v>
      </c>
      <c r="G16" s="8">
        <v>-4</v>
      </c>
      <c r="H16" s="8">
        <v>-28</v>
      </c>
      <c r="I16" s="8">
        <v>-1</v>
      </c>
      <c r="J16" s="8">
        <v>-37</v>
      </c>
      <c r="K16" s="18">
        <v>-4</v>
      </c>
    </row>
    <row r="17" spans="1:11">
      <c r="A17" s="6" t="s">
        <v>30</v>
      </c>
      <c r="B17" s="7">
        <f t="shared" ref="B17:K17" si="3">B14+B15+B16</f>
        <v>703</v>
      </c>
      <c r="C17" s="7">
        <f t="shared" si="3"/>
        <v>644</v>
      </c>
      <c r="D17" s="7">
        <f t="shared" si="3"/>
        <v>664</v>
      </c>
      <c r="E17" s="7">
        <f t="shared" si="3"/>
        <v>729</v>
      </c>
      <c r="F17" s="7">
        <f t="shared" si="3"/>
        <v>505</v>
      </c>
      <c r="G17" s="7">
        <f t="shared" si="3"/>
        <v>497</v>
      </c>
      <c r="H17" s="7">
        <f t="shared" si="3"/>
        <v>457</v>
      </c>
      <c r="I17" s="7">
        <f t="shared" si="3"/>
        <v>646</v>
      </c>
      <c r="J17" s="7">
        <f t="shared" si="3"/>
        <v>468</v>
      </c>
      <c r="K17" s="17">
        <f t="shared" si="3"/>
        <v>1133</v>
      </c>
    </row>
    <row r="18" spans="1:11">
      <c r="A18" s="5" t="s">
        <v>31</v>
      </c>
      <c r="B18" s="8">
        <v>6</v>
      </c>
      <c r="C18" s="8">
        <v>5</v>
      </c>
      <c r="D18" s="8">
        <v>6</v>
      </c>
      <c r="E18" s="8">
        <v>11</v>
      </c>
      <c r="F18" s="8">
        <v>10</v>
      </c>
      <c r="G18" s="8">
        <v>7</v>
      </c>
      <c r="H18" s="8">
        <v>12</v>
      </c>
      <c r="I18" s="8">
        <v>15</v>
      </c>
      <c r="J18" s="8">
        <v>13</v>
      </c>
      <c r="K18" s="18">
        <v>11</v>
      </c>
    </row>
    <row r="19" spans="1:11">
      <c r="A19" s="6" t="s">
        <v>32</v>
      </c>
      <c r="B19" s="7">
        <f t="shared" ref="B19:K19" si="4">B17-B18</f>
        <v>697</v>
      </c>
      <c r="C19" s="7">
        <f t="shared" si="4"/>
        <v>639</v>
      </c>
      <c r="D19" s="7">
        <f t="shared" si="4"/>
        <v>658</v>
      </c>
      <c r="E19" s="7">
        <f t="shared" si="4"/>
        <v>718</v>
      </c>
      <c r="F19" s="7">
        <f t="shared" si="4"/>
        <v>495</v>
      </c>
      <c r="G19" s="7">
        <f t="shared" si="4"/>
        <v>490</v>
      </c>
      <c r="H19" s="7">
        <f t="shared" si="4"/>
        <v>445</v>
      </c>
      <c r="I19" s="7">
        <f t="shared" si="4"/>
        <v>631</v>
      </c>
      <c r="J19" s="7">
        <f t="shared" si="4"/>
        <v>455</v>
      </c>
      <c r="K19" s="17">
        <f t="shared" si="4"/>
        <v>1122</v>
      </c>
    </row>
    <row r="20" spans="1:11">
      <c r="A20" s="5" t="s">
        <v>33</v>
      </c>
      <c r="B20" s="9">
        <v>2.71</v>
      </c>
      <c r="C20" s="9">
        <v>2.4900000000000002</v>
      </c>
      <c r="D20" s="9">
        <v>2.58</v>
      </c>
      <c r="E20" s="9">
        <v>2.82</v>
      </c>
      <c r="F20" s="9">
        <v>1.95</v>
      </c>
      <c r="G20" s="9">
        <v>1.93</v>
      </c>
      <c r="H20" s="9">
        <v>1.76</v>
      </c>
      <c r="I20" s="9">
        <v>2.5</v>
      </c>
      <c r="J20" s="9">
        <v>1.8</v>
      </c>
      <c r="K20" s="19">
        <v>4.4400000000000004</v>
      </c>
    </row>
    <row r="21" spans="1:11">
      <c r="A21" s="5" t="s">
        <v>34</v>
      </c>
      <c r="B21" s="9">
        <v>2.68</v>
      </c>
      <c r="C21" s="9">
        <v>2.4700000000000002</v>
      </c>
      <c r="D21" s="9">
        <v>2.54</v>
      </c>
      <c r="E21" s="9">
        <v>2.79</v>
      </c>
      <c r="F21" s="9">
        <v>1.93</v>
      </c>
      <c r="G21" s="9">
        <v>1.92</v>
      </c>
      <c r="H21" s="9">
        <v>1.75</v>
      </c>
      <c r="I21" s="9">
        <v>2.48</v>
      </c>
      <c r="J21" s="9">
        <v>1.79</v>
      </c>
      <c r="K21" s="19">
        <v>4.43</v>
      </c>
    </row>
    <row r="22" spans="1:11">
      <c r="A22" s="5" t="s">
        <v>35</v>
      </c>
      <c r="B22" s="13">
        <v>257.28500000000003</v>
      </c>
      <c r="C22" s="13">
        <v>256.56700000000001</v>
      </c>
      <c r="D22" s="13">
        <v>255.47800000000001</v>
      </c>
      <c r="E22" s="13">
        <v>254.458</v>
      </c>
      <c r="F22" s="13">
        <v>254.34899999999999</v>
      </c>
      <c r="G22" s="13">
        <v>253.709</v>
      </c>
      <c r="H22" s="13">
        <v>252.41800000000001</v>
      </c>
      <c r="I22" s="13">
        <v>252.17</v>
      </c>
      <c r="J22" s="13">
        <v>252.54400000000001</v>
      </c>
      <c r="K22" s="20">
        <v>252.715</v>
      </c>
    </row>
    <row r="23" spans="1:11">
      <c r="A23" s="5" t="s">
        <v>36</v>
      </c>
      <c r="B23" s="13">
        <v>260.298</v>
      </c>
      <c r="C23" s="13">
        <v>258.95400000000001</v>
      </c>
      <c r="D23" s="13">
        <v>258.73200000000003</v>
      </c>
      <c r="E23" s="13">
        <v>257.71699999999998</v>
      </c>
      <c r="F23" s="13">
        <v>256.62799999999999</v>
      </c>
      <c r="G23" s="13">
        <v>255.018</v>
      </c>
      <c r="H23" s="13">
        <v>253.84399999999999</v>
      </c>
      <c r="I23" s="13">
        <v>254.31</v>
      </c>
      <c r="J23" s="13">
        <v>254.078</v>
      </c>
      <c r="K23" s="20">
        <v>253.52500000000001</v>
      </c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15"/>
    </row>
    <row r="25" spans="1:11">
      <c r="A25" s="5" t="s">
        <v>37</v>
      </c>
      <c r="B25" s="11" t="str">
        <f>""</f>
        <v/>
      </c>
      <c r="C25" s="11" t="str">
        <f>""</f>
        <v/>
      </c>
      <c r="D25" s="11" t="str">
        <f>""</f>
        <v/>
      </c>
      <c r="E25" s="11" t="str">
        <f>""</f>
        <v/>
      </c>
      <c r="F25" s="11">
        <f t="shared" ref="F25:K25" si="5">IFERROR(F4/B4-1,"")</f>
        <v>-9.088252483927528E-2</v>
      </c>
      <c r="G25" s="11">
        <f t="shared" si="5"/>
        <v>-9.309021113243765E-2</v>
      </c>
      <c r="H25" s="11">
        <f t="shared" si="5"/>
        <v>-6.4278861528621722E-2</v>
      </c>
      <c r="I25" s="11">
        <f t="shared" si="5"/>
        <v>-2.3692307692307679E-2</v>
      </c>
      <c r="J25" s="11">
        <f t="shared" si="5"/>
        <v>7.200257152041134E-2</v>
      </c>
      <c r="K25" s="21">
        <f t="shared" si="5"/>
        <v>0.12204585537918877</v>
      </c>
    </row>
    <row r="26" spans="1:11">
      <c r="A26" s="6" t="s">
        <v>38</v>
      </c>
      <c r="B26" s="10">
        <f t="shared" ref="B26:K26" si="6">B11</f>
        <v>907</v>
      </c>
      <c r="C26" s="10">
        <f t="shared" si="6"/>
        <v>856</v>
      </c>
      <c r="D26" s="10">
        <f t="shared" si="6"/>
        <v>896</v>
      </c>
      <c r="E26" s="10">
        <f t="shared" si="6"/>
        <v>990</v>
      </c>
      <c r="F26" s="10">
        <f t="shared" si="6"/>
        <v>675</v>
      </c>
      <c r="G26" s="10">
        <f t="shared" si="6"/>
        <v>723</v>
      </c>
      <c r="H26" s="10">
        <f t="shared" si="6"/>
        <v>687</v>
      </c>
      <c r="I26" s="10">
        <f t="shared" si="6"/>
        <v>893</v>
      </c>
      <c r="J26" s="10">
        <f t="shared" si="6"/>
        <v>744</v>
      </c>
      <c r="K26" s="22">
        <f t="shared" si="6"/>
        <v>1505</v>
      </c>
    </row>
    <row r="27" spans="1:11">
      <c r="A27" s="6" t="s">
        <v>39</v>
      </c>
      <c r="B27" s="10">
        <f t="shared" ref="B27:K27" si="7">B11+B75</f>
        <v>1176</v>
      </c>
      <c r="C27" s="10">
        <f t="shared" si="7"/>
        <v>1091</v>
      </c>
      <c r="D27" s="10">
        <f t="shared" si="7"/>
        <v>1109</v>
      </c>
      <c r="E27" s="10">
        <f t="shared" si="7"/>
        <v>1208</v>
      </c>
      <c r="F27" s="10">
        <f t="shared" si="7"/>
        <v>934</v>
      </c>
      <c r="G27" s="10">
        <f t="shared" si="7"/>
        <v>932</v>
      </c>
      <c r="H27" s="10">
        <f t="shared" si="7"/>
        <v>894</v>
      </c>
      <c r="I27" s="10">
        <f t="shared" si="7"/>
        <v>1094</v>
      </c>
      <c r="J27" s="10">
        <f t="shared" si="7"/>
        <v>959</v>
      </c>
      <c r="K27" s="22">
        <f t="shared" si="7"/>
        <v>1684</v>
      </c>
    </row>
    <row r="28" spans="1:11">
      <c r="A28" s="6" t="s">
        <v>40</v>
      </c>
      <c r="B28" s="10">
        <f>B89+B91+B90</f>
        <v>918</v>
      </c>
      <c r="C28" s="10">
        <f t="shared" ref="C28:K28" si="8">C89+C91+C90</f>
        <v>593</v>
      </c>
      <c r="D28" s="10">
        <f t="shared" si="8"/>
        <v>521</v>
      </c>
      <c r="E28" s="10">
        <f t="shared" si="8"/>
        <v>567</v>
      </c>
      <c r="F28" s="10">
        <f t="shared" si="8"/>
        <v>225</v>
      </c>
      <c r="G28" s="10">
        <f t="shared" si="8"/>
        <v>401</v>
      </c>
      <c r="H28" s="10">
        <f t="shared" si="8"/>
        <v>659</v>
      </c>
      <c r="I28" s="10">
        <f t="shared" si="8"/>
        <v>485</v>
      </c>
      <c r="J28" s="10">
        <f t="shared" si="8"/>
        <v>738</v>
      </c>
      <c r="K28" s="22">
        <f t="shared" si="8"/>
        <v>672</v>
      </c>
    </row>
    <row r="29" spans="1:11">
      <c r="A29" s="5" t="s">
        <v>41</v>
      </c>
      <c r="B29" s="11">
        <f t="shared" ref="B29:K29" si="9">IFERROR(B6/B4,"")</f>
        <v>0.56604324956165986</v>
      </c>
      <c r="C29" s="11">
        <f t="shared" si="9"/>
        <v>0.57037747920665383</v>
      </c>
      <c r="D29" s="11">
        <f t="shared" si="9"/>
        <v>0.57307323313079628</v>
      </c>
      <c r="E29" s="11">
        <f t="shared" si="9"/>
        <v>0.57415384615384613</v>
      </c>
      <c r="F29" s="11">
        <f t="shared" si="9"/>
        <v>0.53937640630022499</v>
      </c>
      <c r="G29" s="11">
        <f t="shared" si="9"/>
        <v>0.55026455026455023</v>
      </c>
      <c r="H29" s="11">
        <f t="shared" si="9"/>
        <v>0.53383458646616544</v>
      </c>
      <c r="I29" s="11">
        <f t="shared" si="9"/>
        <v>0.56318941065237949</v>
      </c>
      <c r="J29" s="11">
        <f t="shared" si="9"/>
        <v>0.54182908545727138</v>
      </c>
      <c r="K29" s="21">
        <f t="shared" si="9"/>
        <v>0.56208739390128892</v>
      </c>
    </row>
    <row r="30" spans="1:11">
      <c r="A30" s="5" t="s">
        <v>42</v>
      </c>
      <c r="B30" s="11">
        <f t="shared" ref="B30:K30" si="10">IFERROR(B11/B4,"")</f>
        <v>0.26504967855055522</v>
      </c>
      <c r="C30" s="11">
        <f t="shared" si="10"/>
        <v>0.27383237364043506</v>
      </c>
      <c r="D30" s="11">
        <f t="shared" si="10"/>
        <v>0.28653661656539814</v>
      </c>
      <c r="E30" s="11">
        <f t="shared" si="10"/>
        <v>0.30461538461538462</v>
      </c>
      <c r="F30" s="11">
        <f t="shared" si="10"/>
        <v>0.21697203471552556</v>
      </c>
      <c r="G30" s="11">
        <f t="shared" si="10"/>
        <v>0.25502645502645505</v>
      </c>
      <c r="H30" s="11">
        <f t="shared" si="10"/>
        <v>0.23479152426520847</v>
      </c>
      <c r="I30" s="11">
        <f t="shared" si="10"/>
        <v>0.28143712574850299</v>
      </c>
      <c r="J30" s="11">
        <f t="shared" si="10"/>
        <v>0.22308845577211395</v>
      </c>
      <c r="K30" s="21">
        <f t="shared" si="10"/>
        <v>0.4731216598553914</v>
      </c>
    </row>
    <row r="31" spans="1:11">
      <c r="A31" s="5" t="s">
        <v>43</v>
      </c>
      <c r="B31" s="11">
        <f t="shared" ref="B31:K31" si="11">IFERROR(B17/B4,"")</f>
        <v>0.20543541788427819</v>
      </c>
      <c r="C31" s="11">
        <f t="shared" si="11"/>
        <v>0.20601407549584133</v>
      </c>
      <c r="D31" s="11">
        <f t="shared" si="11"/>
        <v>0.21234409977614327</v>
      </c>
      <c r="E31" s="11">
        <f t="shared" si="11"/>
        <v>0.22430769230769232</v>
      </c>
      <c r="F31" s="11">
        <f t="shared" si="11"/>
        <v>0.16232722597235616</v>
      </c>
      <c r="G31" s="11">
        <f t="shared" si="11"/>
        <v>0.17530864197530865</v>
      </c>
      <c r="H31" s="11">
        <f t="shared" si="11"/>
        <v>0.15618591934381407</v>
      </c>
      <c r="I31" s="11">
        <f t="shared" si="11"/>
        <v>0.20359281437125748</v>
      </c>
      <c r="J31" s="11">
        <f t="shared" si="11"/>
        <v>0.14032983508245878</v>
      </c>
      <c r="K31" s="21">
        <f t="shared" si="11"/>
        <v>0.35617730273498899</v>
      </c>
    </row>
    <row r="32" spans="1:11">
      <c r="A32" s="5" t="s">
        <v>44</v>
      </c>
      <c r="B32" s="11">
        <f t="shared" ref="B32:K32" si="12">IFERROR(-B15/B14,"")</f>
        <v>0.14957780458383596</v>
      </c>
      <c r="C32" s="11">
        <f t="shared" si="12"/>
        <v>0.17938931297709923</v>
      </c>
      <c r="D32" s="11">
        <f t="shared" si="12"/>
        <v>0.18757612667478685</v>
      </c>
      <c r="E32" s="11">
        <f t="shared" si="12"/>
        <v>0.19052863436123349</v>
      </c>
      <c r="F32" s="11">
        <f t="shared" si="12"/>
        <v>0.13184931506849315</v>
      </c>
      <c r="G32" s="11">
        <f t="shared" si="12"/>
        <v>0.20602218700475436</v>
      </c>
      <c r="H32" s="11">
        <f t="shared" si="12"/>
        <v>0.1930116472545757</v>
      </c>
      <c r="I32" s="11">
        <f t="shared" si="12"/>
        <v>0.1861635220125786</v>
      </c>
      <c r="J32" s="11">
        <f t="shared" si="12"/>
        <v>0.20597484276729561</v>
      </c>
      <c r="K32" s="21">
        <f t="shared" si="12"/>
        <v>0.19304471256210079</v>
      </c>
    </row>
    <row r="33" spans="1:11">
      <c r="A33" s="5" t="s">
        <v>45</v>
      </c>
      <c r="B33" s="11">
        <f t="shared" ref="B33:K33" si="13">IFERROR(-B7/B4,"")</f>
        <v>0.19023962594973701</v>
      </c>
      <c r="C33" s="11">
        <f t="shared" si="13"/>
        <v>0.18042226487523993</v>
      </c>
      <c r="D33" s="11">
        <f t="shared" si="13"/>
        <v>0.18995842660697154</v>
      </c>
      <c r="E33" s="11">
        <f t="shared" si="13"/>
        <v>0.17753846153846153</v>
      </c>
      <c r="F33" s="11">
        <f t="shared" si="13"/>
        <v>0.19672131147540983</v>
      </c>
      <c r="G33" s="11">
        <f t="shared" si="13"/>
        <v>0.19294532627865962</v>
      </c>
      <c r="H33" s="11">
        <f t="shared" si="13"/>
        <v>0.19583048530416952</v>
      </c>
      <c r="I33" s="11">
        <f t="shared" si="13"/>
        <v>0.18121651433974156</v>
      </c>
      <c r="J33" s="11">
        <f t="shared" si="13"/>
        <v>0.19940029985007496</v>
      </c>
      <c r="K33" s="21">
        <f t="shared" si="13"/>
        <v>0.18484753222257153</v>
      </c>
    </row>
    <row r="34" spans="1:11">
      <c r="A34" s="5" t="s">
        <v>46</v>
      </c>
      <c r="B34" s="11">
        <f t="shared" ref="B34:K34" si="14">IFERROR(-B8/B4,"")</f>
        <v>9.088252483927528E-2</v>
      </c>
      <c r="C34" s="11">
        <f t="shared" si="14"/>
        <v>9.7888675623800381E-2</v>
      </c>
      <c r="D34" s="11">
        <f t="shared" si="14"/>
        <v>8.6344739366805243E-2</v>
      </c>
      <c r="E34" s="11">
        <f t="shared" si="14"/>
        <v>8.1538461538461532E-2</v>
      </c>
      <c r="F34" s="11">
        <f t="shared" si="14"/>
        <v>0.10382513661202186</v>
      </c>
      <c r="G34" s="11">
        <f t="shared" si="14"/>
        <v>9.9118165784832457E-2</v>
      </c>
      <c r="H34" s="11">
        <f t="shared" si="14"/>
        <v>9.5010252904989753E-2</v>
      </c>
      <c r="I34" s="11">
        <f t="shared" si="14"/>
        <v>9.0135518436810586E-2</v>
      </c>
      <c r="J34" s="11">
        <f t="shared" si="14"/>
        <v>0.10764617691154423</v>
      </c>
      <c r="K34" s="21">
        <f t="shared" si="14"/>
        <v>8.928010059729645E-2</v>
      </c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15"/>
    </row>
    <row r="36" spans="1:11">
      <c r="A36" s="6" t="s">
        <v>47</v>
      </c>
      <c r="B36" s="6"/>
      <c r="C36" s="6"/>
      <c r="D36" s="6"/>
      <c r="E36" s="6"/>
      <c r="F36" s="6"/>
      <c r="G36" s="6"/>
      <c r="H36" s="6"/>
      <c r="I36" s="6"/>
      <c r="J36" s="6"/>
      <c r="K36" s="23"/>
    </row>
    <row r="37" spans="1:11">
      <c r="A37" s="5" t="s">
        <v>48</v>
      </c>
      <c r="B37" s="8">
        <v>3862</v>
      </c>
      <c r="C37" s="8">
        <v>2908</v>
      </c>
      <c r="D37" s="8">
        <v>2859</v>
      </c>
      <c r="E37" s="8">
        <v>2748</v>
      </c>
      <c r="F37" s="8">
        <v>3292</v>
      </c>
      <c r="G37" s="8">
        <v>3988</v>
      </c>
      <c r="H37" s="8">
        <v>3170</v>
      </c>
      <c r="I37" s="8">
        <v>3454</v>
      </c>
      <c r="J37" s="8">
        <v>3267</v>
      </c>
      <c r="K37" s="18">
        <v>3708</v>
      </c>
    </row>
    <row r="38" spans="1:11">
      <c r="A38" s="5" t="s">
        <v>49</v>
      </c>
      <c r="B38" s="8">
        <v>409</v>
      </c>
      <c r="C38" s="8">
        <v>400</v>
      </c>
      <c r="D38" s="8">
        <v>400</v>
      </c>
      <c r="E38" s="8">
        <v>400</v>
      </c>
      <c r="F38" s="8">
        <v>0</v>
      </c>
      <c r="G38" s="8">
        <v>0</v>
      </c>
      <c r="H38" s="8">
        <v>0</v>
      </c>
      <c r="I38" s="8">
        <v>500</v>
      </c>
      <c r="J38" s="8">
        <v>0</v>
      </c>
      <c r="K38" s="18">
        <v>0</v>
      </c>
    </row>
    <row r="39" spans="1:11">
      <c r="A39" s="5" t="s">
        <v>50</v>
      </c>
      <c r="B39" s="8">
        <v>894</v>
      </c>
      <c r="C39" s="8">
        <v>881</v>
      </c>
      <c r="D39" s="8">
        <v>927</v>
      </c>
      <c r="E39" s="8">
        <v>1070</v>
      </c>
      <c r="F39" s="8">
        <v>1032</v>
      </c>
      <c r="G39" s="8">
        <v>1060</v>
      </c>
      <c r="H39" s="8">
        <v>1071</v>
      </c>
      <c r="I39" s="8">
        <v>1095</v>
      </c>
      <c r="J39" s="8">
        <v>1055</v>
      </c>
      <c r="K39" s="18">
        <v>1186</v>
      </c>
    </row>
    <row r="40" spans="1:11">
      <c r="A40" s="5" t="s">
        <v>51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294</v>
      </c>
      <c r="I40" s="8">
        <v>292</v>
      </c>
      <c r="J40" s="8">
        <v>372</v>
      </c>
      <c r="K40" s="18">
        <v>91</v>
      </c>
    </row>
    <row r="41" spans="1:11">
      <c r="A41" s="5" t="s">
        <v>52</v>
      </c>
      <c r="B41" s="8">
        <v>2134</v>
      </c>
      <c r="C41" s="8">
        <v>2102</v>
      </c>
      <c r="D41" s="8">
        <v>2148</v>
      </c>
      <c r="E41" s="8">
        <v>2234</v>
      </c>
      <c r="F41" s="8">
        <v>2356</v>
      </c>
      <c r="G41" s="8">
        <v>2350</v>
      </c>
      <c r="H41" s="8">
        <v>2361</v>
      </c>
      <c r="I41" s="8">
        <v>2452</v>
      </c>
      <c r="J41" s="8">
        <v>2577</v>
      </c>
      <c r="K41" s="18">
        <v>2523</v>
      </c>
    </row>
    <row r="42" spans="1:11">
      <c r="A42" s="5" t="s">
        <v>53</v>
      </c>
      <c r="B42" s="8">
        <v>565</v>
      </c>
      <c r="C42" s="8">
        <v>603</v>
      </c>
      <c r="D42" s="8">
        <v>546</v>
      </c>
      <c r="E42" s="8">
        <v>574</v>
      </c>
      <c r="F42" s="8">
        <v>625</v>
      </c>
      <c r="G42" s="8">
        <v>627</v>
      </c>
      <c r="H42" s="8">
        <v>790</v>
      </c>
      <c r="I42" s="8">
        <v>716</v>
      </c>
      <c r="J42" s="8">
        <v>669</v>
      </c>
      <c r="K42" s="18">
        <v>644</v>
      </c>
    </row>
    <row r="43" spans="1:11">
      <c r="A43" s="6" t="s">
        <v>54</v>
      </c>
      <c r="B43" s="7">
        <f t="shared" ref="B43:K43" si="15">IF(COUNTA(B37:B42)=0,"",SUM(B37:B42))</f>
        <v>7864</v>
      </c>
      <c r="C43" s="7">
        <f t="shared" si="15"/>
        <v>6894</v>
      </c>
      <c r="D43" s="7">
        <f t="shared" si="15"/>
        <v>6880</v>
      </c>
      <c r="E43" s="7">
        <f t="shared" si="15"/>
        <v>7026</v>
      </c>
      <c r="F43" s="7">
        <f t="shared" si="15"/>
        <v>7305</v>
      </c>
      <c r="G43" s="7">
        <f t="shared" si="15"/>
        <v>8025</v>
      </c>
      <c r="H43" s="7">
        <f t="shared" si="15"/>
        <v>7686</v>
      </c>
      <c r="I43" s="7">
        <f t="shared" si="15"/>
        <v>8509</v>
      </c>
      <c r="J43" s="7">
        <f t="shared" si="15"/>
        <v>7940</v>
      </c>
      <c r="K43" s="17">
        <f t="shared" si="15"/>
        <v>8152</v>
      </c>
    </row>
    <row r="44" spans="1:11">
      <c r="A44" s="5" t="s">
        <v>55</v>
      </c>
      <c r="B44" s="8"/>
      <c r="C44" s="8"/>
      <c r="D44" s="8"/>
      <c r="E44" s="8"/>
      <c r="F44" s="8">
        <v>1251</v>
      </c>
      <c r="G44" s="8">
        <v>1284</v>
      </c>
      <c r="H44" s="8">
        <v>1306</v>
      </c>
      <c r="I44" s="8">
        <v>1313</v>
      </c>
      <c r="J44" s="8">
        <v>1213</v>
      </c>
      <c r="K44" s="18">
        <v>1238</v>
      </c>
    </row>
    <row r="45" spans="1:11">
      <c r="A45" s="5" t="s">
        <v>56</v>
      </c>
      <c r="B45" s="8">
        <v>2289</v>
      </c>
      <c r="C45" s="8">
        <v>2338</v>
      </c>
      <c r="D45" s="8">
        <v>2290</v>
      </c>
      <c r="E45" s="8">
        <v>2641</v>
      </c>
      <c r="F45" s="8">
        <v>1796</v>
      </c>
      <c r="G45" s="8">
        <v>1942</v>
      </c>
      <c r="H45" s="8">
        <v>1909</v>
      </c>
      <c r="I45" s="8">
        <v>2186</v>
      </c>
      <c r="J45" s="8">
        <v>2584</v>
      </c>
      <c r="K45" s="18">
        <v>3037</v>
      </c>
    </row>
    <row r="46" spans="1:11">
      <c r="A46" s="5" t="s">
        <v>57</v>
      </c>
      <c r="B46" s="8">
        <v>3323</v>
      </c>
      <c r="C46" s="8">
        <v>3304</v>
      </c>
      <c r="D46" s="8">
        <v>3289</v>
      </c>
      <c r="E46" s="8">
        <v>3309</v>
      </c>
      <c r="F46" s="8">
        <v>3267</v>
      </c>
      <c r="G46" s="8">
        <v>3210</v>
      </c>
      <c r="H46" s="8">
        <v>3130</v>
      </c>
      <c r="I46" s="8">
        <v>3086</v>
      </c>
      <c r="J46" s="8">
        <v>2977</v>
      </c>
      <c r="K46" s="18">
        <v>2901</v>
      </c>
    </row>
    <row r="47" spans="1:11">
      <c r="A47" s="5" t="s">
        <v>58</v>
      </c>
      <c r="B47" s="8">
        <v>922</v>
      </c>
      <c r="C47" s="8">
        <v>839</v>
      </c>
      <c r="D47" s="8">
        <v>796</v>
      </c>
      <c r="E47" s="8">
        <v>735</v>
      </c>
      <c r="F47" s="8">
        <v>836</v>
      </c>
      <c r="G47" s="8">
        <v>777</v>
      </c>
      <c r="H47" s="8">
        <v>1121</v>
      </c>
      <c r="I47" s="8">
        <v>1139</v>
      </c>
      <c r="J47" s="8">
        <v>1547</v>
      </c>
      <c r="K47" s="18">
        <v>1505</v>
      </c>
    </row>
    <row r="48" spans="1:11">
      <c r="A48" s="5" t="s">
        <v>59</v>
      </c>
      <c r="B48" s="8">
        <v>9955</v>
      </c>
      <c r="C48" s="8">
        <v>9945</v>
      </c>
      <c r="D48" s="8">
        <v>9941</v>
      </c>
      <c r="E48" s="8">
        <v>9958</v>
      </c>
      <c r="F48" s="8">
        <v>9930</v>
      </c>
      <c r="G48" s="8">
        <v>9942</v>
      </c>
      <c r="H48" s="8">
        <v>10098</v>
      </c>
      <c r="I48" s="8">
        <v>10121</v>
      </c>
      <c r="J48" s="8">
        <v>10299</v>
      </c>
      <c r="K48" s="18">
        <v>10280</v>
      </c>
    </row>
    <row r="49" spans="1:11">
      <c r="A49" s="6" t="s">
        <v>60</v>
      </c>
      <c r="B49" s="7">
        <f t="shared" ref="B49:K49" si="16">IF(COUNTA(B44:B48)=0,"",SUM(B44:B48))</f>
        <v>16489</v>
      </c>
      <c r="C49" s="7">
        <f t="shared" si="16"/>
        <v>16426</v>
      </c>
      <c r="D49" s="7">
        <f t="shared" si="16"/>
        <v>16316</v>
      </c>
      <c r="E49" s="7">
        <f t="shared" si="16"/>
        <v>16643</v>
      </c>
      <c r="F49" s="7">
        <f t="shared" si="16"/>
        <v>17080</v>
      </c>
      <c r="G49" s="7">
        <f t="shared" si="16"/>
        <v>17155</v>
      </c>
      <c r="H49" s="7">
        <f t="shared" si="16"/>
        <v>17564</v>
      </c>
      <c r="I49" s="7">
        <f t="shared" si="16"/>
        <v>17845</v>
      </c>
      <c r="J49" s="7">
        <f t="shared" si="16"/>
        <v>18620</v>
      </c>
      <c r="K49" s="17">
        <f t="shared" si="16"/>
        <v>18961</v>
      </c>
    </row>
    <row r="50" spans="1:11">
      <c r="A50" s="6" t="s">
        <v>61</v>
      </c>
      <c r="B50" s="7">
        <f t="shared" ref="B50:K50" si="17">IF(AND(B43="",B49=""),"",SUM(B43,B49))</f>
        <v>24353</v>
      </c>
      <c r="C50" s="7">
        <f t="shared" si="17"/>
        <v>23320</v>
      </c>
      <c r="D50" s="7">
        <f t="shared" si="17"/>
        <v>23196</v>
      </c>
      <c r="E50" s="7">
        <f t="shared" si="17"/>
        <v>23669</v>
      </c>
      <c r="F50" s="7">
        <f t="shared" si="17"/>
        <v>24385</v>
      </c>
      <c r="G50" s="7">
        <f t="shared" si="17"/>
        <v>25180</v>
      </c>
      <c r="H50" s="7">
        <f t="shared" si="17"/>
        <v>25250</v>
      </c>
      <c r="I50" s="7">
        <f t="shared" si="17"/>
        <v>26354</v>
      </c>
      <c r="J50" s="7">
        <f t="shared" si="17"/>
        <v>26560</v>
      </c>
      <c r="K50" s="17">
        <f t="shared" si="17"/>
        <v>27113</v>
      </c>
    </row>
    <row r="51" spans="1:11">
      <c r="A51" s="5" t="s">
        <v>62</v>
      </c>
      <c r="B51" s="8">
        <v>1164</v>
      </c>
      <c r="C51" s="8">
        <v>954</v>
      </c>
      <c r="D51" s="8">
        <v>929</v>
      </c>
      <c r="E51" s="8">
        <v>899</v>
      </c>
      <c r="F51" s="8">
        <v>1017</v>
      </c>
      <c r="G51" s="8">
        <v>863</v>
      </c>
      <c r="H51" s="8">
        <v>892</v>
      </c>
      <c r="I51" s="8">
        <v>886</v>
      </c>
      <c r="J51" s="8">
        <v>997</v>
      </c>
      <c r="K51" s="18">
        <v>904</v>
      </c>
    </row>
    <row r="52" spans="1:11">
      <c r="A52" s="5" t="s">
        <v>63</v>
      </c>
      <c r="B52" s="8">
        <v>92</v>
      </c>
      <c r="C52" s="8">
        <v>68</v>
      </c>
      <c r="D52" s="8">
        <v>62</v>
      </c>
      <c r="E52" s="8">
        <v>52</v>
      </c>
      <c r="F52" s="8">
        <v>147</v>
      </c>
      <c r="G52" s="8">
        <v>75</v>
      </c>
      <c r="H52" s="8">
        <v>65</v>
      </c>
      <c r="I52" s="8">
        <v>49</v>
      </c>
      <c r="J52" s="8">
        <v>189</v>
      </c>
      <c r="K52" s="18">
        <v>133</v>
      </c>
    </row>
    <row r="53" spans="1:11">
      <c r="A53" s="5" t="s">
        <v>64</v>
      </c>
      <c r="B53" s="8">
        <v>1855</v>
      </c>
      <c r="C53" s="8">
        <v>1906</v>
      </c>
      <c r="D53" s="8">
        <v>1622</v>
      </c>
      <c r="E53" s="8">
        <v>1542</v>
      </c>
      <c r="F53" s="8">
        <v>1434</v>
      </c>
      <c r="G53" s="8">
        <v>1412</v>
      </c>
      <c r="H53" s="8">
        <v>1471</v>
      </c>
      <c r="I53" s="8">
        <v>1384</v>
      </c>
      <c r="J53" s="8">
        <v>1445</v>
      </c>
      <c r="K53" s="18">
        <v>1851</v>
      </c>
    </row>
    <row r="54" spans="1:11">
      <c r="A54" s="5" t="s">
        <v>65</v>
      </c>
      <c r="B54" s="8">
        <v>1000</v>
      </c>
      <c r="C54" s="8">
        <v>0</v>
      </c>
      <c r="D54" s="8">
        <v>499</v>
      </c>
      <c r="E54" s="8">
        <v>499</v>
      </c>
      <c r="F54" s="8">
        <v>500</v>
      </c>
      <c r="G54" s="8">
        <v>1499</v>
      </c>
      <c r="H54" s="8">
        <v>1999</v>
      </c>
      <c r="I54" s="8">
        <v>1264</v>
      </c>
      <c r="J54" s="8">
        <v>1250</v>
      </c>
      <c r="K54" s="18">
        <v>750</v>
      </c>
    </row>
    <row r="55" spans="1:11">
      <c r="A55" s="6" t="s">
        <v>66</v>
      </c>
      <c r="B55" s="7">
        <f t="shared" ref="B55:K55" si="18">IF(COUNTA(B51:B54)=0,"",SUM(B51:B54))</f>
        <v>4111</v>
      </c>
      <c r="C55" s="7">
        <f t="shared" si="18"/>
        <v>2928</v>
      </c>
      <c r="D55" s="7">
        <f t="shared" si="18"/>
        <v>3112</v>
      </c>
      <c r="E55" s="7">
        <f t="shared" si="18"/>
        <v>2992</v>
      </c>
      <c r="F55" s="7">
        <f t="shared" si="18"/>
        <v>3098</v>
      </c>
      <c r="G55" s="7">
        <f t="shared" si="18"/>
        <v>3849</v>
      </c>
      <c r="H55" s="7">
        <f t="shared" si="18"/>
        <v>4427</v>
      </c>
      <c r="I55" s="7">
        <f t="shared" si="18"/>
        <v>3583</v>
      </c>
      <c r="J55" s="7">
        <f t="shared" si="18"/>
        <v>3881</v>
      </c>
      <c r="K55" s="17">
        <f t="shared" si="18"/>
        <v>3638</v>
      </c>
    </row>
    <row r="56" spans="1:11">
      <c r="A56" s="5" t="s">
        <v>67</v>
      </c>
      <c r="B56" s="8">
        <v>10175</v>
      </c>
      <c r="C56" s="8">
        <v>10178</v>
      </c>
      <c r="D56" s="8">
        <v>9681</v>
      </c>
      <c r="E56" s="8">
        <v>9683</v>
      </c>
      <c r="F56" s="8">
        <v>10354</v>
      </c>
      <c r="G56" s="8">
        <v>10226</v>
      </c>
      <c r="H56" s="8">
        <v>9479</v>
      </c>
      <c r="I56" s="8">
        <v>10971</v>
      </c>
      <c r="J56" s="8">
        <v>10972</v>
      </c>
      <c r="K56" s="18">
        <v>10974</v>
      </c>
    </row>
    <row r="57" spans="1:11">
      <c r="A57" s="5" t="s">
        <v>68</v>
      </c>
      <c r="B57" s="8">
        <v>9</v>
      </c>
      <c r="C57" s="8">
        <v>9</v>
      </c>
      <c r="D57" s="8">
        <v>7</v>
      </c>
      <c r="E57" s="8">
        <v>4</v>
      </c>
      <c r="F57" s="8">
        <v>10</v>
      </c>
      <c r="G57" s="8">
        <v>4</v>
      </c>
      <c r="H57" s="8">
        <v>60</v>
      </c>
      <c r="I57" s="8">
        <v>60</v>
      </c>
      <c r="J57" s="8">
        <v>81</v>
      </c>
      <c r="K57" s="18">
        <v>76</v>
      </c>
    </row>
    <row r="58" spans="1:11">
      <c r="A58" s="5" t="s">
        <v>69</v>
      </c>
      <c r="B58" s="8">
        <v>44</v>
      </c>
      <c r="C58" s="8">
        <v>46</v>
      </c>
      <c r="D58" s="8">
        <v>48</v>
      </c>
      <c r="E58" s="8">
        <v>57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18">
        <v>0</v>
      </c>
    </row>
    <row r="59" spans="1:11">
      <c r="A59" s="5" t="s">
        <v>70</v>
      </c>
      <c r="B59" s="8">
        <v>1054</v>
      </c>
      <c r="C59" s="8">
        <v>1009</v>
      </c>
      <c r="D59" s="8">
        <v>1003</v>
      </c>
      <c r="E59" s="8">
        <v>1189</v>
      </c>
      <c r="F59" s="8">
        <v>1392</v>
      </c>
      <c r="G59" s="8">
        <v>1424</v>
      </c>
      <c r="H59" s="8">
        <v>1348</v>
      </c>
      <c r="I59" s="8">
        <v>1313</v>
      </c>
      <c r="J59" s="8">
        <v>1175</v>
      </c>
      <c r="K59" s="18">
        <v>1151</v>
      </c>
    </row>
    <row r="60" spans="1:11">
      <c r="A60" s="6" t="s">
        <v>71</v>
      </c>
      <c r="B60" s="7">
        <f t="shared" ref="B60:K60" si="19">IF(COUNTA(B56:B59)=0,"",SUM(B56:B59))</f>
        <v>11282</v>
      </c>
      <c r="C60" s="7">
        <f t="shared" si="19"/>
        <v>11242</v>
      </c>
      <c r="D60" s="7">
        <f t="shared" si="19"/>
        <v>10739</v>
      </c>
      <c r="E60" s="7">
        <f t="shared" si="19"/>
        <v>10933</v>
      </c>
      <c r="F60" s="7">
        <f t="shared" si="19"/>
        <v>11756</v>
      </c>
      <c r="G60" s="7">
        <f t="shared" si="19"/>
        <v>11654</v>
      </c>
      <c r="H60" s="7">
        <f t="shared" si="19"/>
        <v>10887</v>
      </c>
      <c r="I60" s="7">
        <f t="shared" si="19"/>
        <v>12344</v>
      </c>
      <c r="J60" s="7">
        <f t="shared" si="19"/>
        <v>12228</v>
      </c>
      <c r="K60" s="17">
        <f t="shared" si="19"/>
        <v>12201</v>
      </c>
    </row>
    <row r="61" spans="1:11">
      <c r="A61" s="6" t="s">
        <v>72</v>
      </c>
      <c r="B61" s="7">
        <f t="shared" ref="B61:K61" si="20">IF(AND(B55="",B60=""),"",SUM(B55,B60))</f>
        <v>15393</v>
      </c>
      <c r="C61" s="7">
        <f t="shared" si="20"/>
        <v>14170</v>
      </c>
      <c r="D61" s="7">
        <f t="shared" si="20"/>
        <v>13851</v>
      </c>
      <c r="E61" s="7">
        <f t="shared" si="20"/>
        <v>13925</v>
      </c>
      <c r="F61" s="7">
        <f t="shared" si="20"/>
        <v>14854</v>
      </c>
      <c r="G61" s="7">
        <f t="shared" si="20"/>
        <v>15503</v>
      </c>
      <c r="H61" s="7">
        <f t="shared" si="20"/>
        <v>15314</v>
      </c>
      <c r="I61" s="7">
        <f t="shared" si="20"/>
        <v>15927</v>
      </c>
      <c r="J61" s="7">
        <f t="shared" si="20"/>
        <v>16109</v>
      </c>
      <c r="K61" s="17">
        <f t="shared" si="20"/>
        <v>15839</v>
      </c>
    </row>
    <row r="62" spans="1:11">
      <c r="A62" s="5" t="s">
        <v>73</v>
      </c>
      <c r="B62" s="8">
        <v>316</v>
      </c>
      <c r="C62" s="8">
        <v>321</v>
      </c>
      <c r="D62" s="8">
        <v>327</v>
      </c>
      <c r="E62" s="8">
        <v>338</v>
      </c>
      <c r="F62" s="8">
        <v>348</v>
      </c>
      <c r="G62" s="8">
        <v>355</v>
      </c>
      <c r="H62" s="8">
        <v>367</v>
      </c>
      <c r="I62" s="8">
        <v>382</v>
      </c>
      <c r="J62" s="8">
        <v>395</v>
      </c>
      <c r="K62" s="18">
        <v>347</v>
      </c>
    </row>
    <row r="63" spans="1:11">
      <c r="A63" s="5" t="s">
        <v>74</v>
      </c>
      <c r="B63" s="8">
        <v>56</v>
      </c>
      <c r="C63" s="8">
        <v>56</v>
      </c>
      <c r="D63" s="8">
        <v>56</v>
      </c>
      <c r="E63" s="8">
        <v>56</v>
      </c>
      <c r="F63" s="8">
        <v>56</v>
      </c>
      <c r="G63" s="8">
        <v>56</v>
      </c>
      <c r="H63" s="8">
        <v>56</v>
      </c>
      <c r="I63" s="8">
        <v>56</v>
      </c>
      <c r="J63" s="8">
        <v>56</v>
      </c>
      <c r="K63" s="18">
        <v>56</v>
      </c>
    </row>
    <row r="64" spans="1:11">
      <c r="A64" s="5" t="s">
        <v>75</v>
      </c>
      <c r="B64" s="8">
        <v>14501</v>
      </c>
      <c r="C64" s="8">
        <v>14619</v>
      </c>
      <c r="D64" s="8">
        <v>14730</v>
      </c>
      <c r="E64" s="8">
        <v>14849</v>
      </c>
      <c r="F64" s="8">
        <v>14962</v>
      </c>
      <c r="G64" s="8">
        <v>15093</v>
      </c>
      <c r="H64" s="8">
        <v>15206</v>
      </c>
      <c r="I64" s="8">
        <v>15324</v>
      </c>
      <c r="J64" s="8">
        <v>15424</v>
      </c>
      <c r="K64" s="18">
        <v>15537</v>
      </c>
    </row>
    <row r="65" spans="1:11">
      <c r="A65" s="5" t="s">
        <v>76</v>
      </c>
      <c r="B65" s="8">
        <v>-3210</v>
      </c>
      <c r="C65" s="8">
        <v>-3469</v>
      </c>
      <c r="D65" s="8">
        <v>-3762</v>
      </c>
      <c r="E65" s="8">
        <v>-4021</v>
      </c>
      <c r="F65" s="8">
        <v>-4004</v>
      </c>
      <c r="G65" s="8">
        <v>-4253</v>
      </c>
      <c r="H65" s="8">
        <v>-4441</v>
      </c>
      <c r="I65" s="8">
        <v>-4439</v>
      </c>
      <c r="J65" s="8">
        <v>-4283</v>
      </c>
      <c r="K65" s="18">
        <v>-4341</v>
      </c>
    </row>
    <row r="66" spans="1:11">
      <c r="A66" s="5" t="s">
        <v>77</v>
      </c>
      <c r="B66" s="8">
        <v>90</v>
      </c>
      <c r="C66" s="8">
        <v>44</v>
      </c>
      <c r="D66" s="8">
        <v>30</v>
      </c>
      <c r="E66" s="8">
        <v>104</v>
      </c>
      <c r="F66" s="8">
        <v>-17</v>
      </c>
      <c r="G66" s="8">
        <v>29</v>
      </c>
      <c r="H66" s="8">
        <v>170</v>
      </c>
      <c r="I66" s="8">
        <v>167</v>
      </c>
      <c r="J66" s="8">
        <v>213</v>
      </c>
      <c r="K66" s="18">
        <v>171</v>
      </c>
    </row>
    <row r="67" spans="1:11">
      <c r="A67" s="5" t="s">
        <v>78</v>
      </c>
      <c r="B67" s="8">
        <v>-2793</v>
      </c>
      <c r="C67" s="8">
        <v>-2421</v>
      </c>
      <c r="D67" s="8">
        <v>-2036</v>
      </c>
      <c r="E67" s="8">
        <v>-1582</v>
      </c>
      <c r="F67" s="8">
        <v>-1814</v>
      </c>
      <c r="G67" s="8">
        <v>-1603</v>
      </c>
      <c r="H67" s="8">
        <v>-1422</v>
      </c>
      <c r="I67" s="8">
        <v>-1063</v>
      </c>
      <c r="J67" s="8">
        <v>-1354</v>
      </c>
      <c r="K67" s="18">
        <v>-496</v>
      </c>
    </row>
    <row r="68" spans="1:11">
      <c r="A68" s="6" t="s">
        <v>79</v>
      </c>
      <c r="B68" s="7">
        <f t="shared" ref="B68:K68" si="21">IF(COUNTA(B63:B67)=0,"",SUM(B63:B67))</f>
        <v>8644</v>
      </c>
      <c r="C68" s="7">
        <f t="shared" si="21"/>
        <v>8829</v>
      </c>
      <c r="D68" s="7">
        <f t="shared" si="21"/>
        <v>9018</v>
      </c>
      <c r="E68" s="7">
        <f t="shared" si="21"/>
        <v>9406</v>
      </c>
      <c r="F68" s="7">
        <f t="shared" si="21"/>
        <v>9183</v>
      </c>
      <c r="G68" s="7">
        <f t="shared" si="21"/>
        <v>9322</v>
      </c>
      <c r="H68" s="7">
        <f t="shared" si="21"/>
        <v>9569</v>
      </c>
      <c r="I68" s="7">
        <f t="shared" si="21"/>
        <v>10045</v>
      </c>
      <c r="J68" s="7">
        <f t="shared" si="21"/>
        <v>10056</v>
      </c>
      <c r="K68" s="17">
        <f t="shared" si="21"/>
        <v>10927</v>
      </c>
    </row>
    <row r="69" spans="1:11">
      <c r="A69" s="6" t="s">
        <v>80</v>
      </c>
      <c r="B69" s="7">
        <f t="shared" ref="B69:K69" si="22">IF(AND(B62="",B68=""),"",SUM(B62,B68))</f>
        <v>8960</v>
      </c>
      <c r="C69" s="7">
        <f t="shared" si="22"/>
        <v>9150</v>
      </c>
      <c r="D69" s="7">
        <f t="shared" si="22"/>
        <v>9345</v>
      </c>
      <c r="E69" s="7">
        <f t="shared" si="22"/>
        <v>9744</v>
      </c>
      <c r="F69" s="7">
        <f t="shared" si="22"/>
        <v>9531</v>
      </c>
      <c r="G69" s="7">
        <f t="shared" si="22"/>
        <v>9677</v>
      </c>
      <c r="H69" s="7">
        <f t="shared" si="22"/>
        <v>9936</v>
      </c>
      <c r="I69" s="7">
        <f t="shared" si="22"/>
        <v>10427</v>
      </c>
      <c r="J69" s="7">
        <f t="shared" si="22"/>
        <v>10451</v>
      </c>
      <c r="K69" s="17">
        <f t="shared" si="22"/>
        <v>11274</v>
      </c>
    </row>
    <row r="70" spans="1:11">
      <c r="A70" s="6" t="s">
        <v>81</v>
      </c>
      <c r="B70" s="7">
        <f t="shared" ref="B70:K70" si="23">IF(AND(B61="",B69=""),"",SUM(B61,B69))</f>
        <v>24353</v>
      </c>
      <c r="C70" s="7">
        <f t="shared" si="23"/>
        <v>23320</v>
      </c>
      <c r="D70" s="7">
        <f t="shared" si="23"/>
        <v>23196</v>
      </c>
      <c r="E70" s="7">
        <f t="shared" si="23"/>
        <v>23669</v>
      </c>
      <c r="F70" s="7">
        <f t="shared" si="23"/>
        <v>24385</v>
      </c>
      <c r="G70" s="7">
        <f t="shared" si="23"/>
        <v>25180</v>
      </c>
      <c r="H70" s="7">
        <f t="shared" si="23"/>
        <v>25250</v>
      </c>
      <c r="I70" s="7">
        <f t="shared" si="23"/>
        <v>26354</v>
      </c>
      <c r="J70" s="7">
        <f t="shared" si="23"/>
        <v>26560</v>
      </c>
      <c r="K70" s="17">
        <f t="shared" si="23"/>
        <v>27113</v>
      </c>
    </row>
    <row r="71" spans="1:11">
      <c r="A71" s="6" t="s">
        <v>82</v>
      </c>
      <c r="B71" s="7">
        <f t="shared" ref="B71:K71" si="24">IF(B50="","",B50-B70)</f>
        <v>0</v>
      </c>
      <c r="C71" s="7">
        <f t="shared" si="24"/>
        <v>0</v>
      </c>
      <c r="D71" s="7">
        <f t="shared" si="24"/>
        <v>0</v>
      </c>
      <c r="E71" s="7">
        <f t="shared" si="24"/>
        <v>0</v>
      </c>
      <c r="F71" s="7">
        <f t="shared" si="24"/>
        <v>0</v>
      </c>
      <c r="G71" s="7">
        <f t="shared" si="24"/>
        <v>0</v>
      </c>
      <c r="H71" s="7">
        <f t="shared" si="24"/>
        <v>0</v>
      </c>
      <c r="I71" s="7">
        <f t="shared" si="24"/>
        <v>0</v>
      </c>
      <c r="J71" s="7">
        <f t="shared" si="24"/>
        <v>0</v>
      </c>
      <c r="K71" s="17">
        <f t="shared" si="24"/>
        <v>0</v>
      </c>
    </row>
    <row r="72" spans="1:11">
      <c r="A72" s="5"/>
      <c r="B72" s="8"/>
      <c r="C72" s="8"/>
      <c r="D72" s="8"/>
      <c r="E72" s="8"/>
      <c r="F72" s="8"/>
      <c r="G72" s="8"/>
      <c r="H72" s="8"/>
      <c r="I72" s="8"/>
      <c r="J72" s="8"/>
      <c r="K72" s="18"/>
    </row>
    <row r="73" spans="1:11">
      <c r="A73" s="6" t="s">
        <v>83</v>
      </c>
      <c r="B73" s="7"/>
      <c r="C73" s="7"/>
      <c r="D73" s="7"/>
      <c r="E73" s="7"/>
      <c r="F73" s="7"/>
      <c r="G73" s="7"/>
      <c r="H73" s="7"/>
      <c r="I73" s="7"/>
      <c r="J73" s="7"/>
      <c r="K73" s="17"/>
    </row>
    <row r="74" spans="1:11">
      <c r="A74" s="5" t="s">
        <v>30</v>
      </c>
      <c r="B74" s="8">
        <v>703</v>
      </c>
      <c r="C74" s="8">
        <v>644</v>
      </c>
      <c r="D74" s="8">
        <v>664</v>
      </c>
      <c r="E74" s="8">
        <v>729</v>
      </c>
      <c r="F74" s="8">
        <v>505</v>
      </c>
      <c r="G74" s="8">
        <v>497</v>
      </c>
      <c r="H74" s="8">
        <v>457</v>
      </c>
      <c r="I74" s="8">
        <v>646</v>
      </c>
      <c r="J74" s="8">
        <v>468</v>
      </c>
      <c r="K74" s="18">
        <v>1133</v>
      </c>
    </row>
    <row r="75" spans="1:11">
      <c r="A75" s="5" t="s">
        <v>84</v>
      </c>
      <c r="B75" s="8">
        <v>269</v>
      </c>
      <c r="C75" s="8">
        <v>235</v>
      </c>
      <c r="D75" s="8">
        <v>213</v>
      </c>
      <c r="E75" s="8">
        <v>218</v>
      </c>
      <c r="F75" s="8">
        <v>259</v>
      </c>
      <c r="G75" s="8">
        <v>209</v>
      </c>
      <c r="H75" s="8">
        <v>207</v>
      </c>
      <c r="I75" s="8">
        <v>201</v>
      </c>
      <c r="J75" s="8">
        <v>215</v>
      </c>
      <c r="K75" s="18">
        <v>179</v>
      </c>
    </row>
    <row r="76" spans="1:11">
      <c r="A76" s="5" t="s">
        <v>85</v>
      </c>
      <c r="B76" s="8">
        <v>107</v>
      </c>
      <c r="C76" s="8">
        <v>115</v>
      </c>
      <c r="D76" s="8">
        <v>114</v>
      </c>
      <c r="E76" s="8">
        <v>115</v>
      </c>
      <c r="F76" s="8">
        <v>117</v>
      </c>
      <c r="G76" s="8">
        <v>127</v>
      </c>
      <c r="H76" s="8">
        <v>117</v>
      </c>
      <c r="I76" s="8">
        <v>118</v>
      </c>
      <c r="J76" s="8">
        <v>100</v>
      </c>
      <c r="K76" s="18">
        <v>109</v>
      </c>
    </row>
    <row r="77" spans="1:11">
      <c r="A77" s="5" t="s">
        <v>86</v>
      </c>
      <c r="B77" s="8">
        <v>0</v>
      </c>
      <c r="C77" s="8">
        <v>1</v>
      </c>
      <c r="D77" s="8">
        <v>1</v>
      </c>
      <c r="E77" s="8">
        <v>0</v>
      </c>
      <c r="F77" s="8">
        <v>1</v>
      </c>
      <c r="G77" s="8">
        <v>1</v>
      </c>
      <c r="H77" s="8">
        <v>0</v>
      </c>
      <c r="I77" s="8">
        <v>1</v>
      </c>
      <c r="J77" s="8">
        <v>1</v>
      </c>
      <c r="K77" s="18">
        <v>1</v>
      </c>
    </row>
    <row r="78" spans="1:11">
      <c r="A78" s="5" t="s">
        <v>87</v>
      </c>
      <c r="B78" s="8">
        <v>2</v>
      </c>
      <c r="C78" s="8">
        <v>2</v>
      </c>
      <c r="D78" s="8">
        <v>1</v>
      </c>
      <c r="E78" s="8">
        <v>2</v>
      </c>
      <c r="F78" s="8">
        <v>2</v>
      </c>
      <c r="G78" s="8">
        <v>1</v>
      </c>
      <c r="H78" s="8">
        <v>2</v>
      </c>
      <c r="I78" s="8">
        <v>2</v>
      </c>
      <c r="J78" s="8">
        <v>2</v>
      </c>
      <c r="K78" s="18">
        <v>2</v>
      </c>
    </row>
    <row r="79" spans="1:11">
      <c r="A79" s="5" t="s">
        <v>88</v>
      </c>
      <c r="B79" s="8">
        <v>0</v>
      </c>
      <c r="C79" s="8">
        <v>-2</v>
      </c>
      <c r="D79" s="8">
        <v>0</v>
      </c>
      <c r="E79" s="8">
        <v>0</v>
      </c>
      <c r="F79" s="8">
        <v>-1</v>
      </c>
      <c r="G79" s="8">
        <v>-22</v>
      </c>
      <c r="H79" s="8">
        <v>-6</v>
      </c>
      <c r="I79" s="8">
        <v>-1</v>
      </c>
      <c r="J79" s="8">
        <v>0</v>
      </c>
      <c r="K79" s="18">
        <v>-627</v>
      </c>
    </row>
    <row r="80" spans="1:11">
      <c r="A80" s="5" t="s">
        <v>29</v>
      </c>
      <c r="B80" s="8">
        <v>2</v>
      </c>
      <c r="C80" s="8">
        <v>1</v>
      </c>
      <c r="D80" s="8">
        <v>3</v>
      </c>
      <c r="E80" s="8">
        <v>6</v>
      </c>
      <c r="F80" s="8">
        <v>2</v>
      </c>
      <c r="G80" s="8">
        <v>4</v>
      </c>
      <c r="H80" s="8">
        <v>28</v>
      </c>
      <c r="I80" s="8">
        <v>1</v>
      </c>
      <c r="J80" s="8">
        <v>37</v>
      </c>
      <c r="K80" s="18">
        <v>4</v>
      </c>
    </row>
    <row r="81" spans="1:11">
      <c r="A81" s="5" t="s">
        <v>89</v>
      </c>
      <c r="B81" s="8">
        <v>0</v>
      </c>
      <c r="C81" s="8">
        <v>2</v>
      </c>
      <c r="D81" s="8">
        <v>3</v>
      </c>
      <c r="E81" s="8">
        <v>7</v>
      </c>
      <c r="F81" s="8">
        <v>6</v>
      </c>
      <c r="G81" s="8">
        <v>6</v>
      </c>
      <c r="H81" s="8">
        <v>-3</v>
      </c>
      <c r="I81" s="8">
        <v>-1</v>
      </c>
      <c r="J81" s="8">
        <v>0</v>
      </c>
      <c r="K81" s="18">
        <v>-1</v>
      </c>
    </row>
    <row r="82" spans="1:11">
      <c r="A82" s="5" t="s">
        <v>90</v>
      </c>
      <c r="B82" s="8">
        <v>-97</v>
      </c>
      <c r="C82" s="8">
        <v>-64</v>
      </c>
      <c r="D82" s="8">
        <v>-23</v>
      </c>
      <c r="E82" s="8">
        <v>-40</v>
      </c>
      <c r="F82" s="8">
        <v>-145</v>
      </c>
      <c r="G82" s="8">
        <v>-27</v>
      </c>
      <c r="H82" s="8">
        <v>3</v>
      </c>
      <c r="I82" s="8">
        <v>-8</v>
      </c>
      <c r="J82" s="8">
        <v>24</v>
      </c>
      <c r="K82" s="18">
        <v>-28</v>
      </c>
    </row>
    <row r="83" spans="1:11">
      <c r="A83" s="5" t="s">
        <v>91</v>
      </c>
      <c r="B83" s="8">
        <v>-20</v>
      </c>
      <c r="C83" s="8">
        <v>-25</v>
      </c>
      <c r="D83" s="8">
        <v>10</v>
      </c>
      <c r="E83" s="8">
        <v>-167</v>
      </c>
      <c r="F83" s="8">
        <v>-25</v>
      </c>
      <c r="G83" s="8">
        <v>-29</v>
      </c>
      <c r="H83" s="8">
        <v>-106</v>
      </c>
      <c r="I83" s="8">
        <v>54</v>
      </c>
      <c r="J83" s="8">
        <v>38</v>
      </c>
      <c r="K83" s="18">
        <v>-115</v>
      </c>
    </row>
    <row r="84" spans="1:11">
      <c r="A84" s="5" t="s">
        <v>92</v>
      </c>
      <c r="B84" s="8">
        <v>6</v>
      </c>
      <c r="C84" s="8">
        <v>32</v>
      </c>
      <c r="D84" s="8">
        <v>-46</v>
      </c>
      <c r="E84" s="8">
        <v>-86</v>
      </c>
      <c r="F84" s="8">
        <v>-122</v>
      </c>
      <c r="G84" s="8">
        <v>6</v>
      </c>
      <c r="H84" s="8">
        <v>-90</v>
      </c>
      <c r="I84" s="8">
        <v>-96</v>
      </c>
      <c r="J84" s="8">
        <v>-128</v>
      </c>
      <c r="K84" s="18">
        <v>87</v>
      </c>
    </row>
    <row r="85" spans="1:11">
      <c r="A85" s="5" t="s">
        <v>93</v>
      </c>
      <c r="B85" s="8">
        <v>101</v>
      </c>
      <c r="C85" s="8">
        <v>-102</v>
      </c>
      <c r="D85" s="8">
        <v>-220</v>
      </c>
      <c r="E85" s="8">
        <v>118</v>
      </c>
      <c r="F85" s="8">
        <v>16</v>
      </c>
      <c r="G85" s="8">
        <v>-110</v>
      </c>
      <c r="H85" s="8">
        <v>33</v>
      </c>
      <c r="I85" s="8">
        <v>-219</v>
      </c>
      <c r="J85" s="8">
        <v>246</v>
      </c>
      <c r="K85" s="18">
        <v>231</v>
      </c>
    </row>
    <row r="86" spans="1:11">
      <c r="A86" s="5" t="s">
        <v>94</v>
      </c>
      <c r="B86" s="8">
        <v>65</v>
      </c>
      <c r="C86" s="8">
        <v>6</v>
      </c>
      <c r="D86" s="8">
        <v>40</v>
      </c>
      <c r="E86" s="8">
        <v>-134</v>
      </c>
      <c r="F86" s="8">
        <v>-218</v>
      </c>
      <c r="G86" s="8">
        <v>-106</v>
      </c>
      <c r="H86" s="8">
        <v>131</v>
      </c>
      <c r="I86" s="8">
        <v>-123</v>
      </c>
      <c r="J86" s="8">
        <v>-114</v>
      </c>
      <c r="K86" s="18">
        <v>-182</v>
      </c>
    </row>
    <row r="87" spans="1:11">
      <c r="A87" s="5" t="s">
        <v>95</v>
      </c>
      <c r="B87" s="8">
        <v>7</v>
      </c>
      <c r="C87" s="8">
        <v>3</v>
      </c>
      <c r="D87" s="8">
        <v>5</v>
      </c>
      <c r="E87" s="8">
        <v>7</v>
      </c>
      <c r="F87" s="8">
        <v>-1</v>
      </c>
      <c r="G87" s="8">
        <v>4</v>
      </c>
      <c r="H87" s="8">
        <v>9</v>
      </c>
      <c r="I87" s="8">
        <v>8</v>
      </c>
      <c r="J87" s="8">
        <v>3</v>
      </c>
      <c r="K87" s="18">
        <v>4</v>
      </c>
    </row>
    <row r="88" spans="1:11">
      <c r="A88" s="5" t="s">
        <v>96</v>
      </c>
      <c r="B88" s="8">
        <v>-8</v>
      </c>
      <c r="C88" s="8">
        <v>3</v>
      </c>
      <c r="D88" s="8">
        <v>-4</v>
      </c>
      <c r="E88" s="8">
        <v>4</v>
      </c>
      <c r="F88" s="8">
        <v>-5</v>
      </c>
      <c r="G88" s="8">
        <v>4</v>
      </c>
      <c r="H88" s="8">
        <v>-3</v>
      </c>
      <c r="I88" s="8">
        <v>2</v>
      </c>
      <c r="J88" s="8">
        <v>-1</v>
      </c>
      <c r="K88" s="18">
        <v>-4</v>
      </c>
    </row>
    <row r="89" spans="1:11">
      <c r="A89" s="6" t="s">
        <v>97</v>
      </c>
      <c r="B89" s="7">
        <f t="shared" ref="B89:K89" si="25">SUM(B74:B88)</f>
        <v>1137</v>
      </c>
      <c r="C89" s="7">
        <f t="shared" si="25"/>
        <v>851</v>
      </c>
      <c r="D89" s="7">
        <f t="shared" si="25"/>
        <v>761</v>
      </c>
      <c r="E89" s="7">
        <f t="shared" si="25"/>
        <v>779</v>
      </c>
      <c r="F89" s="7">
        <f t="shared" si="25"/>
        <v>391</v>
      </c>
      <c r="G89" s="7">
        <f t="shared" si="25"/>
        <v>565</v>
      </c>
      <c r="H89" s="7">
        <f t="shared" si="25"/>
        <v>779</v>
      </c>
      <c r="I89" s="7">
        <f t="shared" si="25"/>
        <v>585</v>
      </c>
      <c r="J89" s="7">
        <f t="shared" si="25"/>
        <v>891</v>
      </c>
      <c r="K89" s="17">
        <f t="shared" si="25"/>
        <v>793</v>
      </c>
    </row>
    <row r="90" spans="1:11">
      <c r="A90" s="5" t="s">
        <v>98</v>
      </c>
      <c r="B90" s="8">
        <v>-44</v>
      </c>
      <c r="C90" s="8">
        <v>-32</v>
      </c>
      <c r="D90" s="8">
        <v>-55</v>
      </c>
      <c r="E90" s="8">
        <v>-26</v>
      </c>
      <c r="F90" s="8">
        <v>-36</v>
      </c>
      <c r="G90" s="8">
        <v>-25</v>
      </c>
      <c r="H90" s="8">
        <v>-37</v>
      </c>
      <c r="I90" s="8">
        <v>-23</v>
      </c>
      <c r="J90" s="8">
        <v>-55</v>
      </c>
      <c r="K90" s="18">
        <v>-42</v>
      </c>
    </row>
    <row r="91" spans="1:11">
      <c r="A91" s="5" t="s">
        <v>99</v>
      </c>
      <c r="B91" s="8">
        <v>-175</v>
      </c>
      <c r="C91" s="8">
        <v>-226</v>
      </c>
      <c r="D91" s="8">
        <v>-185</v>
      </c>
      <c r="E91" s="8">
        <v>-186</v>
      </c>
      <c r="F91" s="8">
        <v>-130</v>
      </c>
      <c r="G91" s="8">
        <v>-139</v>
      </c>
      <c r="H91" s="8">
        <v>-83</v>
      </c>
      <c r="I91" s="8">
        <v>-77</v>
      </c>
      <c r="J91" s="8">
        <v>-98</v>
      </c>
      <c r="K91" s="18">
        <v>-79</v>
      </c>
    </row>
    <row r="92" spans="1:11">
      <c r="A92" s="5" t="s">
        <v>100</v>
      </c>
      <c r="B92" s="8">
        <v>0</v>
      </c>
      <c r="C92" s="8">
        <v>2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18">
        <v>0</v>
      </c>
    </row>
    <row r="93" spans="1:11">
      <c r="A93" s="5" t="s">
        <v>101</v>
      </c>
      <c r="B93" s="8">
        <v>0</v>
      </c>
      <c r="C93" s="8">
        <v>2</v>
      </c>
      <c r="D93" s="8">
        <v>1</v>
      </c>
      <c r="E93" s="8">
        <v>0</v>
      </c>
      <c r="F93" s="8">
        <v>1</v>
      </c>
      <c r="G93" s="8">
        <v>1</v>
      </c>
      <c r="H93" s="8">
        <v>0</v>
      </c>
      <c r="I93" s="8">
        <v>1</v>
      </c>
      <c r="J93" s="8">
        <v>0</v>
      </c>
      <c r="K93" s="18">
        <v>0</v>
      </c>
    </row>
    <row r="94" spans="1:11">
      <c r="A94" s="5" t="s">
        <v>102</v>
      </c>
      <c r="B94" s="8">
        <v>0</v>
      </c>
      <c r="C94" s="8">
        <v>0</v>
      </c>
      <c r="D94" s="8">
        <v>0</v>
      </c>
      <c r="E94" s="8">
        <v>0</v>
      </c>
      <c r="F94" s="8">
        <v>30</v>
      </c>
      <c r="G94" s="8">
        <v>0</v>
      </c>
      <c r="H94" s="8">
        <v>0</v>
      </c>
      <c r="I94" s="8">
        <v>0</v>
      </c>
      <c r="J94" s="8">
        <v>0</v>
      </c>
      <c r="K94" s="18">
        <v>0</v>
      </c>
    </row>
    <row r="95" spans="1:11">
      <c r="A95" s="5" t="s">
        <v>103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-679</v>
      </c>
      <c r="I95" s="8">
        <v>-11</v>
      </c>
      <c r="J95" s="8">
        <v>-485</v>
      </c>
      <c r="K95" s="18">
        <v>0</v>
      </c>
    </row>
    <row r="96" spans="1:11">
      <c r="A96" s="5" t="s">
        <v>104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18">
        <v>878</v>
      </c>
    </row>
    <row r="97" spans="1:11">
      <c r="A97" s="5" t="s">
        <v>105</v>
      </c>
      <c r="B97" s="8">
        <v>-409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-500</v>
      </c>
      <c r="J97" s="8">
        <v>0</v>
      </c>
      <c r="K97" s="18">
        <v>0</v>
      </c>
    </row>
    <row r="98" spans="1:11">
      <c r="A98" s="5" t="s">
        <v>106</v>
      </c>
      <c r="B98" s="8">
        <v>0</v>
      </c>
      <c r="C98" s="8">
        <v>9</v>
      </c>
      <c r="D98" s="8">
        <v>0</v>
      </c>
      <c r="E98" s="8">
        <v>0</v>
      </c>
      <c r="F98" s="8">
        <v>400</v>
      </c>
      <c r="G98" s="8">
        <v>0</v>
      </c>
      <c r="H98" s="8">
        <v>0</v>
      </c>
      <c r="I98" s="8">
        <v>0</v>
      </c>
      <c r="J98" s="8">
        <v>500</v>
      </c>
      <c r="K98" s="18">
        <v>0</v>
      </c>
    </row>
    <row r="99" spans="1:11">
      <c r="A99" s="5" t="s">
        <v>107</v>
      </c>
      <c r="B99" s="8">
        <v>-1</v>
      </c>
      <c r="C99" s="8">
        <v>-34</v>
      </c>
      <c r="D99" s="8">
        <v>0</v>
      </c>
      <c r="E99" s="8">
        <v>-159</v>
      </c>
      <c r="F99" s="8">
        <v>-67</v>
      </c>
      <c r="G99" s="8">
        <v>-53</v>
      </c>
      <c r="H99" s="8">
        <v>-93</v>
      </c>
      <c r="I99" s="8">
        <v>-173</v>
      </c>
      <c r="J99" s="8">
        <v>-330</v>
      </c>
      <c r="K99" s="18">
        <v>-249</v>
      </c>
    </row>
    <row r="100" spans="1:11">
      <c r="A100" s="5" t="s">
        <v>108</v>
      </c>
      <c r="B100" s="8">
        <v>0</v>
      </c>
      <c r="C100" s="8">
        <v>5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2</v>
      </c>
      <c r="K100" s="18">
        <v>0</v>
      </c>
    </row>
    <row r="101" spans="1:11">
      <c r="A101" s="6" t="s">
        <v>109</v>
      </c>
      <c r="B101" s="7">
        <f t="shared" ref="B101:K101" si="26">SUM(B90:B100)</f>
        <v>-629</v>
      </c>
      <c r="C101" s="7">
        <f t="shared" si="26"/>
        <v>-274</v>
      </c>
      <c r="D101" s="7">
        <f t="shared" si="26"/>
        <v>-239</v>
      </c>
      <c r="E101" s="7">
        <f t="shared" si="26"/>
        <v>-371</v>
      </c>
      <c r="F101" s="7">
        <f t="shared" si="26"/>
        <v>198</v>
      </c>
      <c r="G101" s="7">
        <f t="shared" si="26"/>
        <v>-216</v>
      </c>
      <c r="H101" s="7">
        <f t="shared" si="26"/>
        <v>-892</v>
      </c>
      <c r="I101" s="7">
        <f t="shared" si="26"/>
        <v>-783</v>
      </c>
      <c r="J101" s="7">
        <f t="shared" si="26"/>
        <v>-466</v>
      </c>
      <c r="K101" s="17">
        <f t="shared" si="26"/>
        <v>508</v>
      </c>
    </row>
    <row r="102" spans="1:11">
      <c r="A102" s="5" t="s">
        <v>110</v>
      </c>
      <c r="B102" s="8">
        <v>0</v>
      </c>
      <c r="C102" s="8">
        <v>-1000</v>
      </c>
      <c r="D102" s="8">
        <v>0</v>
      </c>
      <c r="E102" s="8">
        <v>0</v>
      </c>
      <c r="F102" s="8">
        <v>0</v>
      </c>
      <c r="G102" s="8">
        <v>0</v>
      </c>
      <c r="H102" s="8">
        <v>-500</v>
      </c>
      <c r="I102" s="8">
        <v>0</v>
      </c>
      <c r="J102" s="8">
        <v>0</v>
      </c>
      <c r="K102" s="18">
        <v>-501</v>
      </c>
    </row>
    <row r="103" spans="1:11">
      <c r="A103" s="5" t="s">
        <v>111</v>
      </c>
      <c r="B103" s="8">
        <v>0</v>
      </c>
      <c r="C103" s="8">
        <v>0</v>
      </c>
      <c r="D103" s="8">
        <v>0</v>
      </c>
      <c r="E103" s="8">
        <v>0</v>
      </c>
      <c r="F103" s="8">
        <v>670</v>
      </c>
      <c r="G103" s="8">
        <v>370</v>
      </c>
      <c r="H103" s="8">
        <v>0</v>
      </c>
      <c r="I103" s="8">
        <v>1498</v>
      </c>
      <c r="J103" s="8">
        <v>0</v>
      </c>
      <c r="K103" s="18">
        <v>0</v>
      </c>
    </row>
    <row r="104" spans="1:11">
      <c r="A104" s="5" t="s">
        <v>112</v>
      </c>
      <c r="B104" s="8">
        <v>0</v>
      </c>
      <c r="C104" s="8">
        <v>0</v>
      </c>
      <c r="D104" s="8">
        <v>0</v>
      </c>
      <c r="E104" s="8">
        <v>0</v>
      </c>
      <c r="F104" s="8">
        <v>-1</v>
      </c>
      <c r="G104" s="8">
        <v>0</v>
      </c>
      <c r="H104" s="8">
        <v>0</v>
      </c>
      <c r="I104" s="8">
        <v>-8</v>
      </c>
      <c r="J104" s="8">
        <v>0</v>
      </c>
      <c r="K104" s="18">
        <v>-3</v>
      </c>
    </row>
    <row r="105" spans="1:11">
      <c r="A105" s="5" t="s">
        <v>113</v>
      </c>
      <c r="B105" s="8">
        <v>0</v>
      </c>
      <c r="C105" s="8">
        <v>0</v>
      </c>
      <c r="D105" s="8">
        <v>0</v>
      </c>
      <c r="E105" s="8">
        <v>0</v>
      </c>
      <c r="F105" s="8">
        <v>0</v>
      </c>
      <c r="G105" s="8">
        <v>646</v>
      </c>
      <c r="H105" s="8">
        <v>1565</v>
      </c>
      <c r="I105" s="8">
        <v>215</v>
      </c>
      <c r="J105" s="8">
        <v>0</v>
      </c>
      <c r="K105" s="18">
        <v>0</v>
      </c>
    </row>
    <row r="106" spans="1:11">
      <c r="A106" s="5" t="s">
        <v>114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-146</v>
      </c>
      <c r="H106" s="8">
        <v>-1315</v>
      </c>
      <c r="I106" s="8">
        <v>-950</v>
      </c>
      <c r="J106" s="8">
        <v>-15</v>
      </c>
      <c r="K106" s="18">
        <v>0</v>
      </c>
    </row>
    <row r="107" spans="1:11">
      <c r="A107" s="5" t="s">
        <v>115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18">
        <v>-29</v>
      </c>
    </row>
    <row r="108" spans="1:11">
      <c r="A108" s="5" t="s">
        <v>116</v>
      </c>
      <c r="B108" s="8">
        <v>-261</v>
      </c>
      <c r="C108" s="8">
        <v>-261</v>
      </c>
      <c r="D108" s="8">
        <v>-260</v>
      </c>
      <c r="E108" s="8">
        <v>-259</v>
      </c>
      <c r="F108" s="8">
        <v>-258</v>
      </c>
      <c r="G108" s="8">
        <v>-258</v>
      </c>
      <c r="H108" s="8">
        <v>-257</v>
      </c>
      <c r="I108" s="8">
        <v>-256</v>
      </c>
      <c r="J108" s="8">
        <v>-254</v>
      </c>
      <c r="K108" s="18">
        <v>-256</v>
      </c>
    </row>
    <row r="109" spans="1:11">
      <c r="A109" s="5" t="s">
        <v>117</v>
      </c>
      <c r="B109" s="8">
        <v>1</v>
      </c>
      <c r="C109" s="8">
        <v>37</v>
      </c>
      <c r="D109" s="8">
        <v>3</v>
      </c>
      <c r="E109" s="8">
        <v>39</v>
      </c>
      <c r="F109" s="8">
        <v>3</v>
      </c>
      <c r="G109" s="8">
        <v>37</v>
      </c>
      <c r="H109" s="8">
        <v>2</v>
      </c>
      <c r="I109" s="8">
        <v>38</v>
      </c>
      <c r="J109" s="8">
        <v>6</v>
      </c>
      <c r="K109" s="18">
        <v>36</v>
      </c>
    </row>
    <row r="110" spans="1:11">
      <c r="A110" s="5" t="s">
        <v>118</v>
      </c>
      <c r="B110" s="8">
        <v>-434</v>
      </c>
      <c r="C110" s="8">
        <v>-303</v>
      </c>
      <c r="D110" s="8">
        <v>-310</v>
      </c>
      <c r="E110" s="8">
        <v>-305</v>
      </c>
      <c r="F110" s="8">
        <v>-455</v>
      </c>
      <c r="G110" s="8">
        <v>-303</v>
      </c>
      <c r="H110" s="8">
        <v>-204</v>
      </c>
      <c r="I110" s="8">
        <v>-54</v>
      </c>
      <c r="J110" s="8">
        <v>-338</v>
      </c>
      <c r="K110" s="18">
        <v>-102</v>
      </c>
    </row>
    <row r="111" spans="1:11">
      <c r="A111" s="5" t="s">
        <v>119</v>
      </c>
      <c r="B111" s="8">
        <v>0</v>
      </c>
      <c r="C111" s="8">
        <v>-1</v>
      </c>
      <c r="D111" s="8">
        <v>0</v>
      </c>
      <c r="E111" s="8">
        <v>-1</v>
      </c>
      <c r="F111" s="8">
        <v>0</v>
      </c>
      <c r="G111" s="8">
        <v>-1</v>
      </c>
      <c r="H111" s="8">
        <v>0</v>
      </c>
      <c r="I111" s="8">
        <v>-1</v>
      </c>
      <c r="J111" s="8">
        <v>-11</v>
      </c>
      <c r="K111" s="18">
        <v>-1</v>
      </c>
    </row>
    <row r="112" spans="1:11">
      <c r="A112" s="6" t="s">
        <v>120</v>
      </c>
      <c r="B112" s="7">
        <f t="shared" ref="B112:K112" si="27">SUM(B102:B111)</f>
        <v>-694</v>
      </c>
      <c r="C112" s="7">
        <f t="shared" si="27"/>
        <v>-1528</v>
      </c>
      <c r="D112" s="7">
        <f t="shared" si="27"/>
        <v>-567</v>
      </c>
      <c r="E112" s="7">
        <f t="shared" si="27"/>
        <v>-526</v>
      </c>
      <c r="F112" s="7">
        <f t="shared" si="27"/>
        <v>-41</v>
      </c>
      <c r="G112" s="7">
        <f t="shared" si="27"/>
        <v>345</v>
      </c>
      <c r="H112" s="7">
        <f t="shared" si="27"/>
        <v>-709</v>
      </c>
      <c r="I112" s="7">
        <f t="shared" si="27"/>
        <v>482</v>
      </c>
      <c r="J112" s="7">
        <f t="shared" si="27"/>
        <v>-612</v>
      </c>
      <c r="K112" s="17">
        <f t="shared" si="27"/>
        <v>-856</v>
      </c>
    </row>
    <row r="113" spans="1:11">
      <c r="A113" s="5" t="s">
        <v>121</v>
      </c>
      <c r="B113" s="8">
        <v>6</v>
      </c>
      <c r="C113" s="8">
        <v>-3</v>
      </c>
      <c r="D113" s="8">
        <v>-4</v>
      </c>
      <c r="E113" s="8">
        <v>7</v>
      </c>
      <c r="F113" s="8">
        <v>-4</v>
      </c>
      <c r="G113" s="8">
        <v>2</v>
      </c>
      <c r="H113" s="8">
        <v>4</v>
      </c>
      <c r="I113" s="8">
        <v>0</v>
      </c>
      <c r="J113" s="8">
        <v>0</v>
      </c>
      <c r="K113" s="18">
        <v>-4</v>
      </c>
    </row>
    <row r="114" spans="1:11">
      <c r="A114" s="6" t="s">
        <v>122</v>
      </c>
      <c r="B114" s="7">
        <f t="shared" ref="B114:K114" si="28">B89+B101+B112+B113</f>
        <v>-180</v>
      </c>
      <c r="C114" s="7">
        <f t="shared" si="28"/>
        <v>-954</v>
      </c>
      <c r="D114" s="7">
        <f t="shared" si="28"/>
        <v>-49</v>
      </c>
      <c r="E114" s="7">
        <f t="shared" si="28"/>
        <v>-111</v>
      </c>
      <c r="F114" s="7">
        <f t="shared" si="28"/>
        <v>544</v>
      </c>
      <c r="G114" s="7">
        <f t="shared" si="28"/>
        <v>696</v>
      </c>
      <c r="H114" s="7">
        <f t="shared" si="28"/>
        <v>-818</v>
      </c>
      <c r="I114" s="7">
        <f t="shared" si="28"/>
        <v>284</v>
      </c>
      <c r="J114" s="7">
        <f t="shared" si="28"/>
        <v>-187</v>
      </c>
      <c r="K114" s="17">
        <f t="shared" si="28"/>
        <v>441</v>
      </c>
    </row>
    <row r="115" spans="1:11">
      <c r="A115" s="5" t="s">
        <v>123</v>
      </c>
      <c r="B115" s="8">
        <v>4042</v>
      </c>
      <c r="C115" s="8">
        <v>3862</v>
      </c>
      <c r="D115" s="8">
        <v>2908</v>
      </c>
      <c r="E115" s="8">
        <v>2859</v>
      </c>
      <c r="F115" s="8">
        <v>2748</v>
      </c>
      <c r="G115" s="8">
        <v>3292</v>
      </c>
      <c r="H115" s="8">
        <v>3988</v>
      </c>
      <c r="I115" s="8">
        <v>3170</v>
      </c>
      <c r="J115" s="8">
        <v>3454</v>
      </c>
      <c r="K115" s="18">
        <v>3267</v>
      </c>
    </row>
    <row r="116" spans="1:11">
      <c r="A116" s="6" t="s">
        <v>124</v>
      </c>
      <c r="B116" s="7">
        <f t="shared" ref="B116:K116" si="29">B115+B114</f>
        <v>3862</v>
      </c>
      <c r="C116" s="7">
        <f t="shared" si="29"/>
        <v>2908</v>
      </c>
      <c r="D116" s="7">
        <f t="shared" si="29"/>
        <v>2859</v>
      </c>
      <c r="E116" s="7">
        <f t="shared" si="29"/>
        <v>2748</v>
      </c>
      <c r="F116" s="7">
        <f t="shared" si="29"/>
        <v>3292</v>
      </c>
      <c r="G116" s="7">
        <f t="shared" si="29"/>
        <v>3988</v>
      </c>
      <c r="H116" s="7">
        <f t="shared" si="29"/>
        <v>3170</v>
      </c>
      <c r="I116" s="7">
        <f t="shared" si="29"/>
        <v>3454</v>
      </c>
      <c r="J116" s="7">
        <f t="shared" si="29"/>
        <v>3267</v>
      </c>
      <c r="K116" s="17">
        <f t="shared" si="29"/>
        <v>3708</v>
      </c>
    </row>
    <row r="117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15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modified xsi:type="dcterms:W3CDTF">2026-07-03T17:45:09Z</dcterms:modified>
</cp:coreProperties>
</file>