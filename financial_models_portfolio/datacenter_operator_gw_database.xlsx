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ommy\Downloads\"/>
    </mc:Choice>
  </mc:AlternateContent>
  <xr:revisionPtr revIDLastSave="0" documentId="11_E9C3D564BFD09D4F8080C839F0FC0A215E570029" xr6:coauthVersionLast="47" xr6:coauthVersionMax="47" xr10:uidLastSave="{00000000-0000-0000-0000-000000000000}"/>
  <bookViews>
    <workbookView xWindow="885" yWindow="1170" windowWidth="27915" windowHeight="15015" tabRatio="500" xr2:uid="{00000000-000D-0000-FFFF-FFFF00000000}"/>
  </bookViews>
  <sheets>
    <sheet name="Operator GW Database" sheetId="1" r:id="rId1"/>
    <sheet name="Notes &amp; Sourc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0" i="1" l="1"/>
  <c r="B59" i="1"/>
  <c r="B58" i="1"/>
  <c r="B57" i="1"/>
  <c r="B56" i="1"/>
  <c r="B55" i="1"/>
  <c r="B54" i="1"/>
  <c r="B53" i="1"/>
  <c r="B52" i="1"/>
  <c r="B51" i="1"/>
  <c r="B50" i="1"/>
  <c r="B49" i="1"/>
  <c r="B48" i="1"/>
  <c r="B47" i="1"/>
  <c r="B46" i="1"/>
  <c r="B45" i="1"/>
  <c r="B44" i="1"/>
  <c r="B43" i="1"/>
  <c r="B42" i="1"/>
  <c r="C41" i="1"/>
  <c r="B41" i="1"/>
  <c r="B40" i="1"/>
  <c r="B39" i="1"/>
  <c r="B38" i="1"/>
  <c r="J33" i="1"/>
  <c r="I33" i="1"/>
  <c r="L33" i="1" s="1"/>
  <c r="H33" i="1"/>
  <c r="G33" i="1"/>
  <c r="F33" i="1"/>
  <c r="E33" i="1"/>
  <c r="L32" i="1"/>
  <c r="K32" i="1"/>
  <c r="L31" i="1"/>
  <c r="K31" i="1"/>
  <c r="L30" i="1"/>
  <c r="K30" i="1"/>
  <c r="L29" i="1"/>
  <c r="K29" i="1"/>
  <c r="L28" i="1"/>
  <c r="K28" i="1"/>
  <c r="L27" i="1"/>
  <c r="K27" i="1"/>
  <c r="L26" i="1"/>
  <c r="K26" i="1"/>
  <c r="L25" i="1"/>
  <c r="K25" i="1"/>
  <c r="L21" i="1"/>
  <c r="K21" i="1"/>
  <c r="L20" i="1"/>
  <c r="K20" i="1"/>
  <c r="L19" i="1"/>
  <c r="K19" i="1"/>
  <c r="L17" i="1"/>
  <c r="K17" i="1"/>
  <c r="L16" i="1"/>
  <c r="K16" i="1"/>
  <c r="L15" i="1"/>
  <c r="K15" i="1"/>
  <c r="L14" i="1"/>
  <c r="K14" i="1"/>
  <c r="L13" i="1"/>
  <c r="K13" i="1"/>
  <c r="L12" i="1"/>
  <c r="K12" i="1"/>
  <c r="L11" i="1"/>
  <c r="K11" i="1"/>
  <c r="L10" i="1"/>
  <c r="K10" i="1"/>
  <c r="L9" i="1"/>
  <c r="K9" i="1"/>
  <c r="L8" i="1"/>
  <c r="K8" i="1"/>
  <c r="K33" i="1" l="1"/>
  <c r="C51" i="1"/>
  <c r="C56" i="1"/>
  <c r="C55" i="1"/>
  <c r="C54" i="1"/>
  <c r="C53" i="1"/>
  <c r="C50" i="1"/>
  <c r="C49" i="1"/>
  <c r="C47" i="1"/>
  <c r="C46" i="1"/>
  <c r="C45" i="1"/>
  <c r="C40" i="1"/>
  <c r="C52" i="1"/>
  <c r="C42" i="1"/>
  <c r="C39" i="1"/>
  <c r="C38" i="1"/>
  <c r="C59" i="1"/>
  <c r="C58" i="1"/>
  <c r="C57" i="1"/>
  <c r="C48" i="1"/>
  <c r="C44" i="1"/>
  <c r="C43" i="1"/>
  <c r="C60" i="1"/>
</calcChain>
</file>

<file path=xl/sharedStrings.xml><?xml version="1.0" encoding="utf-8"?>
<sst xmlns="http://schemas.openxmlformats.org/spreadsheetml/2006/main" count="225" uniqueCount="156">
  <si>
    <t>Self-Operated Data Center Capacity by Compute Operator</t>
  </si>
  <si>
    <t>Operational critical IT power (gigawatts), year-end 2021 through mid-2026. Operators that own the servers and monetize the compute. Leased shells count if the operator runs the IT inside. Landlords excluded.</t>
  </si>
  <si>
    <t>Blue cells = hardcoded disclosures and estimates (see Notes &amp; Sources tab). Black cells = formulas. n/a = not yet operating at scale.</t>
  </si>
  <si>
    <t>Operator</t>
  </si>
  <si>
    <t>Ticker</t>
  </si>
  <si>
    <t>Type</t>
  </si>
  <si>
    <t>YE 2021</t>
  </si>
  <si>
    <t>YE 2022</t>
  </si>
  <si>
    <t>YE 2023</t>
  </si>
  <si>
    <t>YE 2024</t>
  </si>
  <si>
    <t>YE 2025</t>
  </si>
  <si>
    <t>Mid-2026 (Current)</t>
  </si>
  <si>
    <t>GW Added Since Start</t>
  </si>
  <si>
    <t>CAGR to YE2025</t>
  </si>
  <si>
    <t>Contracted / Pipeline (GW)</t>
  </si>
  <si>
    <t>Confidence</t>
  </si>
  <si>
    <t>Key Anchor Disclosure</t>
  </si>
  <si>
    <t>HYPERSCALERS</t>
  </si>
  <si>
    <t>Amazon (AWS)</t>
  </si>
  <si>
    <t>AMZN</t>
  </si>
  <si>
    <t>Hyperscaler</t>
  </si>
  <si>
    <t>~5 GW/yr adds; double again by 2027</t>
  </si>
  <si>
    <t>Medium</t>
  </si>
  <si>
    <t>Jassy: capacity doubled vs 2022 as of Oct 2025; +3.9 GW trailing 12 months; +1.2 GW in Q4 2025 alone; doubling again by 2027</t>
  </si>
  <si>
    <t>Microsoft</t>
  </si>
  <si>
    <t>MSFT</t>
  </si>
  <si>
    <t>Footprint to double FY26-FY27</t>
  </si>
  <si>
    <t>Leaked internal deck: &gt;5 GW IT capacity mid-2024; ~1 GW added in Q2 FY2026 alone; Nadella: +80% AI capacity in FY26</t>
  </si>
  <si>
    <t>Google</t>
  </si>
  <si>
    <t>GOOGL</t>
  </si>
  <si>
    <t>Building in 12+ countries</t>
  </si>
  <si>
    <t>Low</t>
  </si>
  <si>
    <t>No power disclosure. Triangulated from capex ($91B 2025, $175-185B guided 2026) and Synergy hyperscale share data</t>
  </si>
  <si>
    <t>Meta</t>
  </si>
  <si>
    <t>META</t>
  </si>
  <si>
    <t>Internal AI + ads compute</t>
  </si>
  <si>
    <t>&gt;10 total by YE2026 (co. target); Hyperion 5 GW</t>
  </si>
  <si>
    <t>30 data centers operated; targets &gt;10 GW total capacity by end 2026; Prometheus 1 GW online 2026</t>
  </si>
  <si>
    <t>Alibaba</t>
  </si>
  <si>
    <t>BABA</t>
  </si>
  <si>
    <t>Hyperscaler (China)</t>
  </si>
  <si>
    <t>3-yr RMB 380B+ AI capex cycle</t>
  </si>
  <si>
    <t>No power disclosure. Estimates from Synergy hyperscale counts and China capex trackers</t>
  </si>
  <si>
    <t>Oracle (OCI)</t>
  </si>
  <si>
    <t>ORCL</t>
  </si>
  <si>
    <t>Hyperscaler / AI cloud</t>
  </si>
  <si>
    <t>10 secured over next 3 years</t>
  </si>
  <si>
    <t>162 DCs live + under construction (2024); Stargate Abilene 1.2 GW first buildings live Sep 2025; +400 MW stood up in Q3 FY26</t>
  </si>
  <si>
    <t>ByteDance</t>
  </si>
  <si>
    <t>Private</t>
  </si>
  <si>
    <t>Internal AI operator (China)</t>
  </si>
  <si>
    <t>Largest AI infra spender in China</t>
  </si>
  <si>
    <t>No disclosure. ~$20B+ 2025 infra capex per trackers; operates IT in largely leased Chinese shells</t>
  </si>
  <si>
    <t>Tencent</t>
  </si>
  <si>
    <t>0700.HK</t>
  </si>
  <si>
    <t>Moderate vs US peers</t>
  </si>
  <si>
    <t>No power disclosure. Estimates from Synergy hyperscale counts and reported capex</t>
  </si>
  <si>
    <t>Huawei Cloud</t>
  </si>
  <si>
    <t>Ascend cluster buildout</t>
  </si>
  <si>
    <t>No disclosure. Estimate spans Huawei Cloud regions and Ascend AI clusters; excludes carrier colo it does not operate</t>
  </si>
  <si>
    <t>Baidu</t>
  </si>
  <si>
    <t>BIDU</t>
  </si>
  <si>
    <t>Kunlun chip clusters</t>
  </si>
  <si>
    <t>No disclosure. Estimate from AI Cloud segment scale and reported cluster deployments</t>
  </si>
  <si>
    <t>AI LABS (SELF-OPERATED ONLY)</t>
  </si>
  <si>
    <t>xAI</t>
  </si>
  <si>
    <t>AI lab, self-operated</t>
  </si>
  <si>
    <t>n/a</t>
  </si>
  <si>
    <t>~2.0 Colossus complex buildout</t>
  </si>
  <si>
    <t>Colossus 1 live Jul 2024 (~150 MW IT); Colossus 2 ramping 2025; third building takes complex toward 2 GW; 300 MW grid + on-site gas</t>
  </si>
  <si>
    <t>Tesla</t>
  </si>
  <si>
    <t>TSLA</t>
  </si>
  <si>
    <t>Internal AI (training + fleet)</t>
  </si>
  <si>
    <t>Cortex expansion to ~500 MW</t>
  </si>
  <si>
    <t>Cortex at Giga Texas ~130 MW ramping toward ~500 MW; Dojo program shut down Aug 2025; internal monetization via FSD and Optimus</t>
  </si>
  <si>
    <t>Apple</t>
  </si>
  <si>
    <t>AAPL</t>
  </si>
  <si>
    <t>Internal (services + PCC)</t>
  </si>
  <si>
    <t>Private Cloud Compute buildout, Houston plant</t>
  </si>
  <si>
    <t>No disclosure. Owned campuses (NC, NV, IA, OR, AZ) plus Private Cloud Compute; heavy third-party cloud use sits outside this figure</t>
  </si>
  <si>
    <t>Anthropic</t>
  </si>
  <si>
    <t>$50B US buildout w/ Fluidstack (TX, NY)</t>
  </si>
  <si>
    <t>Announced Nov 2025, first sites online through 2026, operated with Fluidstack; bulk of Anthropic compute remains rented (Google TPU, AWS Trainium, Colossus 1 lease)</t>
  </si>
  <si>
    <t>OpenAI</t>
  </si>
  <si>
    <t>AI lab (partner-operated)</t>
  </si>
  <si>
    <t>10+ GW Stargate program (partner-operated)</t>
  </si>
  <si>
    <t>High</t>
  </si>
  <si>
    <t>Included for completeness at ~0 self-operated GW. Stargate sites are operated by Oracle, Crusoe, Vantage and partners; non-Stargate compute rented from Microsoft, CoreWeave, AWS. Counting OpenAI capacity would double count its operators</t>
  </si>
  <si>
    <t>NEOCLOUDS AND GPU OPERATORS</t>
  </si>
  <si>
    <t>CoreWeave</t>
  </si>
  <si>
    <t>CRWV</t>
  </si>
  <si>
    <t>Neocloud</t>
  </si>
  <si>
    <t>3.1 contracted; &gt;1.7 active by YE2026</t>
  </si>
  <si>
    <t>10-K filed: 70 MW active YE2023, 360+ MW YE2024, 850+ MW across 43 DCs YE2025; 3.1 GW total contracted power</t>
  </si>
  <si>
    <t>Nebius</t>
  </si>
  <si>
    <t>NBIS</t>
  </si>
  <si>
    <t>&gt;2.5 contracted YE2026; 0.8-1.0 connected YE2026</t>
  </si>
  <si>
    <t>SEC-furnished deck: 25 MW connected CYE2024, 220 MW CYE2025, 800 MW-1 GW target CYE2026; &gt;2 GW contracted</t>
  </si>
  <si>
    <t>Crusoe (cloud segment)</t>
  </si>
  <si>
    <t>1.2 GW Abilene shell excluded (landlord role)</t>
  </si>
  <si>
    <t>Cloud segment only. Crusoe's Abilene campus for Oracle/OpenAI is a landlord role and is counted in Oracle's row, not here</t>
  </si>
  <si>
    <t>Fluidstack</t>
  </si>
  <si>
    <t>GPU operator-for-hire</t>
  </si>
  <si>
    <t>TeraWulf + Anthropic sites; Google backstop</t>
  </si>
  <si>
    <t>Operates GPU capacity in leased shells (TeraWulf and others) with Google financial backstops; Anthropic buildout adds through 2026</t>
  </si>
  <si>
    <t>G42 / Core42</t>
  </si>
  <si>
    <t>Sovereign AI operator (UAE)</t>
  </si>
  <si>
    <t>Stargate UAE 1 GW phase 1 (200 MW 2026)</t>
  </si>
  <si>
    <t>Microsoft-partnered UAE compute; Khazna colo arm excluded as landlord; Stargate UAE first 200 MW targeted 2026</t>
  </si>
  <si>
    <t>Lambda</t>
  </si>
  <si>
    <t>Multi-site leased expansion</t>
  </si>
  <si>
    <t>No disclosure. Estimate from announced clusters and leased site reporting; capacity in leased shells</t>
  </si>
  <si>
    <t>IREN (AI cloud only)</t>
  </si>
  <si>
    <t>IREN</t>
  </si>
  <si>
    <t>Bitcoin miner pivoting to AI cloud</t>
  </si>
  <si>
    <t>Horizon buildout incl. Microsoft GPU deal</t>
  </si>
  <si>
    <t>Self-operated GPU cloud only (23k+ GPUs 2025, Horizon 1-4 ramping 2026). Its ~1 GW of bitcoin site power excluded; where IREN acts as landlord it is excluded</t>
  </si>
  <si>
    <t>Nscale</t>
  </si>
  <si>
    <t>~1.5 GW contracted incl. Microsoft deployments</t>
  </si>
  <si>
    <t>Spun out of Arkon Energy 2024; ~200k GPU Microsoft agreements deploy 2026+; operational base still small</t>
  </si>
  <si>
    <t>Total (listed operators)</t>
  </si>
  <si>
    <t>Share of Listed Operator Capacity, Mid-2026</t>
  </si>
  <si>
    <t>Share</t>
  </si>
  <si>
    <t>Methodology, Definitions, and Sources</t>
  </si>
  <si>
    <t>Definition</t>
  </si>
  <si>
    <t>Figures are operational critical IT power in gigawatts, self-operated. The operator owns and monetizes the servers inside. A leased shell from a developer such as QTS, Vantage, TeraWulf, or Crusoe still counts toward the tenant running the IT, because the compute economics accrue to the tenant. Colocation and wholesale landlords are excluded by design: Equinix, Digital Realty, Switch, NTT, Vantage, QTS, CyrusOne, Aligned, Khazna, Applied Digital, Core Scientific, TeraWulf, Cipher, Galaxy Digital, and similar.</t>
  </si>
  <si>
    <t>Confidence key</t>
  </si>
  <si>
    <t>High = filed or SEC-furnished figures. Medium = anchored to specific management statements, backfilled between anchors. Low = no company disclosure exists; triangulated estimate with wide error bars. Treat Low rows as directionally right, not precise.</t>
  </si>
  <si>
    <t>AWS anchor math</t>
  </si>
  <si>
    <t>Jassy stated in Oct 2025 that AWS power capacity was double its 2022 level and that AWS added ~3.9 GW in the trailing 12 months, including 1.2 GW in Q4 2025. Setting YE2022 at ~5.0 GW yields YE2025 ~10.0 GW and backfills YE2024 at ~6.1 GW. Doubling again by 2027 implies ~5 GW per year of additions, giving mid-2026 ~12 GW.</t>
  </si>
  <si>
    <t>Microsoft anchor math</t>
  </si>
  <si>
    <t>Business Insider leaked deck showed &gt;5 GW of IT capacity around mid-2024 with targets of +1 GW in H2 FY2024 and +1.5 GW in H1 FY2025. Q2 FY2026 added ~1 GW in a single quarter. Nadella guided total AI capacity +80% in FY2026 and a doubling of the footprint over two years. SemiAnalysis documented a 1.5 GW self-build freeze affecting 2025-2026 timing, which tempers the ramp.</t>
  </si>
  <si>
    <t>AI lab treatment</t>
  </si>
  <si>
    <t>Only self-operated capacity counts in an AI lab's row. OpenAI sits at ~0 GW because Oracle, Crusoe, Vantage and partners operate Stargate and its remaining compute is rented from Microsoft, CoreWeave, and AWS; its 10+ GW program lives in the pipeline column of its operators. Anthropic is near zero for the same reason: most compute is rented Google TPU and AWS Trainium capacity plus the leased Colossus 1 cluster, with its first co-operated Fluidstack sites coming online through 2026. xAI and Tesla self-operate, so they carry real figures.</t>
  </si>
  <si>
    <t>Cortex at Giga Texas (~130 MW ramping toward ~500 MW) plus legacy clusters. Dojo was shut down in Aug 2025. Tesla monetizes internally through FSD training rather than selling compute.</t>
  </si>
  <si>
    <t>Owned campuses in NC, NV, IA, OR, AZ plus Private Cloud Compute clusters. Apple also spends heavily on third-party cloud (Google, AWS), which is excluded here because Apple does not operate that capacity.</t>
  </si>
  <si>
    <t>Meta caveat</t>
  </si>
  <si>
    <t>Meta monetizes compute internally through ads ranking and AI products rather than selling cloud. The &gt;10 GW by YE2026 company statement covers total capacity including capacity coming online, not steady-state operational load, so the operational figure here is lower.</t>
  </si>
  <si>
    <t>Oracle caveat</t>
  </si>
  <si>
    <t>Oracle operates Stargate Abilene for OpenAI. Capacity counted at Oracle as operator even though OpenAI is the tenant workload. Oracle stood up 400+ MW in Q3 FY2026 alone and has secured 10 GW of power and capacity coming online over the next three years.</t>
  </si>
  <si>
    <t>xAI caveat</t>
  </si>
  <si>
    <t>Site power (grid + gas turbines + Megapacks) exceeds IT load. Figures approximate critical IT capacity, not nameplate generation. The 2 GW figure reported Jan 2026 is complex buildout capacity across three buildings, not current operational load.</t>
  </si>
  <si>
    <t>Crusoe split</t>
  </si>
  <si>
    <t>Crusoe is both landlord and cloud operator. Only its cloud segment appears here. The 1.2 GW Abilene campus it built for Oracle/OpenAI is counted in Oracle's row.</t>
  </si>
  <si>
    <t>IREN split</t>
  </si>
  <si>
    <t>Only IREN's self-operated GPU cloud counts. Its ~1 GW of bitcoin mining site power is excluded, as is any capacity where it acts as landlord (including the Microsoft agreement to the extent Microsoft operates the IT).</t>
  </si>
  <si>
    <t>Bitcoin miner exclusions</t>
  </si>
  <si>
    <t>Core Scientific, Applied Digital, TeraWulf, Cipher, Galaxy, Hut 8 and peers lease shells and power to CoreWeave, Fluidstack, Microsoft and others. They are landlords under this definition and excluded. Their GW shows up in the rows of their tenants.</t>
  </si>
  <si>
    <t>Other exclusions</t>
  </si>
  <si>
    <t>Together AI, Mistral, Safe Superintelligence, Cohere, and Perplexity rent effectively all compute and operate no material capacity. Chinese carriers (China Telecom, China Mobile, China Unicom) run enormous data center floors but predominantly as colo landlords. Sovereign programs (Humain in Saudi Arabia, India's Reliance Jio 1 GW plan) had negligible operational GW as of mid-2026 and enter the database once live.</t>
  </si>
  <si>
    <t>China rows</t>
  </si>
  <si>
    <t>Alibaba, Tencent, ByteDance, Huawei, and Baidu carry the widest error bars. None disclose power, and third-party trackers disagree. ByteDance growth reflects its position as the largest AI infrastructure spender in China.</t>
  </si>
  <si>
    <t>Sources</t>
  </si>
  <si>
    <t>CoreWeave 10-K FY2025 (SEC EDGAR); Nebius 6-K investor decks 2025 (SEC EDGAR); DataCenterDynamics reporting on AWS (Feb 2026), Oracle Q3 FY26, and the leaked Microsoft deck; Data Center Knowledge hyperscaler 2026 outlook; SemiAnalysis Microsoft freeze and xAI Colossus 2 reports; OpenAI Stargate announcements; Anthropic-Fluidstack buildout announcement Nov 2025; Synergy Research Group capacity data; Wikipedia and Global Energy Monitor for Colossus site history. Estimates in Low confidence rows were prepared for this workbook and are not third-party published figures.</t>
  </si>
  <si>
    <t>Editable cells</t>
  </si>
  <si>
    <t>Blue cells are the inputs. Change any blue capacity figure and the GW added, CAGR, totals, and share table recalculate.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</si>
</sst>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4"/>
      <name val="Arial"/>
      <charset val="1"/>
    </font>
    <font>
      <i/>
      <sz val="9"/>
      <color rgb="FF595959"/>
      <name val="Arial"/>
      <charset val="1"/>
    </font>
    <font>
      <b/>
      <sz val="10"/>
      <color rgb="FFFFFFFF"/>
      <name val="Arial"/>
      <charset val="1"/>
    </font>
    <font>
      <b/>
      <sz val="10"/>
      <name val="Arial"/>
      <charset val="1"/>
    </font>
    <font>
      <sz val="10"/>
      <color rgb="FF000000"/>
      <name val="Arial"/>
      <charset val="1"/>
    </font>
    <font>
      <sz val="10"/>
      <color rgb="FF0000FF"/>
      <name val="Arial"/>
      <charset val="1"/>
    </font>
    <font>
      <sz val="9"/>
      <name val="Arial"/>
      <charset val="1"/>
    </font>
    <font>
      <sz val="10"/>
      <name val="Arial"/>
      <charset val="1"/>
    </font>
  </fonts>
  <fills count="5">
    <fill>
      <patternFill patternType="none"/>
    </fill>
    <fill>
      <patternFill patternType="gray125"/>
    </fill>
    <fill>
      <patternFill patternType="solid">
        <fgColor rgb="FF1F3864"/>
        <bgColor rgb="FF333333"/>
      </patternFill>
    </fill>
    <fill>
      <patternFill patternType="solid">
        <fgColor rgb="FFEDEDED"/>
        <bgColor rgb="FFD9E2F2"/>
      </patternFill>
    </fill>
    <fill>
      <patternFill patternType="solid">
        <fgColor rgb="FFD9E2F2"/>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xf numFmtId="0" fontId="0" fillId="3" borderId="1" xfId="0" applyFill="1" applyBorder="1"/>
    <xf numFmtId="0" fontId="4" fillId="0" borderId="1" xfId="0" applyFont="1" applyBorder="1"/>
    <xf numFmtId="0" fontId="5" fillId="0" borderId="1" xfId="0" applyFont="1" applyBorder="1"/>
    <xf numFmtId="2" fontId="6" fillId="0" borderId="1" xfId="0" applyNumberFormat="1" applyFont="1" applyBorder="1" applyAlignment="1">
      <alignment horizontal="center"/>
    </xf>
    <xf numFmtId="2" fontId="5" fillId="0" borderId="1" xfId="0" applyNumberFormat="1" applyFont="1" applyBorder="1" applyAlignment="1">
      <alignment horizontal="center"/>
    </xf>
    <xf numFmtId="164" fontId="5" fillId="0" borderId="1" xfId="0" applyNumberFormat="1" applyFont="1" applyBorder="1" applyAlignment="1">
      <alignment horizontal="center"/>
    </xf>
    <xf numFmtId="0" fontId="6" fillId="0" borderId="1" xfId="0" applyFont="1" applyBorder="1"/>
    <xf numFmtId="0" fontId="5" fillId="0" borderId="1" xfId="0" applyFont="1" applyBorder="1" applyAlignment="1">
      <alignment horizontal="center"/>
    </xf>
    <xf numFmtId="0" fontId="7" fillId="0" borderId="1" xfId="0" applyFont="1" applyBorder="1" applyAlignment="1">
      <alignment vertical="top" wrapText="1"/>
    </xf>
    <xf numFmtId="0" fontId="4" fillId="4" borderId="1" xfId="0" applyFont="1" applyFill="1" applyBorder="1"/>
    <xf numFmtId="0" fontId="0" fillId="4" borderId="1" xfId="0" applyFill="1" applyBorder="1"/>
    <xf numFmtId="2" fontId="4" fillId="4" borderId="1" xfId="0" applyNumberFormat="1" applyFont="1" applyFill="1" applyBorder="1" applyAlignment="1">
      <alignment horizontal="center"/>
    </xf>
    <xf numFmtId="164" fontId="4" fillId="4" borderId="1" xfId="0" applyNumberFormat="1" applyFont="1" applyFill="1" applyBorder="1" applyAlignment="1">
      <alignment horizontal="center"/>
    </xf>
    <xf numFmtId="0" fontId="4" fillId="0" borderId="0" xfId="0" applyFont="1"/>
    <xf numFmtId="0" fontId="3" fillId="2" borderId="1" xfId="0" applyFont="1" applyFill="1" applyBorder="1"/>
    <xf numFmtId="164" fontId="5" fillId="0" borderId="1" xfId="0" applyNumberFormat="1" applyFont="1" applyBorder="1"/>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2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60"/>
  <sheetViews>
    <sheetView showGridLines="0" tabSelected="1" zoomScaleNormal="100" workbookViewId="0">
      <selection activeCell="J23" sqref="J23"/>
    </sheetView>
  </sheetViews>
  <sheetFormatPr defaultColWidth="8.7109375" defaultRowHeight="15" x14ac:dyDescent="0.25"/>
  <cols>
    <col min="1" max="1" width="2" customWidth="1"/>
    <col min="2" max="2" width="24" customWidth="1"/>
    <col min="3" max="3" width="9" customWidth="1"/>
    <col min="4" max="4" width="27" customWidth="1"/>
    <col min="5" max="9" width="9" customWidth="1"/>
    <col min="10" max="10" width="12" customWidth="1"/>
    <col min="11" max="11" width="13" customWidth="1"/>
    <col min="12" max="12" width="11" customWidth="1"/>
    <col min="13" max="13" width="30" customWidth="1"/>
    <col min="14" max="14" width="11" customWidth="1"/>
    <col min="15" max="15" width="66" customWidth="1"/>
  </cols>
  <sheetData>
    <row r="2" spans="2:15" ht="18" x14ac:dyDescent="0.25">
      <c r="B2" s="1" t="s">
        <v>0</v>
      </c>
    </row>
    <row r="3" spans="2:15" x14ac:dyDescent="0.25">
      <c r="B3" s="2" t="s">
        <v>1</v>
      </c>
    </row>
    <row r="4" spans="2:15" x14ac:dyDescent="0.25">
      <c r="B4" s="2" t="s">
        <v>2</v>
      </c>
    </row>
    <row r="6" spans="2:15" ht="30" customHeight="1" x14ac:dyDescent="0.25">
      <c r="B6" s="3" t="s">
        <v>3</v>
      </c>
      <c r="C6" s="3" t="s">
        <v>4</v>
      </c>
      <c r="D6" s="3" t="s">
        <v>5</v>
      </c>
      <c r="E6" s="3" t="s">
        <v>6</v>
      </c>
      <c r="F6" s="3" t="s">
        <v>7</v>
      </c>
      <c r="G6" s="3" t="s">
        <v>8</v>
      </c>
      <c r="H6" s="3" t="s">
        <v>9</v>
      </c>
      <c r="I6" s="3" t="s">
        <v>10</v>
      </c>
      <c r="J6" s="3" t="s">
        <v>11</v>
      </c>
      <c r="K6" s="3" t="s">
        <v>12</v>
      </c>
      <c r="L6" s="3" t="s">
        <v>13</v>
      </c>
      <c r="M6" s="3" t="s">
        <v>14</v>
      </c>
      <c r="N6" s="3" t="s">
        <v>15</v>
      </c>
      <c r="O6" s="3" t="s">
        <v>16</v>
      </c>
    </row>
    <row r="7" spans="2:15" ht="33.75" customHeight="1" x14ac:dyDescent="0.25">
      <c r="B7" s="4" t="s">
        <v>17</v>
      </c>
      <c r="C7" s="5"/>
      <c r="D7" s="5"/>
      <c r="E7" s="5"/>
      <c r="F7" s="5"/>
      <c r="G7" s="5"/>
      <c r="H7" s="5"/>
      <c r="I7" s="5"/>
      <c r="J7" s="5"/>
      <c r="K7" s="5"/>
      <c r="L7" s="5"/>
      <c r="M7" s="5"/>
      <c r="N7" s="5"/>
      <c r="O7" s="5"/>
    </row>
    <row r="8" spans="2:15" ht="33.75" customHeight="1" x14ac:dyDescent="0.25">
      <c r="B8" s="6" t="s">
        <v>18</v>
      </c>
      <c r="C8" s="7" t="s">
        <v>19</v>
      </c>
      <c r="D8" s="7" t="s">
        <v>20</v>
      </c>
      <c r="E8" s="8">
        <v>4.2</v>
      </c>
      <c r="F8" s="8">
        <v>5</v>
      </c>
      <c r="G8" s="8">
        <v>5.6</v>
      </c>
      <c r="H8" s="8">
        <v>6.1</v>
      </c>
      <c r="I8" s="8">
        <v>10</v>
      </c>
      <c r="J8" s="8">
        <v>12</v>
      </c>
      <c r="K8" s="9">
        <f t="shared" ref="K8:K17" si="0">J8-E8</f>
        <v>7.8</v>
      </c>
      <c r="L8" s="10">
        <f t="shared" ref="L8:L17" si="1">(I8/E8)^(1/4)-1</f>
        <v>0.24218899512953307</v>
      </c>
      <c r="M8" s="11" t="s">
        <v>21</v>
      </c>
      <c r="N8" s="12" t="s">
        <v>22</v>
      </c>
      <c r="O8" s="13" t="s">
        <v>23</v>
      </c>
    </row>
    <row r="9" spans="2:15" ht="33.75" customHeight="1" x14ac:dyDescent="0.25">
      <c r="B9" s="6" t="s">
        <v>24</v>
      </c>
      <c r="C9" s="7" t="s">
        <v>25</v>
      </c>
      <c r="D9" s="7" t="s">
        <v>20</v>
      </c>
      <c r="E9" s="8">
        <v>3</v>
      </c>
      <c r="F9" s="8">
        <v>3.7</v>
      </c>
      <c r="G9" s="8">
        <v>4.4000000000000004</v>
      </c>
      <c r="H9" s="8">
        <v>5.3</v>
      </c>
      <c r="I9" s="8">
        <v>7</v>
      </c>
      <c r="J9" s="8">
        <v>8.5</v>
      </c>
      <c r="K9" s="9">
        <f t="shared" si="0"/>
        <v>5.5</v>
      </c>
      <c r="L9" s="10">
        <f t="shared" si="1"/>
        <v>0.23593091702244706</v>
      </c>
      <c r="M9" s="11" t="s">
        <v>26</v>
      </c>
      <c r="N9" s="12" t="s">
        <v>22</v>
      </c>
      <c r="O9" s="13" t="s">
        <v>27</v>
      </c>
    </row>
    <row r="10" spans="2:15" ht="33.75" customHeight="1" x14ac:dyDescent="0.25">
      <c r="B10" s="6" t="s">
        <v>28</v>
      </c>
      <c r="C10" s="7" t="s">
        <v>29</v>
      </c>
      <c r="D10" s="7" t="s">
        <v>20</v>
      </c>
      <c r="E10" s="8">
        <v>2.5</v>
      </c>
      <c r="F10" s="8">
        <v>3</v>
      </c>
      <c r="G10" s="8">
        <v>3.5</v>
      </c>
      <c r="H10" s="8">
        <v>4.4000000000000004</v>
      </c>
      <c r="I10" s="8">
        <v>5.5</v>
      </c>
      <c r="J10" s="8">
        <v>6.5</v>
      </c>
      <c r="K10" s="9">
        <f t="shared" si="0"/>
        <v>4</v>
      </c>
      <c r="L10" s="10">
        <f t="shared" si="1"/>
        <v>0.21788328563090675</v>
      </c>
      <c r="M10" s="11" t="s">
        <v>30</v>
      </c>
      <c r="N10" s="12" t="s">
        <v>31</v>
      </c>
      <c r="O10" s="13" t="s">
        <v>32</v>
      </c>
    </row>
    <row r="11" spans="2:15" ht="33.75" customHeight="1" x14ac:dyDescent="0.25">
      <c r="B11" s="6" t="s">
        <v>33</v>
      </c>
      <c r="C11" s="7" t="s">
        <v>34</v>
      </c>
      <c r="D11" s="7" t="s">
        <v>35</v>
      </c>
      <c r="E11" s="8">
        <v>1.9</v>
      </c>
      <c r="F11" s="8">
        <v>2.2999999999999998</v>
      </c>
      <c r="G11" s="8">
        <v>2.7</v>
      </c>
      <c r="H11" s="8">
        <v>3.3</v>
      </c>
      <c r="I11" s="8">
        <v>4.5</v>
      </c>
      <c r="J11" s="8">
        <v>5.5</v>
      </c>
      <c r="K11" s="9">
        <f t="shared" si="0"/>
        <v>3.6</v>
      </c>
      <c r="L11" s="10">
        <f t="shared" si="1"/>
        <v>0.24055130007901382</v>
      </c>
      <c r="M11" s="11" t="s">
        <v>36</v>
      </c>
      <c r="N11" s="12" t="s">
        <v>22</v>
      </c>
      <c r="O11" s="13" t="s">
        <v>37</v>
      </c>
    </row>
    <row r="12" spans="2:15" ht="33.75" customHeight="1" x14ac:dyDescent="0.25">
      <c r="B12" s="6" t="s">
        <v>38</v>
      </c>
      <c r="C12" s="7" t="s">
        <v>39</v>
      </c>
      <c r="D12" s="7" t="s">
        <v>40</v>
      </c>
      <c r="E12" s="8">
        <v>1.6</v>
      </c>
      <c r="F12" s="8">
        <v>1.9</v>
      </c>
      <c r="G12" s="8">
        <v>2.1</v>
      </c>
      <c r="H12" s="8">
        <v>2.4</v>
      </c>
      <c r="I12" s="8">
        <v>2.9</v>
      </c>
      <c r="J12" s="8">
        <v>3.4</v>
      </c>
      <c r="K12" s="9">
        <f t="shared" si="0"/>
        <v>1.7999999999999998</v>
      </c>
      <c r="L12" s="10">
        <f t="shared" si="1"/>
        <v>0.16029789355304169</v>
      </c>
      <c r="M12" s="11" t="s">
        <v>41</v>
      </c>
      <c r="N12" s="12" t="s">
        <v>31</v>
      </c>
      <c r="O12" s="13" t="s">
        <v>42</v>
      </c>
    </row>
    <row r="13" spans="2:15" ht="33.75" customHeight="1" x14ac:dyDescent="0.25">
      <c r="B13" s="6" t="s">
        <v>43</v>
      </c>
      <c r="C13" s="7" t="s">
        <v>44</v>
      </c>
      <c r="D13" s="7" t="s">
        <v>45</v>
      </c>
      <c r="E13" s="8">
        <v>0.4</v>
      </c>
      <c r="F13" s="8">
        <v>0.6</v>
      </c>
      <c r="G13" s="8">
        <v>0.9</v>
      </c>
      <c r="H13" s="8">
        <v>1.3</v>
      </c>
      <c r="I13" s="8">
        <v>2.4</v>
      </c>
      <c r="J13" s="8">
        <v>3.3</v>
      </c>
      <c r="K13" s="9">
        <f t="shared" si="0"/>
        <v>2.9</v>
      </c>
      <c r="L13" s="10">
        <f t="shared" si="1"/>
        <v>0.56508458007328732</v>
      </c>
      <c r="M13" s="11" t="s">
        <v>46</v>
      </c>
      <c r="N13" s="12" t="s">
        <v>22</v>
      </c>
      <c r="O13" s="13" t="s">
        <v>47</v>
      </c>
    </row>
    <row r="14" spans="2:15" ht="33.75" customHeight="1" x14ac:dyDescent="0.25">
      <c r="B14" s="6" t="s">
        <v>48</v>
      </c>
      <c r="C14" s="7" t="s">
        <v>49</v>
      </c>
      <c r="D14" s="7" t="s">
        <v>50</v>
      </c>
      <c r="E14" s="8">
        <v>0.8</v>
      </c>
      <c r="F14" s="8">
        <v>1.1000000000000001</v>
      </c>
      <c r="G14" s="8">
        <v>1.4</v>
      </c>
      <c r="H14" s="8">
        <v>1.9</v>
      </c>
      <c r="I14" s="8">
        <v>2.6</v>
      </c>
      <c r="J14" s="8">
        <v>3.1</v>
      </c>
      <c r="K14" s="9">
        <f t="shared" si="0"/>
        <v>2.2999999999999998</v>
      </c>
      <c r="L14" s="10">
        <f t="shared" si="1"/>
        <v>0.34267480714132525</v>
      </c>
      <c r="M14" s="11" t="s">
        <v>51</v>
      </c>
      <c r="N14" s="12" t="s">
        <v>31</v>
      </c>
      <c r="O14" s="13" t="s">
        <v>52</v>
      </c>
    </row>
    <row r="15" spans="2:15" ht="33.75" customHeight="1" x14ac:dyDescent="0.25">
      <c r="B15" s="6" t="s">
        <v>53</v>
      </c>
      <c r="C15" s="7" t="s">
        <v>54</v>
      </c>
      <c r="D15" s="7" t="s">
        <v>40</v>
      </c>
      <c r="E15" s="8">
        <v>1.3</v>
      </c>
      <c r="F15" s="8">
        <v>1.5</v>
      </c>
      <c r="G15" s="8">
        <v>1.7</v>
      </c>
      <c r="H15" s="8">
        <v>1.9</v>
      </c>
      <c r="I15" s="8">
        <v>2.2000000000000002</v>
      </c>
      <c r="J15" s="8">
        <v>2.5</v>
      </c>
      <c r="K15" s="9">
        <f t="shared" si="0"/>
        <v>1.2</v>
      </c>
      <c r="L15" s="10">
        <f t="shared" si="1"/>
        <v>0.1405644528811083</v>
      </c>
      <c r="M15" s="11" t="s">
        <v>55</v>
      </c>
      <c r="N15" s="12" t="s">
        <v>31</v>
      </c>
      <c r="O15" s="13" t="s">
        <v>56</v>
      </c>
    </row>
    <row r="16" spans="2:15" ht="33.75" customHeight="1" x14ac:dyDescent="0.25">
      <c r="B16" s="6" t="s">
        <v>57</v>
      </c>
      <c r="C16" s="7" t="s">
        <v>49</v>
      </c>
      <c r="D16" s="7" t="s">
        <v>40</v>
      </c>
      <c r="E16" s="8">
        <v>1</v>
      </c>
      <c r="F16" s="8">
        <v>1.2</v>
      </c>
      <c r="G16" s="8">
        <v>1.4</v>
      </c>
      <c r="H16" s="8">
        <v>1.6</v>
      </c>
      <c r="I16" s="8">
        <v>1.9</v>
      </c>
      <c r="J16" s="8">
        <v>2.1</v>
      </c>
      <c r="K16" s="9">
        <f t="shared" si="0"/>
        <v>1.1000000000000001</v>
      </c>
      <c r="L16" s="10">
        <f t="shared" si="1"/>
        <v>0.17405488594401852</v>
      </c>
      <c r="M16" s="11" t="s">
        <v>58</v>
      </c>
      <c r="N16" s="12" t="s">
        <v>31</v>
      </c>
      <c r="O16" s="13" t="s">
        <v>59</v>
      </c>
    </row>
    <row r="17" spans="2:15" ht="33.75" customHeight="1" x14ac:dyDescent="0.25">
      <c r="B17" s="6" t="s">
        <v>60</v>
      </c>
      <c r="C17" s="7" t="s">
        <v>61</v>
      </c>
      <c r="D17" s="7" t="s">
        <v>40</v>
      </c>
      <c r="E17" s="8">
        <v>0.6</v>
      </c>
      <c r="F17" s="8">
        <v>0.7</v>
      </c>
      <c r="G17" s="8">
        <v>0.8</v>
      </c>
      <c r="H17" s="8">
        <v>0.9</v>
      </c>
      <c r="I17" s="8">
        <v>1.1000000000000001</v>
      </c>
      <c r="J17" s="8">
        <v>1.2</v>
      </c>
      <c r="K17" s="9">
        <f t="shared" si="0"/>
        <v>0.6</v>
      </c>
      <c r="L17" s="10">
        <f t="shared" si="1"/>
        <v>0.16361780700222184</v>
      </c>
      <c r="M17" s="11" t="s">
        <v>62</v>
      </c>
      <c r="N17" s="12" t="s">
        <v>31</v>
      </c>
      <c r="O17" s="13" t="s">
        <v>63</v>
      </c>
    </row>
    <row r="18" spans="2:15" ht="33.75" customHeight="1" x14ac:dyDescent="0.25">
      <c r="B18" s="4" t="s">
        <v>64</v>
      </c>
      <c r="C18" s="5"/>
      <c r="D18" s="5"/>
      <c r="E18" s="5"/>
      <c r="F18" s="5"/>
      <c r="G18" s="5"/>
      <c r="H18" s="5"/>
      <c r="I18" s="5"/>
      <c r="J18" s="5"/>
      <c r="K18" s="5"/>
      <c r="L18" s="5"/>
      <c r="M18" s="5"/>
      <c r="N18" s="5"/>
      <c r="O18" s="5"/>
    </row>
    <row r="19" spans="2:15" ht="33.75" customHeight="1" x14ac:dyDescent="0.25">
      <c r="B19" s="6" t="s">
        <v>65</v>
      </c>
      <c r="C19" s="7" t="s">
        <v>49</v>
      </c>
      <c r="D19" s="7" t="s">
        <v>66</v>
      </c>
      <c r="E19" s="9" t="s">
        <v>67</v>
      </c>
      <c r="F19" s="9" t="s">
        <v>67</v>
      </c>
      <c r="G19" s="8">
        <v>0.02</v>
      </c>
      <c r="H19" s="8">
        <v>0.25</v>
      </c>
      <c r="I19" s="8">
        <v>0.7</v>
      </c>
      <c r="J19" s="8">
        <v>1.1000000000000001</v>
      </c>
      <c r="K19" s="9">
        <f>J19-G19</f>
        <v>1.08</v>
      </c>
      <c r="L19" s="10">
        <f>(I19/G19)^(1/2)-1</f>
        <v>4.9160797830996161</v>
      </c>
      <c r="M19" s="11" t="s">
        <v>68</v>
      </c>
      <c r="N19" s="12" t="s">
        <v>22</v>
      </c>
      <c r="O19" s="13" t="s">
        <v>69</v>
      </c>
    </row>
    <row r="20" spans="2:15" ht="33.75" customHeight="1" x14ac:dyDescent="0.25">
      <c r="B20" s="6" t="s">
        <v>70</v>
      </c>
      <c r="C20" s="7" t="s">
        <v>71</v>
      </c>
      <c r="D20" s="7" t="s">
        <v>72</v>
      </c>
      <c r="E20" s="8">
        <v>0.02</v>
      </c>
      <c r="F20" s="8">
        <v>0.05</v>
      </c>
      <c r="G20" s="8">
        <v>0.1</v>
      </c>
      <c r="H20" s="8">
        <v>0.25</v>
      </c>
      <c r="I20" s="8">
        <v>0.35</v>
      </c>
      <c r="J20" s="8">
        <v>0.4</v>
      </c>
      <c r="K20" s="9">
        <f>J20-E20</f>
        <v>0.38</v>
      </c>
      <c r="L20" s="10">
        <f>(I20/E20)^(1/4)-1</f>
        <v>1.0453117446175235</v>
      </c>
      <c r="M20" s="11" t="s">
        <v>73</v>
      </c>
      <c r="N20" s="12" t="s">
        <v>31</v>
      </c>
      <c r="O20" s="13" t="s">
        <v>74</v>
      </c>
    </row>
    <row r="21" spans="2:15" ht="33.75" customHeight="1" x14ac:dyDescent="0.25">
      <c r="B21" s="6" t="s">
        <v>75</v>
      </c>
      <c r="C21" s="7" t="s">
        <v>76</v>
      </c>
      <c r="D21" s="7" t="s">
        <v>77</v>
      </c>
      <c r="E21" s="8">
        <v>0.5</v>
      </c>
      <c r="F21" s="8">
        <v>0.55000000000000004</v>
      </c>
      <c r="G21" s="8">
        <v>0.6</v>
      </c>
      <c r="H21" s="8">
        <v>0.65</v>
      </c>
      <c r="I21" s="8">
        <v>0.7</v>
      </c>
      <c r="J21" s="8">
        <v>0.75</v>
      </c>
      <c r="K21" s="9">
        <f>J21-E21</f>
        <v>0.25</v>
      </c>
      <c r="L21" s="10">
        <f>(I21/E21)^(1/4)-1</f>
        <v>8.7757305937277152E-2</v>
      </c>
      <c r="M21" s="11" t="s">
        <v>78</v>
      </c>
      <c r="N21" s="12" t="s">
        <v>31</v>
      </c>
      <c r="O21" s="13" t="s">
        <v>79</v>
      </c>
    </row>
    <row r="22" spans="2:15" ht="33.75" customHeight="1" x14ac:dyDescent="0.25">
      <c r="B22" s="6" t="s">
        <v>80</v>
      </c>
      <c r="C22" s="7" t="s">
        <v>49</v>
      </c>
      <c r="D22" s="7" t="s">
        <v>66</v>
      </c>
      <c r="E22" s="9" t="s">
        <v>67</v>
      </c>
      <c r="F22" s="9" t="s">
        <v>67</v>
      </c>
      <c r="G22" s="9" t="s">
        <v>67</v>
      </c>
      <c r="H22" s="9" t="s">
        <v>67</v>
      </c>
      <c r="I22" s="9" t="s">
        <v>67</v>
      </c>
      <c r="J22" s="8">
        <v>0.1</v>
      </c>
      <c r="K22" s="9" t="s">
        <v>67</v>
      </c>
      <c r="L22" s="10" t="s">
        <v>67</v>
      </c>
      <c r="M22" s="11" t="s">
        <v>81</v>
      </c>
      <c r="N22" s="12" t="s">
        <v>31</v>
      </c>
      <c r="O22" s="13" t="s">
        <v>82</v>
      </c>
    </row>
    <row r="23" spans="2:15" ht="33.75" customHeight="1" x14ac:dyDescent="0.25">
      <c r="B23" s="6" t="s">
        <v>83</v>
      </c>
      <c r="C23" s="7" t="s">
        <v>49</v>
      </c>
      <c r="D23" s="7" t="s">
        <v>84</v>
      </c>
      <c r="E23" s="9" t="s">
        <v>67</v>
      </c>
      <c r="F23" s="9" t="s">
        <v>67</v>
      </c>
      <c r="G23" s="9" t="s">
        <v>67</v>
      </c>
      <c r="H23" s="9" t="s">
        <v>67</v>
      </c>
      <c r="I23" s="9" t="s">
        <v>67</v>
      </c>
      <c r="J23" s="8">
        <v>0</v>
      </c>
      <c r="K23" s="9" t="s">
        <v>67</v>
      </c>
      <c r="L23" s="10" t="s">
        <v>67</v>
      </c>
      <c r="M23" s="11" t="s">
        <v>85</v>
      </c>
      <c r="N23" s="12" t="s">
        <v>86</v>
      </c>
      <c r="O23" s="13" t="s">
        <v>87</v>
      </c>
    </row>
    <row r="24" spans="2:15" ht="33.75" customHeight="1" x14ac:dyDescent="0.25">
      <c r="B24" s="4" t="s">
        <v>88</v>
      </c>
      <c r="C24" s="5"/>
      <c r="D24" s="5"/>
      <c r="E24" s="5"/>
      <c r="F24" s="5"/>
      <c r="G24" s="5"/>
      <c r="H24" s="5"/>
      <c r="I24" s="5"/>
      <c r="J24" s="5"/>
      <c r="K24" s="5"/>
      <c r="L24" s="5"/>
      <c r="M24" s="5"/>
      <c r="N24" s="5"/>
      <c r="O24" s="5"/>
    </row>
    <row r="25" spans="2:15" ht="33.75" customHeight="1" x14ac:dyDescent="0.25">
      <c r="B25" s="6" t="s">
        <v>89</v>
      </c>
      <c r="C25" s="7" t="s">
        <v>90</v>
      </c>
      <c r="D25" s="7" t="s">
        <v>91</v>
      </c>
      <c r="E25" s="8">
        <v>0.01</v>
      </c>
      <c r="F25" s="8">
        <v>0.03</v>
      </c>
      <c r="G25" s="8">
        <v>7.0000000000000007E-2</v>
      </c>
      <c r="H25" s="8">
        <v>0.36</v>
      </c>
      <c r="I25" s="8">
        <v>0.85</v>
      </c>
      <c r="J25" s="8">
        <v>1.2</v>
      </c>
      <c r="K25" s="9">
        <f>J25-E25</f>
        <v>1.19</v>
      </c>
      <c r="L25" s="10">
        <f>(I25/E25)^(1/4)-1</f>
        <v>2.0363702767108114</v>
      </c>
      <c r="M25" s="11" t="s">
        <v>92</v>
      </c>
      <c r="N25" s="12" t="s">
        <v>86</v>
      </c>
      <c r="O25" s="13" t="s">
        <v>93</v>
      </c>
    </row>
    <row r="26" spans="2:15" ht="33.75" customHeight="1" x14ac:dyDescent="0.25">
      <c r="B26" s="6" t="s">
        <v>94</v>
      </c>
      <c r="C26" s="7" t="s">
        <v>95</v>
      </c>
      <c r="D26" s="7" t="s">
        <v>91</v>
      </c>
      <c r="E26" s="9" t="s">
        <v>67</v>
      </c>
      <c r="F26" s="9" t="s">
        <v>67</v>
      </c>
      <c r="G26" s="9" t="s">
        <v>67</v>
      </c>
      <c r="H26" s="8">
        <v>0.03</v>
      </c>
      <c r="I26" s="8">
        <v>0.22</v>
      </c>
      <c r="J26" s="8">
        <v>0.4</v>
      </c>
      <c r="K26" s="9">
        <f>J26-H26</f>
        <v>0.37</v>
      </c>
      <c r="L26" s="10">
        <f>(I26/H26)^(1/1)-1</f>
        <v>6.3333333333333339</v>
      </c>
      <c r="M26" s="11" t="s">
        <v>96</v>
      </c>
      <c r="N26" s="12" t="s">
        <v>86</v>
      </c>
      <c r="O26" s="13" t="s">
        <v>97</v>
      </c>
    </row>
    <row r="27" spans="2:15" ht="33.75" customHeight="1" x14ac:dyDescent="0.25">
      <c r="B27" s="6" t="s">
        <v>98</v>
      </c>
      <c r="C27" s="7" t="s">
        <v>49</v>
      </c>
      <c r="D27" s="7" t="s">
        <v>91</v>
      </c>
      <c r="E27" s="8">
        <v>0.05</v>
      </c>
      <c r="F27" s="8">
        <v>0.1</v>
      </c>
      <c r="G27" s="8">
        <v>0.15</v>
      </c>
      <c r="H27" s="8">
        <v>0.2</v>
      </c>
      <c r="I27" s="8">
        <v>0.25</v>
      </c>
      <c r="J27" s="8">
        <v>0.3</v>
      </c>
      <c r="K27" s="9">
        <f>J27-E27</f>
        <v>0.25</v>
      </c>
      <c r="L27" s="10">
        <f>(I27/E27)^(1/4)-1</f>
        <v>0.4953487812212205</v>
      </c>
      <c r="M27" s="11" t="s">
        <v>99</v>
      </c>
      <c r="N27" s="12" t="s">
        <v>31</v>
      </c>
      <c r="O27" s="13" t="s">
        <v>100</v>
      </c>
    </row>
    <row r="28" spans="2:15" ht="33.75" customHeight="1" x14ac:dyDescent="0.25">
      <c r="B28" s="6" t="s">
        <v>101</v>
      </c>
      <c r="C28" s="7" t="s">
        <v>49</v>
      </c>
      <c r="D28" s="7" t="s">
        <v>102</v>
      </c>
      <c r="E28" s="9" t="s">
        <v>67</v>
      </c>
      <c r="F28" s="9" t="s">
        <v>67</v>
      </c>
      <c r="G28" s="8">
        <v>0.01</v>
      </c>
      <c r="H28" s="8">
        <v>0.05</v>
      </c>
      <c r="I28" s="8">
        <v>0.15</v>
      </c>
      <c r="J28" s="8">
        <v>0.25</v>
      </c>
      <c r="K28" s="9">
        <f>J28-G28</f>
        <v>0.24</v>
      </c>
      <c r="L28" s="10">
        <f>(I28/G28)^(1/2)-1</f>
        <v>2.872983346207417</v>
      </c>
      <c r="M28" s="11" t="s">
        <v>103</v>
      </c>
      <c r="N28" s="12" t="s">
        <v>31</v>
      </c>
      <c r="O28" s="13" t="s">
        <v>104</v>
      </c>
    </row>
    <row r="29" spans="2:15" ht="33.75" customHeight="1" x14ac:dyDescent="0.25">
      <c r="B29" s="6" t="s">
        <v>105</v>
      </c>
      <c r="C29" s="7" t="s">
        <v>49</v>
      </c>
      <c r="D29" s="7" t="s">
        <v>106</v>
      </c>
      <c r="E29" s="9" t="s">
        <v>67</v>
      </c>
      <c r="F29" s="9" t="s">
        <v>67</v>
      </c>
      <c r="G29" s="8">
        <v>0.02</v>
      </c>
      <c r="H29" s="8">
        <v>0.08</v>
      </c>
      <c r="I29" s="8">
        <v>0.2</v>
      </c>
      <c r="J29" s="8">
        <v>0.3</v>
      </c>
      <c r="K29" s="9">
        <f>J29-G29</f>
        <v>0.27999999999999997</v>
      </c>
      <c r="L29" s="10">
        <f>(I29/G29)^(1/2)-1</f>
        <v>2.1622776601683795</v>
      </c>
      <c r="M29" s="11" t="s">
        <v>107</v>
      </c>
      <c r="N29" s="12" t="s">
        <v>31</v>
      </c>
      <c r="O29" s="13" t="s">
        <v>108</v>
      </c>
    </row>
    <row r="30" spans="2:15" ht="33.75" customHeight="1" x14ac:dyDescent="0.25">
      <c r="B30" s="6" t="s">
        <v>109</v>
      </c>
      <c r="C30" s="7" t="s">
        <v>49</v>
      </c>
      <c r="D30" s="7" t="s">
        <v>91</v>
      </c>
      <c r="E30" s="8">
        <v>0.01</v>
      </c>
      <c r="F30" s="8">
        <v>0.02</v>
      </c>
      <c r="G30" s="8">
        <v>0.04</v>
      </c>
      <c r="H30" s="8">
        <v>7.0000000000000007E-2</v>
      </c>
      <c r="I30" s="8">
        <v>0.12</v>
      </c>
      <c r="J30" s="8">
        <v>0.18</v>
      </c>
      <c r="K30" s="9">
        <f>J30-E30</f>
        <v>0.16999999999999998</v>
      </c>
      <c r="L30" s="10">
        <f>(I30/E30)^(1/4)-1</f>
        <v>0.86120971820419912</v>
      </c>
      <c r="M30" s="11" t="s">
        <v>110</v>
      </c>
      <c r="N30" s="12" t="s">
        <v>31</v>
      </c>
      <c r="O30" s="13" t="s">
        <v>111</v>
      </c>
    </row>
    <row r="31" spans="2:15" ht="33.75" customHeight="1" x14ac:dyDescent="0.25">
      <c r="B31" s="6" t="s">
        <v>112</v>
      </c>
      <c r="C31" s="7" t="s">
        <v>113</v>
      </c>
      <c r="D31" s="7" t="s">
        <v>114</v>
      </c>
      <c r="E31" s="9" t="s">
        <v>67</v>
      </c>
      <c r="F31" s="9" t="s">
        <v>67</v>
      </c>
      <c r="G31" s="8">
        <v>0.01</v>
      </c>
      <c r="H31" s="8">
        <v>0.03</v>
      </c>
      <c r="I31" s="8">
        <v>0.1</v>
      </c>
      <c r="J31" s="8">
        <v>0.2</v>
      </c>
      <c r="K31" s="9">
        <f>J31-G31</f>
        <v>0.19</v>
      </c>
      <c r="L31" s="10">
        <f>(I31/G31)^(1/2)-1</f>
        <v>2.1622776601683795</v>
      </c>
      <c r="M31" s="11" t="s">
        <v>115</v>
      </c>
      <c r="N31" s="12" t="s">
        <v>31</v>
      </c>
      <c r="O31" s="13" t="s">
        <v>116</v>
      </c>
    </row>
    <row r="32" spans="2:15" ht="33.75" customHeight="1" x14ac:dyDescent="0.25">
      <c r="B32" s="6" t="s">
        <v>117</v>
      </c>
      <c r="C32" s="7" t="s">
        <v>49</v>
      </c>
      <c r="D32" s="7" t="s">
        <v>91</v>
      </c>
      <c r="E32" s="9" t="s">
        <v>67</v>
      </c>
      <c r="F32" s="9" t="s">
        <v>67</v>
      </c>
      <c r="G32" s="9" t="s">
        <v>67</v>
      </c>
      <c r="H32" s="8">
        <v>0.01</v>
      </c>
      <c r="I32" s="8">
        <v>0.06</v>
      </c>
      <c r="J32" s="8">
        <v>0.12</v>
      </c>
      <c r="K32" s="9">
        <f>J32-H32</f>
        <v>0.11</v>
      </c>
      <c r="L32" s="10">
        <f>(I32/H32)^(1/1)-1</f>
        <v>5</v>
      </c>
      <c r="M32" s="11" t="s">
        <v>118</v>
      </c>
      <c r="N32" s="12" t="s">
        <v>31</v>
      </c>
      <c r="O32" s="13" t="s">
        <v>119</v>
      </c>
    </row>
    <row r="33" spans="2:15" ht="33.75" customHeight="1" x14ac:dyDescent="0.25">
      <c r="B33" s="14" t="s">
        <v>120</v>
      </c>
      <c r="C33" s="15"/>
      <c r="D33" s="15"/>
      <c r="E33" s="16">
        <f t="shared" ref="E33:J33" si="2">SUM(E8:E32)</f>
        <v>17.890000000000008</v>
      </c>
      <c r="F33" s="16">
        <f t="shared" si="2"/>
        <v>21.750000000000004</v>
      </c>
      <c r="G33" s="16">
        <f t="shared" si="2"/>
        <v>25.52</v>
      </c>
      <c r="H33" s="16">
        <f t="shared" si="2"/>
        <v>31.079999999999995</v>
      </c>
      <c r="I33" s="16">
        <f t="shared" si="2"/>
        <v>43.800000000000011</v>
      </c>
      <c r="J33" s="16">
        <f t="shared" si="2"/>
        <v>53.4</v>
      </c>
      <c r="K33" s="16">
        <f>J33-E33</f>
        <v>35.509999999999991</v>
      </c>
      <c r="L33" s="17">
        <f>(I33/E33)^(1/4)-1</f>
        <v>0.25088084602420557</v>
      </c>
      <c r="M33" s="15"/>
      <c r="N33" s="15"/>
      <c r="O33" s="15"/>
    </row>
    <row r="36" spans="2:15" x14ac:dyDescent="0.25">
      <c r="B36" s="18" t="s">
        <v>121</v>
      </c>
    </row>
    <row r="37" spans="2:15" x14ac:dyDescent="0.25">
      <c r="B37" s="19" t="s">
        <v>3</v>
      </c>
      <c r="C37" s="19" t="s">
        <v>122</v>
      </c>
    </row>
    <row r="38" spans="2:15" x14ac:dyDescent="0.25">
      <c r="B38" s="7" t="str">
        <f t="shared" ref="B38:B47" si="3">B8</f>
        <v>Amazon (AWS)</v>
      </c>
      <c r="C38" s="20">
        <f t="shared" ref="C38:C47" si="4">IF(ISNUMBER(J8),J8/$J$33,0)</f>
        <v>0.2247191011235955</v>
      </c>
    </row>
    <row r="39" spans="2:15" x14ac:dyDescent="0.25">
      <c r="B39" s="7" t="str">
        <f t="shared" si="3"/>
        <v>Microsoft</v>
      </c>
      <c r="C39" s="20">
        <f t="shared" si="4"/>
        <v>0.15917602996254682</v>
      </c>
    </row>
    <row r="40" spans="2:15" x14ac:dyDescent="0.25">
      <c r="B40" s="7" t="str">
        <f t="shared" si="3"/>
        <v>Google</v>
      </c>
      <c r="C40" s="20">
        <f t="shared" si="4"/>
        <v>0.12172284644194757</v>
      </c>
    </row>
    <row r="41" spans="2:15" x14ac:dyDescent="0.25">
      <c r="B41" s="7" t="str">
        <f t="shared" si="3"/>
        <v>Meta</v>
      </c>
      <c r="C41" s="20">
        <f t="shared" si="4"/>
        <v>0.10299625468164794</v>
      </c>
    </row>
    <row r="42" spans="2:15" x14ac:dyDescent="0.25">
      <c r="B42" s="7" t="str">
        <f t="shared" si="3"/>
        <v>Alibaba</v>
      </c>
      <c r="C42" s="20">
        <f t="shared" si="4"/>
        <v>6.3670411985018729E-2</v>
      </c>
    </row>
    <row r="43" spans="2:15" x14ac:dyDescent="0.25">
      <c r="B43" s="7" t="str">
        <f t="shared" si="3"/>
        <v>Oracle (OCI)</v>
      </c>
      <c r="C43" s="20">
        <f t="shared" si="4"/>
        <v>6.1797752808988762E-2</v>
      </c>
    </row>
    <row r="44" spans="2:15" x14ac:dyDescent="0.25">
      <c r="B44" s="7" t="str">
        <f t="shared" si="3"/>
        <v>ByteDance</v>
      </c>
      <c r="C44" s="20">
        <f t="shared" si="4"/>
        <v>5.8052434456928842E-2</v>
      </c>
    </row>
    <row r="45" spans="2:15" x14ac:dyDescent="0.25">
      <c r="B45" s="7" t="str">
        <f t="shared" si="3"/>
        <v>Tencent</v>
      </c>
      <c r="C45" s="20">
        <f t="shared" si="4"/>
        <v>4.6816479400749067E-2</v>
      </c>
    </row>
    <row r="46" spans="2:15" x14ac:dyDescent="0.25">
      <c r="B46" s="7" t="str">
        <f t="shared" si="3"/>
        <v>Huawei Cloud</v>
      </c>
      <c r="C46" s="20">
        <f t="shared" si="4"/>
        <v>3.9325842696629219E-2</v>
      </c>
    </row>
    <row r="47" spans="2:15" x14ac:dyDescent="0.25">
      <c r="B47" s="7" t="str">
        <f t="shared" si="3"/>
        <v>Baidu</v>
      </c>
      <c r="C47" s="20">
        <f t="shared" si="4"/>
        <v>2.247191011235955E-2</v>
      </c>
    </row>
    <row r="48" spans="2:15" x14ac:dyDescent="0.25">
      <c r="B48" s="7" t="str">
        <f>B19</f>
        <v>xAI</v>
      </c>
      <c r="C48" s="20">
        <f>IF(ISNUMBER(J19),J19/$J$33,0)</f>
        <v>2.059925093632959E-2</v>
      </c>
    </row>
    <row r="49" spans="2:3" x14ac:dyDescent="0.25">
      <c r="B49" s="7" t="str">
        <f>B20</f>
        <v>Tesla</v>
      </c>
      <c r="C49" s="20">
        <f>IF(ISNUMBER(J20),J20/$J$33,0)</f>
        <v>7.4906367041198511E-3</v>
      </c>
    </row>
    <row r="50" spans="2:3" x14ac:dyDescent="0.25">
      <c r="B50" s="7" t="str">
        <f>B21</f>
        <v>Apple</v>
      </c>
      <c r="C50" s="20">
        <f>IF(ISNUMBER(J21),J21/$J$33,0)</f>
        <v>1.4044943820224719E-2</v>
      </c>
    </row>
    <row r="51" spans="2:3" x14ac:dyDescent="0.25">
      <c r="B51" s="7" t="str">
        <f>B22</f>
        <v>Anthropic</v>
      </c>
      <c r="C51" s="20">
        <f>IF(ISNUMBER(J22),J22/$J$33,0)</f>
        <v>1.8726591760299628E-3</v>
      </c>
    </row>
    <row r="52" spans="2:3" x14ac:dyDescent="0.25">
      <c r="B52" s="7" t="str">
        <f>B23</f>
        <v>OpenAI</v>
      </c>
      <c r="C52" s="20">
        <f>IF(ISNUMBER(J23),J23/$J$33,0)</f>
        <v>0</v>
      </c>
    </row>
    <row r="53" spans="2:3" x14ac:dyDescent="0.25">
      <c r="B53" s="7" t="str">
        <f t="shared" ref="B53:B60" si="5">B25</f>
        <v>CoreWeave</v>
      </c>
      <c r="C53" s="20">
        <f t="shared" ref="C53:C60" si="6">IF(ISNUMBER(J25),J25/$J$33,0)</f>
        <v>2.247191011235955E-2</v>
      </c>
    </row>
    <row r="54" spans="2:3" x14ac:dyDescent="0.25">
      <c r="B54" s="7" t="str">
        <f t="shared" si="5"/>
        <v>Nebius</v>
      </c>
      <c r="C54" s="20">
        <f t="shared" si="6"/>
        <v>7.4906367041198511E-3</v>
      </c>
    </row>
    <row r="55" spans="2:3" x14ac:dyDescent="0.25">
      <c r="B55" s="7" t="str">
        <f t="shared" si="5"/>
        <v>Crusoe (cloud segment)</v>
      </c>
      <c r="C55" s="20">
        <f t="shared" si="6"/>
        <v>5.6179775280898875E-3</v>
      </c>
    </row>
    <row r="56" spans="2:3" x14ac:dyDescent="0.25">
      <c r="B56" s="7" t="str">
        <f t="shared" si="5"/>
        <v>Fluidstack</v>
      </c>
      <c r="C56" s="20">
        <f t="shared" si="6"/>
        <v>4.6816479400749065E-3</v>
      </c>
    </row>
    <row r="57" spans="2:3" x14ac:dyDescent="0.25">
      <c r="B57" s="7" t="str">
        <f t="shared" si="5"/>
        <v>G42 / Core42</v>
      </c>
      <c r="C57" s="20">
        <f t="shared" si="6"/>
        <v>5.6179775280898875E-3</v>
      </c>
    </row>
    <row r="58" spans="2:3" x14ac:dyDescent="0.25">
      <c r="B58" s="7" t="str">
        <f t="shared" si="5"/>
        <v>Lambda</v>
      </c>
      <c r="C58" s="20">
        <f t="shared" si="6"/>
        <v>3.3707865168539327E-3</v>
      </c>
    </row>
    <row r="59" spans="2:3" x14ac:dyDescent="0.25">
      <c r="B59" s="7" t="str">
        <f t="shared" si="5"/>
        <v>IREN (AI cloud only)</v>
      </c>
      <c r="C59" s="20">
        <f t="shared" si="6"/>
        <v>3.7453183520599256E-3</v>
      </c>
    </row>
    <row r="60" spans="2:3" x14ac:dyDescent="0.25">
      <c r="B60" s="7" t="str">
        <f t="shared" si="5"/>
        <v>Nscale</v>
      </c>
      <c r="C60" s="20">
        <f t="shared" si="6"/>
        <v>2.2471910112359548E-3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20"/>
  <sheetViews>
    <sheetView showGridLines="0" zoomScaleNormal="100" workbookViewId="0"/>
  </sheetViews>
  <sheetFormatPr defaultColWidth="8.7109375" defaultRowHeight="15" x14ac:dyDescent="0.25"/>
  <cols>
    <col min="1" max="1" width="2" customWidth="1"/>
    <col min="2" max="2" width="24" customWidth="1"/>
    <col min="3" max="3" width="110" customWidth="1"/>
  </cols>
  <sheetData>
    <row r="2" spans="2:3" ht="18" x14ac:dyDescent="0.25">
      <c r="B2" s="1" t="s">
        <v>123</v>
      </c>
    </row>
    <row r="4" spans="2:3" ht="84" customHeight="1" x14ac:dyDescent="0.25">
      <c r="B4" s="18" t="s">
        <v>124</v>
      </c>
      <c r="C4" s="21" t="s">
        <v>125</v>
      </c>
    </row>
    <row r="5" spans="2:3" ht="42" customHeight="1" x14ac:dyDescent="0.25">
      <c r="B5" s="18" t="s">
        <v>126</v>
      </c>
      <c r="C5" s="21" t="s">
        <v>127</v>
      </c>
    </row>
    <row r="6" spans="2:3" ht="55.5" customHeight="1" x14ac:dyDescent="0.25">
      <c r="B6" s="18" t="s">
        <v>128</v>
      </c>
      <c r="C6" s="21" t="s">
        <v>129</v>
      </c>
    </row>
    <row r="7" spans="2:3" ht="55.5" customHeight="1" x14ac:dyDescent="0.25">
      <c r="B7" s="18" t="s">
        <v>130</v>
      </c>
      <c r="C7" s="21" t="s">
        <v>131</v>
      </c>
    </row>
    <row r="8" spans="2:3" ht="84" customHeight="1" x14ac:dyDescent="0.25">
      <c r="B8" s="18" t="s">
        <v>132</v>
      </c>
      <c r="C8" s="21" t="s">
        <v>133</v>
      </c>
    </row>
    <row r="9" spans="2:3" ht="30" customHeight="1" x14ac:dyDescent="0.25">
      <c r="B9" s="18" t="s">
        <v>70</v>
      </c>
      <c r="C9" s="21" t="s">
        <v>134</v>
      </c>
    </row>
    <row r="10" spans="2:3" ht="42" customHeight="1" x14ac:dyDescent="0.25">
      <c r="B10" s="18" t="s">
        <v>75</v>
      </c>
      <c r="C10" s="21" t="s">
        <v>135</v>
      </c>
    </row>
    <row r="11" spans="2:3" ht="42" customHeight="1" x14ac:dyDescent="0.25">
      <c r="B11" s="18" t="s">
        <v>136</v>
      </c>
      <c r="C11" s="21" t="s">
        <v>137</v>
      </c>
    </row>
    <row r="12" spans="2:3" ht="42" customHeight="1" x14ac:dyDescent="0.25">
      <c r="B12" s="18" t="s">
        <v>138</v>
      </c>
      <c r="C12" s="21" t="s">
        <v>139</v>
      </c>
    </row>
    <row r="13" spans="2:3" ht="42" customHeight="1" x14ac:dyDescent="0.25">
      <c r="B13" s="18" t="s">
        <v>140</v>
      </c>
      <c r="C13" s="21" t="s">
        <v>141</v>
      </c>
    </row>
    <row r="14" spans="2:3" ht="30" customHeight="1" x14ac:dyDescent="0.25">
      <c r="B14" s="18" t="s">
        <v>142</v>
      </c>
      <c r="C14" s="21" t="s">
        <v>143</v>
      </c>
    </row>
    <row r="15" spans="2:3" ht="42" customHeight="1" x14ac:dyDescent="0.25">
      <c r="B15" s="18" t="s">
        <v>144</v>
      </c>
      <c r="C15" s="21" t="s">
        <v>145</v>
      </c>
    </row>
    <row r="16" spans="2:3" ht="42" customHeight="1" x14ac:dyDescent="0.25">
      <c r="B16" s="18" t="s">
        <v>146</v>
      </c>
      <c r="C16" s="21" t="s">
        <v>147</v>
      </c>
    </row>
    <row r="17" spans="2:3" ht="69.75" customHeight="1" x14ac:dyDescent="0.25">
      <c r="B17" s="18" t="s">
        <v>148</v>
      </c>
      <c r="C17" s="21" t="s">
        <v>149</v>
      </c>
    </row>
    <row r="18" spans="2:3" ht="42" customHeight="1" x14ac:dyDescent="0.25">
      <c r="B18" s="18" t="s">
        <v>150</v>
      </c>
      <c r="C18" s="21" t="s">
        <v>151</v>
      </c>
    </row>
    <row r="19" spans="2:3" ht="97.5" customHeight="1" x14ac:dyDescent="0.25">
      <c r="B19" s="18" t="s">
        <v>152</v>
      </c>
      <c r="C19" s="21" t="s">
        <v>153</v>
      </c>
    </row>
    <row r="20" spans="2:3" ht="30" customHeight="1" x14ac:dyDescent="0.25">
      <c r="B20" s="18" t="s">
        <v>154</v>
      </c>
      <c r="C20" s="21" t="s">
        <v>155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Operator GW Database</vt:lpstr>
      <vt:lpstr>Notes &amp;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Tomohawk WR</cp:lastModifiedBy>
  <cp:revision>0</cp:revision>
  <dcterms:created xsi:type="dcterms:W3CDTF">2026-07-22T13:53:05Z</dcterms:created>
  <dcterms:modified xsi:type="dcterms:W3CDTF">2026-07-22T14:07:54Z</dcterms:modified>
  <dc:language>en-US</dc:language>
</cp:coreProperties>
</file>