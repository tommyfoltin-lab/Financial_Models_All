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  <sheet name="Assumptions" sheetId="2" state="visible" r:id="rId2"/>
  </sheets>
  <definedNames>
    <definedName name="_xlnm._FilterDatabase" localSheetId="1" hidden="1">'Assumptions'!$A$3:$Y$36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$0.00"/>
    <numFmt numFmtId="167" formatCode="0.0x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595959"/>
      <sz val="8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color rgb="00000000"/>
      <sz val="10"/>
    </font>
    <font>
      <name val="Calibri"/>
      <b val="1"/>
      <color rgb="00404040"/>
      <sz val="9"/>
    </font>
    <font>
      <name val="Calibri"/>
      <color rgb="001F3864"/>
      <sz val="10"/>
    </font>
    <font>
      <name val="Calibri"/>
      <i val="1"/>
      <color rgb="00404040"/>
      <sz val="9"/>
    </font>
    <font>
      <name val="Calibri"/>
      <b val="1"/>
      <color rgb="00FFFFFF"/>
      <sz val="13"/>
    </font>
    <font>
      <name val="Calibri"/>
      <b val="1"/>
      <color rgb="001F3864"/>
      <sz val="9"/>
    </font>
    <font>
      <name val="Calibri"/>
      <color rgb="001F3864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1F3864"/>
      <sz val="10"/>
    </font>
    <font>
      <name val="Calibri"/>
      <color rgb="00404040"/>
      <sz val="9"/>
    </font>
    <font>
      <name val="Calibri"/>
      <i val="1"/>
      <color rgb="005C5C5C"/>
      <sz val="9"/>
    </font>
    <font>
      <name val="Calibri"/>
      <color rgb="00595959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2E5E8A"/>
      </patternFill>
    </fill>
    <fill>
      <patternFill patternType="solid">
        <fgColor rgb="00FFFFFF"/>
      </patternFill>
    </fill>
    <fill>
      <patternFill patternType="solid">
        <fgColor rgb="00EFF6FB"/>
      </patternFill>
    </fill>
    <fill>
      <patternFill patternType="solid">
        <fgColor rgb="00FFFBE6"/>
      </patternFill>
    </fill>
    <fill>
      <patternFill patternType="solid">
        <fgColor rgb="00F0F7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left" vertical="center"/>
    </xf>
    <xf numFmtId="166" fontId="10" fillId="8" borderId="1" applyAlignment="1" pivotButton="0" quotePrefix="0" xfId="0">
      <alignment horizontal="right" vertical="center"/>
    </xf>
    <xf numFmtId="0" fontId="11" fillId="8" borderId="0" applyAlignment="1" pivotButton="0" quotePrefix="0" xfId="0">
      <alignment horizontal="left" vertical="center"/>
    </xf>
    <xf numFmtId="166" fontId="11" fillId="8" borderId="1" applyAlignment="1" pivotButton="0" quotePrefix="0" xfId="0">
      <alignment horizontal="right" vertical="center"/>
    </xf>
    <xf numFmtId="3" fontId="10" fillId="8" borderId="1" applyAlignment="1" pivotButton="0" quotePrefix="0" xfId="0">
      <alignment horizontal="right" vertical="center"/>
    </xf>
    <xf numFmtId="167" fontId="10" fillId="8" borderId="1" applyAlignment="1" pivotButton="0" quotePrefix="0" xfId="0">
      <alignment horizontal="right" vertical="center"/>
    </xf>
    <xf numFmtId="164" fontId="10" fillId="8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3" fontId="13" fillId="5" borderId="1" applyAlignment="1" pivotButton="0" quotePrefix="0" xfId="0">
      <alignment horizontal="right" vertical="center"/>
    </xf>
    <xf numFmtId="3" fontId="14" fillId="6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3" fontId="7" fillId="6" borderId="1" applyAlignment="1" pivotButton="0" quotePrefix="0" xfId="0">
      <alignment horizontal="right" vertical="center"/>
    </xf>
    <xf numFmtId="0" fontId="16" fillId="9" borderId="0" applyAlignment="1" pivotButton="0" quotePrefix="0" xfId="0">
      <alignment horizontal="left" vertical="center"/>
    </xf>
    <xf numFmtId="164" fontId="5" fillId="9" borderId="1" applyAlignment="1" pivotButton="0" quotePrefix="0" xfId="0">
      <alignment horizontal="right" vertical="center"/>
    </xf>
    <xf numFmtId="164" fontId="17" fillId="9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6" fontId="7" fillId="6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3" fontId="7" fillId="5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 ht="22" customHeight="1">
      <c r="A1" s="1" t="inlineStr">
        <is>
          <t>MRVL — Equity Research Model</t>
        </is>
      </c>
    </row>
    <row r="2">
      <c r="A2" s="2" t="inlineStr">
        <is>
          <t>All figures in $mm unless noted  |  Blue = forecast</t>
        </is>
      </c>
    </row>
    <row r="3" ht="20" customHeight="1">
      <c r="A3" s="3" t="n"/>
      <c r="B3" s="4" t="inlineStr">
        <is>
          <t>Q2FY23</t>
        </is>
      </c>
      <c r="C3" s="4" t="inlineStr">
        <is>
          <t>Q3FY23</t>
        </is>
      </c>
      <c r="D3" s="4" t="inlineStr">
        <is>
          <t>Q4FY23</t>
        </is>
      </c>
      <c r="E3" s="4" t="inlineStr">
        <is>
          <t>Q1FY24</t>
        </is>
      </c>
      <c r="F3" s="4" t="inlineStr">
        <is>
          <t>Q2FY24</t>
        </is>
      </c>
      <c r="G3" s="4" t="inlineStr">
        <is>
          <t>Q3FY24</t>
        </is>
      </c>
      <c r="H3" s="4" t="inlineStr">
        <is>
          <t>Q4FY24</t>
        </is>
      </c>
      <c r="I3" s="4" t="inlineStr">
        <is>
          <t>Q1FY25</t>
        </is>
      </c>
      <c r="J3" s="4" t="inlineStr">
        <is>
          <t>Q2FY25</t>
        </is>
      </c>
      <c r="K3" s="4" t="inlineStr">
        <is>
          <t>Q3FY25</t>
        </is>
      </c>
      <c r="L3" s="4" t="inlineStr">
        <is>
          <t>Q4FY25</t>
        </is>
      </c>
      <c r="M3" s="4" t="inlineStr">
        <is>
          <t>Q1FY26</t>
        </is>
      </c>
      <c r="N3" s="4" t="inlineStr">
        <is>
          <t>Q2FY26</t>
        </is>
      </c>
      <c r="O3" s="4" t="inlineStr">
        <is>
          <t>Q3FY26</t>
        </is>
      </c>
      <c r="P3" s="4" t="inlineStr">
        <is>
          <t>Q4FY26</t>
        </is>
      </c>
      <c r="Q3" s="4" t="inlineStr">
        <is>
          <t>Q1FY27</t>
        </is>
      </c>
      <c r="R3" s="5" t="inlineStr">
        <is>
          <t>Q2FY27E</t>
        </is>
      </c>
      <c r="S3" s="5" t="inlineStr">
        <is>
          <t>Q3FY27E</t>
        </is>
      </c>
      <c r="T3" s="5" t="inlineStr">
        <is>
          <t>Q4FY27E</t>
        </is>
      </c>
      <c r="U3" s="5" t="inlineStr">
        <is>
          <t>Q1FY28E</t>
        </is>
      </c>
      <c r="V3" s="5" t="inlineStr">
        <is>
          <t>Q2FY28E</t>
        </is>
      </c>
      <c r="W3" s="5" t="inlineStr">
        <is>
          <t>Q3FY28E</t>
        </is>
      </c>
      <c r="X3" s="5" t="inlineStr">
        <is>
          <t>Q4FY28E</t>
        </is>
      </c>
      <c r="Y3" s="5" t="inlineStr">
        <is>
          <t>Q1FY29E</t>
        </is>
      </c>
    </row>
    <row r="4" ht="15" customHeight="1">
      <c r="A4" s="6" t="inlineStr">
        <is>
          <t>Stock</t>
        </is>
      </c>
      <c r="B4" s="7" t="n"/>
    </row>
    <row r="5" ht="15" customHeight="1">
      <c r="A5" s="8" t="inlineStr">
        <is>
          <t>Current Stock Price</t>
        </is>
      </c>
      <c r="B5" s="9" t="n">
        <v>290.79</v>
      </c>
    </row>
    <row r="6" ht="15" customHeight="1">
      <c r="A6" s="8" t="inlineStr">
        <is>
          <t>Market Cap ($mm)</t>
        </is>
      </c>
      <c r="B6" s="10">
        <f>$B$5*$Q$37</f>
        <v/>
      </c>
    </row>
    <row r="7" ht="15" customHeight="1">
      <c r="A7" s="8" t="inlineStr">
        <is>
          <t>Cash ($mm)</t>
        </is>
      </c>
      <c r="B7" s="10">
        <f>Q48+Q49</f>
        <v/>
      </c>
    </row>
    <row r="8" ht="15" customHeight="1">
      <c r="A8" s="8" t="inlineStr">
        <is>
          <t>Debt ($mm)</t>
        </is>
      </c>
      <c r="B8" s="10">
        <f>Q62+Q63+Q67</f>
        <v/>
      </c>
    </row>
    <row r="9" ht="15" customHeight="1">
      <c r="A9" s="8" t="inlineStr">
        <is>
          <t>Enterprise Value ($mm)</t>
        </is>
      </c>
      <c r="B9" s="10">
        <f>$B$6+$B$8-$B$7</f>
        <v/>
      </c>
    </row>
    <row r="10" ht="15" customHeight="1">
      <c r="A10" s="8" t="inlineStr">
        <is>
          <t>Trailing P/E</t>
        </is>
      </c>
      <c r="B10" s="11">
        <f>$B$5/($N$35+$O$35+$P$35+$Q$35)</f>
        <v/>
      </c>
    </row>
    <row r="11" ht="15" customHeight="1">
      <c r="A11" s="8" t="inlineStr">
        <is>
          <t>Trailing EV/EBIT</t>
        </is>
      </c>
      <c r="B11" s="11">
        <f>$B$9/($N$39+$O$39+$P$39+$Q$39)</f>
        <v/>
      </c>
    </row>
    <row r="12" ht="15" customHeight="1">
      <c r="A12" s="8" t="inlineStr">
        <is>
          <t>Trailing EV/EBITDA</t>
        </is>
      </c>
      <c r="B12" s="11">
        <f>$B$9/($N$40+$O$40+$P$40+$Q$40)</f>
        <v/>
      </c>
    </row>
    <row r="13" ht="15" customHeight="1">
      <c r="A13" s="8" t="inlineStr">
        <is>
          <t>Trailing EV/FCFE</t>
        </is>
      </c>
      <c r="B13" s="11">
        <f>$B$9/($N$109+$O$109+$P$109+$Q$109)</f>
        <v/>
      </c>
    </row>
    <row r="14" ht="15" customHeight="1">
      <c r="A14" s="8" t="inlineStr">
        <is>
          <t>EPS Yield</t>
        </is>
      </c>
      <c r="B14" s="12">
        <f>($N$35+$O$35+$P$35+$Q$35)/($B$5)</f>
        <v/>
      </c>
    </row>
    <row r="16" ht="18" customHeight="1">
      <c r="A16" s="13" t="inlineStr">
        <is>
          <t>INCOME STATEMENT</t>
        </is>
      </c>
    </row>
    <row r="17" ht="20" customHeight="1">
      <c r="A17" s="3" t="n"/>
      <c r="B17" s="4" t="inlineStr">
        <is>
          <t>Q2FY23</t>
        </is>
      </c>
      <c r="C17" s="4" t="inlineStr">
        <is>
          <t>Q3FY23</t>
        </is>
      </c>
      <c r="D17" s="4" t="inlineStr">
        <is>
          <t>Q4FY23</t>
        </is>
      </c>
      <c r="E17" s="4" t="inlineStr">
        <is>
          <t>Q1FY24</t>
        </is>
      </c>
      <c r="F17" s="4" t="inlineStr">
        <is>
          <t>Q2FY24</t>
        </is>
      </c>
      <c r="G17" s="4" t="inlineStr">
        <is>
          <t>Q3FY24</t>
        </is>
      </c>
      <c r="H17" s="4" t="inlineStr">
        <is>
          <t>Q4FY24</t>
        </is>
      </c>
      <c r="I17" s="4" t="inlineStr">
        <is>
          <t>Q1FY25</t>
        </is>
      </c>
      <c r="J17" s="4" t="inlineStr">
        <is>
          <t>Q2FY25</t>
        </is>
      </c>
      <c r="K17" s="4" t="inlineStr">
        <is>
          <t>Q3FY25</t>
        </is>
      </c>
      <c r="L17" s="4" t="inlineStr">
        <is>
          <t>Q4FY25</t>
        </is>
      </c>
      <c r="M17" s="4" t="inlineStr">
        <is>
          <t>Q1FY26</t>
        </is>
      </c>
      <c r="N17" s="4" t="inlineStr">
        <is>
          <t>Q2FY26</t>
        </is>
      </c>
      <c r="O17" s="4" t="inlineStr">
        <is>
          <t>Q3FY26</t>
        </is>
      </c>
      <c r="P17" s="4" t="inlineStr">
        <is>
          <t>Q4FY26</t>
        </is>
      </c>
      <c r="Q17" s="4" t="inlineStr">
        <is>
          <t>Q1FY27</t>
        </is>
      </c>
      <c r="R17" s="5" t="inlineStr">
        <is>
          <t>Q2FY27E</t>
        </is>
      </c>
      <c r="S17" s="5" t="inlineStr">
        <is>
          <t>Q3FY27E</t>
        </is>
      </c>
      <c r="T17" s="5" t="inlineStr">
        <is>
          <t>Q4FY27E</t>
        </is>
      </c>
      <c r="U17" s="5" t="inlineStr">
        <is>
          <t>Q1FY28E</t>
        </is>
      </c>
      <c r="V17" s="5" t="inlineStr">
        <is>
          <t>Q2FY28E</t>
        </is>
      </c>
      <c r="W17" s="5" t="inlineStr">
        <is>
          <t>Q3FY28E</t>
        </is>
      </c>
      <c r="X17" s="5" t="inlineStr">
        <is>
          <t>Q4FY28E</t>
        </is>
      </c>
      <c r="Y17" s="5" t="inlineStr">
        <is>
          <t>Q1FY29E</t>
        </is>
      </c>
    </row>
    <row r="18" ht="14" customHeight="1">
      <c r="A18" s="14" t="inlineStr">
        <is>
          <t>Total Revenue</t>
        </is>
      </c>
      <c r="B18" s="15" t="n">
        <v>1516.9</v>
      </c>
      <c r="C18" s="15" t="n">
        <v>1537.3</v>
      </c>
      <c r="D18" s="15" t="n">
        <v>1418.5</v>
      </c>
      <c r="E18" s="15" t="n">
        <v>1321.7</v>
      </c>
      <c r="F18" s="15" t="n">
        <v>1340.9</v>
      </c>
      <c r="G18" s="15" t="n">
        <v>1418.6</v>
      </c>
      <c r="H18" s="15" t="n">
        <v>1426.5</v>
      </c>
      <c r="I18" s="15" t="n">
        <v>1160.9</v>
      </c>
      <c r="J18" s="15" t="n">
        <v>1272.9</v>
      </c>
      <c r="K18" s="15" t="n">
        <v>1516.1</v>
      </c>
      <c r="L18" s="15" t="n">
        <v>1817.4</v>
      </c>
      <c r="M18" s="15" t="n">
        <v>1895.3</v>
      </c>
      <c r="N18" s="15" t="n">
        <v>2006.1</v>
      </c>
      <c r="O18" s="15" t="n">
        <v>2074.5</v>
      </c>
      <c r="P18" s="15" t="n">
        <v>2218.7</v>
      </c>
      <c r="Q18" s="15" t="n">
        <v>2417.8</v>
      </c>
      <c r="R18" s="16">
        <f>'Assumptions'!$R$5</f>
        <v/>
      </c>
      <c r="S18" s="16">
        <f>'Assumptions'!$S$5</f>
        <v/>
      </c>
      <c r="T18" s="16">
        <f>'Assumptions'!$T$5</f>
        <v/>
      </c>
      <c r="U18" s="16">
        <f>'Assumptions'!$U$5</f>
        <v/>
      </c>
      <c r="V18" s="16">
        <f>'Assumptions'!$V$5</f>
        <v/>
      </c>
      <c r="W18" s="16">
        <f>'Assumptions'!$W$5</f>
        <v/>
      </c>
      <c r="X18" s="16">
        <f>'Assumptions'!$X$5</f>
        <v/>
      </c>
      <c r="Y18" s="16">
        <f>'Assumptions'!$Y$5</f>
        <v/>
      </c>
    </row>
    <row r="19" ht="14" customHeight="1">
      <c r="A19" s="17" t="inlineStr">
        <is>
          <t>Cost of Revenue</t>
        </is>
      </c>
      <c r="B19" s="18" t="n">
        <v>730.9</v>
      </c>
      <c r="C19" s="18" t="n">
        <v>760</v>
      </c>
      <c r="D19" s="18" t="n">
        <v>745.2</v>
      </c>
      <c r="E19" s="18" t="n">
        <v>764.5</v>
      </c>
      <c r="F19" s="18" t="n">
        <v>819.8</v>
      </c>
      <c r="G19" s="18" t="n">
        <v>867.4</v>
      </c>
      <c r="H19" s="18" t="n">
        <v>762.4</v>
      </c>
      <c r="I19" s="18" t="n">
        <v>633.1</v>
      </c>
      <c r="J19" s="18" t="n">
        <v>685.3</v>
      </c>
      <c r="K19" s="18" t="n">
        <v>1166.7</v>
      </c>
      <c r="L19" s="18" t="n">
        <v>900</v>
      </c>
      <c r="M19" s="18" t="n">
        <v>942.9</v>
      </c>
      <c r="N19" s="18" t="n">
        <v>995.5</v>
      </c>
      <c r="O19" s="18" t="n">
        <v>1004.7</v>
      </c>
      <c r="P19" s="18" t="n">
        <v>1070.8</v>
      </c>
      <c r="Q19" s="18" t="n">
        <v>1157</v>
      </c>
      <c r="R19" s="19">
        <f>$R$18*(1-'Assumptions'!$R$9)</f>
        <v/>
      </c>
      <c r="S19" s="19">
        <f>$S$18*(1-'Assumptions'!$S$9)</f>
        <v/>
      </c>
      <c r="T19" s="19">
        <f>$T$18*(1-'Assumptions'!$T$9)</f>
        <v/>
      </c>
      <c r="U19" s="19">
        <f>$U$18*(1-'Assumptions'!$U$9)</f>
        <v/>
      </c>
      <c r="V19" s="19">
        <f>$V$18*(1-'Assumptions'!$V$9)</f>
        <v/>
      </c>
      <c r="W19" s="19">
        <f>$W$18*(1-'Assumptions'!$W$9)</f>
        <v/>
      </c>
      <c r="X19" s="19">
        <f>$X$18*(1-'Assumptions'!$X$9)</f>
        <v/>
      </c>
      <c r="Y19" s="19">
        <f>$Y$18*(1-'Assumptions'!$Y$9)</f>
        <v/>
      </c>
    </row>
    <row r="20" ht="14" customHeight="1">
      <c r="A20" s="14" t="inlineStr">
        <is>
          <t>Gross Profit</t>
        </is>
      </c>
      <c r="B20" s="15" t="n">
        <v>786</v>
      </c>
      <c r="C20" s="15" t="n">
        <v>777.3</v>
      </c>
      <c r="D20" s="15" t="n">
        <v>673.3</v>
      </c>
      <c r="E20" s="15" t="n">
        <v>557.2</v>
      </c>
      <c r="F20" s="15" t="n">
        <v>521.1</v>
      </c>
      <c r="G20" s="15" t="n">
        <v>551.2</v>
      </c>
      <c r="H20" s="15" t="n">
        <v>664.1</v>
      </c>
      <c r="I20" s="15" t="n">
        <v>527.8</v>
      </c>
      <c r="J20" s="15" t="n">
        <v>587.6</v>
      </c>
      <c r="K20" s="15" t="n">
        <v>349.4</v>
      </c>
      <c r="L20" s="15" t="n">
        <v>917.4</v>
      </c>
      <c r="M20" s="15" t="n">
        <v>952.4</v>
      </c>
      <c r="N20" s="15" t="n">
        <v>1010.6</v>
      </c>
      <c r="O20" s="15" t="n">
        <v>1069.8</v>
      </c>
      <c r="P20" s="15" t="n">
        <v>1147.9</v>
      </c>
      <c r="Q20" s="15" t="n">
        <v>1260.8</v>
      </c>
      <c r="R20" s="16">
        <f>$R$18-$R$19</f>
        <v/>
      </c>
      <c r="S20" s="16">
        <f>$S$18-$S$19</f>
        <v/>
      </c>
      <c r="T20" s="16">
        <f>$T$18-$T$19</f>
        <v/>
      </c>
      <c r="U20" s="16">
        <f>$U$18-$U$19</f>
        <v/>
      </c>
      <c r="V20" s="16">
        <f>$V$18-$V$19</f>
        <v/>
      </c>
      <c r="W20" s="16">
        <f>$W$18-$W$19</f>
        <v/>
      </c>
      <c r="X20" s="16">
        <f>$X$18-$X$19</f>
        <v/>
      </c>
      <c r="Y20" s="16">
        <f>$Y$18-$Y$19</f>
        <v/>
      </c>
    </row>
    <row r="21" ht="14" customHeight="1">
      <c r="A21" s="20" t="inlineStr">
        <is>
          <t>-- Gross Margin %</t>
        </is>
      </c>
      <c r="B21" s="21" t="n">
        <v>0.5181620410046806</v>
      </c>
      <c r="C21" s="21" t="n">
        <v>0.5056267481948872</v>
      </c>
      <c r="D21" s="21" t="n">
        <v>0.474656327106098</v>
      </c>
      <c r="E21" s="21" t="n">
        <v>0.4215782704093213</v>
      </c>
      <c r="F21" s="21" t="n">
        <v>0.3886195838615855</v>
      </c>
      <c r="G21" s="21" t="n">
        <v>0.3885520936134217</v>
      </c>
      <c r="H21" s="21" t="n">
        <v>0.4655450403084473</v>
      </c>
      <c r="I21" s="21" t="n">
        <v>0.4546472564389697</v>
      </c>
      <c r="J21" s="21" t="n">
        <v>0.4616230654411187</v>
      </c>
      <c r="K21" s="21" t="n">
        <v>0.230459732207638</v>
      </c>
      <c r="L21" s="21" t="n">
        <v>0.5047870584351271</v>
      </c>
      <c r="M21" s="21" t="n">
        <v>0.502506199546246</v>
      </c>
      <c r="N21" s="21" t="n">
        <v>0.5037635212601566</v>
      </c>
      <c r="O21" s="21" t="n">
        <v>0.5156905278380333</v>
      </c>
      <c r="P21" s="21" t="n">
        <v>0.5173750394375085</v>
      </c>
      <c r="Q21" s="21" t="n">
        <v>0.5214657953511456</v>
      </c>
      <c r="R21" s="22">
        <f>$R$20/$R$18</f>
        <v/>
      </c>
      <c r="S21" s="22">
        <f>$S$20/$S$18</f>
        <v/>
      </c>
      <c r="T21" s="22">
        <f>$T$20/$T$18</f>
        <v/>
      </c>
      <c r="U21" s="22">
        <f>$U$20/$U$18</f>
        <v/>
      </c>
      <c r="V21" s="22">
        <f>$V$20/$V$18</f>
        <v/>
      </c>
      <c r="W21" s="22">
        <f>$W$20/$W$18</f>
        <v/>
      </c>
      <c r="X21" s="22">
        <f>$X$20/$X$18</f>
        <v/>
      </c>
      <c r="Y21" s="22">
        <f>$Y$20/$Y$18</f>
        <v/>
      </c>
    </row>
    <row r="22" ht="14" customHeight="1">
      <c r="A22" s="17" t="inlineStr">
        <is>
          <t>Research &amp; Development</t>
        </is>
      </c>
      <c r="B22" s="18" t="n">
        <v>449</v>
      </c>
      <c r="C22" s="18" t="n">
        <v>448.1</v>
      </c>
      <c r="D22" s="18" t="n">
        <v>443.1</v>
      </c>
      <c r="E22" s="18" t="n">
        <v>480.7</v>
      </c>
      <c r="F22" s="18" t="n">
        <v>474.8</v>
      </c>
      <c r="G22" s="18" t="n">
        <v>481.1</v>
      </c>
      <c r="H22" s="18" t="n">
        <v>459.6</v>
      </c>
      <c r="I22" s="18" t="n">
        <v>476.1</v>
      </c>
      <c r="J22" s="18" t="n">
        <v>486.7</v>
      </c>
      <c r="K22" s="18" t="n">
        <v>488.6</v>
      </c>
      <c r="L22" s="18" t="n">
        <v>499</v>
      </c>
      <c r="M22" s="18" t="n">
        <v>507.7</v>
      </c>
      <c r="N22" s="18" t="n">
        <v>519</v>
      </c>
      <c r="O22" s="18" t="n">
        <v>512.5</v>
      </c>
      <c r="P22" s="18" t="n">
        <v>536</v>
      </c>
      <c r="Q22" s="18" t="n">
        <v>652.3</v>
      </c>
      <c r="R22" s="19">
        <f>'Assumptions'!$R$11</f>
        <v/>
      </c>
      <c r="S22" s="19">
        <f>'Assumptions'!$S$11</f>
        <v/>
      </c>
      <c r="T22" s="19">
        <f>'Assumptions'!$T$11</f>
        <v/>
      </c>
      <c r="U22" s="19">
        <f>'Assumptions'!$U$11</f>
        <v/>
      </c>
      <c r="V22" s="19">
        <f>'Assumptions'!$V$11</f>
        <v/>
      </c>
      <c r="W22" s="19">
        <f>'Assumptions'!$W$11</f>
        <v/>
      </c>
      <c r="X22" s="19">
        <f>'Assumptions'!$X$11</f>
        <v/>
      </c>
      <c r="Y22" s="19">
        <f>'Assumptions'!$Y$11</f>
        <v/>
      </c>
    </row>
    <row r="23" ht="14" customHeight="1">
      <c r="A23" s="17" t="inlineStr">
        <is>
          <t>Sales, General &amp; Administrative</t>
        </is>
      </c>
      <c r="B23" s="18" t="n">
        <v>211.7</v>
      </c>
      <c r="C23" s="18" t="n">
        <v>207.8</v>
      </c>
      <c r="D23" s="18" t="n">
        <v>203.4</v>
      </c>
      <c r="E23" s="18" t="n">
        <v>199</v>
      </c>
      <c r="F23" s="18" t="n">
        <v>210</v>
      </c>
      <c r="G23" s="18" t="n">
        <v>213</v>
      </c>
      <c r="H23" s="18" t="n">
        <v>212</v>
      </c>
      <c r="I23" s="18" t="n">
        <v>199.9</v>
      </c>
      <c r="J23" s="18" t="n">
        <v>197.3</v>
      </c>
      <c r="K23" s="18" t="n">
        <v>205.3</v>
      </c>
      <c r="L23" s="18" t="n">
        <v>195.7</v>
      </c>
      <c r="M23" s="18" t="n">
        <v>186.4</v>
      </c>
      <c r="N23" s="18" t="n">
        <v>192.8</v>
      </c>
      <c r="O23" s="18" t="n">
        <v>189.9</v>
      </c>
      <c r="P23" s="18" t="n">
        <v>198</v>
      </c>
      <c r="Q23" s="18" t="n">
        <v>258.4</v>
      </c>
      <c r="R23" s="19">
        <f>'Assumptions'!$R$13</f>
        <v/>
      </c>
      <c r="S23" s="19">
        <f>'Assumptions'!$S$13</f>
        <v/>
      </c>
      <c r="T23" s="19">
        <f>'Assumptions'!$T$13</f>
        <v/>
      </c>
      <c r="U23" s="19">
        <f>'Assumptions'!$U$13</f>
        <v/>
      </c>
      <c r="V23" s="19">
        <f>'Assumptions'!$V$13</f>
        <v/>
      </c>
      <c r="W23" s="19">
        <f>'Assumptions'!$W$13</f>
        <v/>
      </c>
      <c r="X23" s="19">
        <f>'Assumptions'!$X$13</f>
        <v/>
      </c>
      <c r="Y23" s="19">
        <f>'Assumptions'!$Y$13</f>
        <v/>
      </c>
    </row>
    <row r="24" ht="14" customHeight="1">
      <c r="A24" s="14" t="inlineStr">
        <is>
          <t>Total Operating Expenses</t>
        </is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6">
        <f>$R$22+$R$23</f>
        <v/>
      </c>
      <c r="S24" s="16">
        <f>$S$22+$S$23</f>
        <v/>
      </c>
      <c r="T24" s="16">
        <f>$T$22+$T$23</f>
        <v/>
      </c>
      <c r="U24" s="16">
        <f>$U$22+$U$23</f>
        <v/>
      </c>
      <c r="V24" s="16">
        <f>$V$22+$V$23</f>
        <v/>
      </c>
      <c r="W24" s="16">
        <f>$W$22+$W$23</f>
        <v/>
      </c>
      <c r="X24" s="16">
        <f>$X$22+$X$23</f>
        <v/>
      </c>
      <c r="Y24" s="16">
        <f>$Y$22+$Y$23</f>
        <v/>
      </c>
    </row>
    <row r="25" ht="14" customHeight="1">
      <c r="A25" s="14" t="inlineStr">
        <is>
          <t>Operating Income (EBIT)</t>
        </is>
      </c>
      <c r="B25" s="15" t="n">
        <v>39.1</v>
      </c>
      <c r="C25" s="15" t="n">
        <v>105.8</v>
      </c>
      <c r="D25" s="15" t="n">
        <v>23.3</v>
      </c>
      <c r="E25" s="15" t="n">
        <v>-182.4</v>
      </c>
      <c r="F25" s="15" t="n">
        <v>-205.7</v>
      </c>
      <c r="G25" s="15" t="n">
        <v>-146.3</v>
      </c>
      <c r="H25" s="15" t="n">
        <v>-33.3</v>
      </c>
      <c r="I25" s="15" t="n">
        <v>-152.3</v>
      </c>
      <c r="J25" s="15" t="n">
        <v>-100.4</v>
      </c>
      <c r="K25" s="15" t="n">
        <v>-702.8</v>
      </c>
      <c r="L25" s="15" t="n">
        <v>235.2</v>
      </c>
      <c r="M25" s="15" t="n">
        <v>270.6</v>
      </c>
      <c r="N25" s="15" t="n">
        <v>290.1</v>
      </c>
      <c r="O25" s="15" t="n">
        <v>357.8</v>
      </c>
      <c r="P25" s="15" t="n">
        <v>404.4</v>
      </c>
      <c r="Q25" s="15" t="n">
        <v>339.4</v>
      </c>
      <c r="R25" s="16">
        <f>$R$20-$R$24</f>
        <v/>
      </c>
      <c r="S25" s="16">
        <f>$S$20-$S$24</f>
        <v/>
      </c>
      <c r="T25" s="16">
        <f>$T$20-$T$24</f>
        <v/>
      </c>
      <c r="U25" s="16">
        <f>$U$20-$U$24</f>
        <v/>
      </c>
      <c r="V25" s="16">
        <f>$V$20-$V$24</f>
        <v/>
      </c>
      <c r="W25" s="16">
        <f>$W$20-$W$24</f>
        <v/>
      </c>
      <c r="X25" s="16">
        <f>$X$20-$X$24</f>
        <v/>
      </c>
      <c r="Y25" s="16">
        <f>$Y$20-$Y$24</f>
        <v/>
      </c>
    </row>
    <row r="26" ht="14" customHeight="1">
      <c r="A26" s="20" t="inlineStr">
        <is>
          <t>-- Operating Margin %</t>
        </is>
      </c>
      <c r="B26" s="21" t="n">
        <v>0.02577625420265014</v>
      </c>
      <c r="C26" s="21" t="n">
        <v>0.06882196058023808</v>
      </c>
      <c r="D26" s="21" t="n">
        <v>0.0164258019034191</v>
      </c>
      <c r="E26" s="21" t="n">
        <v>-0.1380040856472725</v>
      </c>
      <c r="F26" s="21" t="n">
        <v>-0.1534044298605414</v>
      </c>
      <c r="G26" s="21" t="n">
        <v>-0.103129846327365</v>
      </c>
      <c r="H26" s="21" t="n">
        <v>-0.02334384858044164</v>
      </c>
      <c r="I26" s="21" t="n">
        <v>-0.1311913170815746</v>
      </c>
      <c r="J26" s="21" t="n">
        <v>-0.07887500982009585</v>
      </c>
      <c r="K26" s="21" t="n">
        <v>-0.4635578128091815</v>
      </c>
      <c r="L26" s="21" t="n">
        <v>0.1294156487289534</v>
      </c>
      <c r="M26" s="21" t="n">
        <v>0.142774230992455</v>
      </c>
      <c r="N26" s="21" t="n">
        <v>0.1446089427246897</v>
      </c>
      <c r="O26" s="21" t="n">
        <v>0.1724752952518679</v>
      </c>
      <c r="P26" s="21" t="n">
        <v>0.1822688962004778</v>
      </c>
      <c r="Q26" s="21" t="n">
        <v>0.1403755480188601</v>
      </c>
      <c r="R26" s="22">
        <f>$R$25/$R$18</f>
        <v/>
      </c>
      <c r="S26" s="22">
        <f>$S$25/$S$18</f>
        <v/>
      </c>
      <c r="T26" s="22">
        <f>$T$25/$T$18</f>
        <v/>
      </c>
      <c r="U26" s="22">
        <f>$U$25/$U$18</f>
        <v/>
      </c>
      <c r="V26" s="22">
        <f>$V$25/$V$18</f>
        <v/>
      </c>
      <c r="W26" s="22">
        <f>$W$25/$W$18</f>
        <v/>
      </c>
      <c r="X26" s="22">
        <f>$X$25/$X$18</f>
        <v/>
      </c>
      <c r="Y26" s="22">
        <f>$Y$25/$Y$18</f>
        <v/>
      </c>
    </row>
    <row r="27" ht="14" customHeight="1">
      <c r="A27" s="17" t="inlineStr">
        <is>
          <t>Interest Income</t>
        </is>
      </c>
      <c r="B27" s="18" t="n">
        <v>0.8</v>
      </c>
      <c r="C27" s="18" t="n">
        <v>1.5</v>
      </c>
      <c r="D27" s="18" t="n">
        <v>2.5</v>
      </c>
      <c r="E27" s="18" t="n">
        <v>2.5</v>
      </c>
      <c r="F27" s="18" t="n">
        <v>1.6</v>
      </c>
      <c r="G27" s="18" t="n">
        <v>1.7</v>
      </c>
      <c r="H27" s="18" t="n">
        <v>3</v>
      </c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9">
        <f>'Assumptions'!$R$22</f>
        <v/>
      </c>
      <c r="S27" s="19">
        <f>'Assumptions'!$S$22</f>
        <v/>
      </c>
      <c r="T27" s="19">
        <f>'Assumptions'!$T$22</f>
        <v/>
      </c>
      <c r="U27" s="19">
        <f>'Assumptions'!$U$22</f>
        <v/>
      </c>
      <c r="V27" s="19">
        <f>'Assumptions'!$V$22</f>
        <v/>
      </c>
      <c r="W27" s="19">
        <f>'Assumptions'!$W$22</f>
        <v/>
      </c>
      <c r="X27" s="19">
        <f>'Assumptions'!$X$22</f>
        <v/>
      </c>
      <c r="Y27" s="19">
        <f>'Assumptions'!$Y$22</f>
        <v/>
      </c>
    </row>
    <row r="28" ht="14" customHeight="1">
      <c r="A28" s="17" t="inlineStr">
        <is>
          <t>Interest Expense</t>
        </is>
      </c>
      <c r="B28" s="18" t="n">
        <v>37.4</v>
      </c>
      <c r="C28" s="18" t="n">
        <v>42.4</v>
      </c>
      <c r="D28" s="18" t="n">
        <v>46.9</v>
      </c>
      <c r="E28" s="18" t="n">
        <v>50.5</v>
      </c>
      <c r="F28" s="18" t="n">
        <v>51.9</v>
      </c>
      <c r="G28" s="18" t="n">
        <v>49.6</v>
      </c>
      <c r="H28" s="18" t="n">
        <v>50.9</v>
      </c>
      <c r="I28" s="18" t="n">
        <v>46.8</v>
      </c>
      <c r="J28" s="18" t="n">
        <v>46.5</v>
      </c>
      <c r="K28" s="18" t="n">
        <v>45.6</v>
      </c>
      <c r="L28" s="18" t="n">
        <v>44.1</v>
      </c>
      <c r="M28" s="18" t="n">
        <v>44.8</v>
      </c>
      <c r="N28" s="18" t="n">
        <v>46.8</v>
      </c>
      <c r="O28" s="18" t="n">
        <v>47.9</v>
      </c>
      <c r="P28" s="18" t="n">
        <v>47.8</v>
      </c>
      <c r="Q28" s="18" t="n">
        <v>50</v>
      </c>
      <c r="R28" s="19">
        <f>'Assumptions'!$R$23</f>
        <v/>
      </c>
      <c r="S28" s="19">
        <f>'Assumptions'!$S$23</f>
        <v/>
      </c>
      <c r="T28" s="19">
        <f>'Assumptions'!$T$23</f>
        <v/>
      </c>
      <c r="U28" s="19">
        <f>'Assumptions'!$U$23</f>
        <v/>
      </c>
      <c r="V28" s="19">
        <f>'Assumptions'!$V$23</f>
        <v/>
      </c>
      <c r="W28" s="19">
        <f>'Assumptions'!$W$23</f>
        <v/>
      </c>
      <c r="X28" s="19">
        <f>'Assumptions'!$X$23</f>
        <v/>
      </c>
      <c r="Y28" s="19">
        <f>'Assumptions'!$Y$23</f>
        <v/>
      </c>
    </row>
    <row r="29" ht="14" customHeight="1">
      <c r="A29" s="17" t="inlineStr">
        <is>
          <t>Other Income (Expense), net</t>
        </is>
      </c>
      <c r="B29" s="18" t="n"/>
      <c r="C29" s="18" t="n"/>
      <c r="D29" s="18" t="n">
        <v>-152.9</v>
      </c>
      <c r="E29" s="18" t="n">
        <v>-49.9</v>
      </c>
      <c r="F29" s="18" t="n">
        <v>-45.9</v>
      </c>
      <c r="G29" s="18" t="n">
        <v>-41.2</v>
      </c>
      <c r="H29" s="18" t="n">
        <v>-54</v>
      </c>
      <c r="I29" s="18" t="n">
        <v>-45.5</v>
      </c>
      <c r="J29" s="18" t="n">
        <v>-45.8</v>
      </c>
      <c r="K29" s="18" t="n">
        <v>-47.7</v>
      </c>
      <c r="L29" s="18" t="n">
        <v>-35.4</v>
      </c>
      <c r="M29" s="18" t="n">
        <v>-54.7</v>
      </c>
      <c r="N29" s="18" t="n">
        <v>-56.4</v>
      </c>
      <c r="O29" s="18" t="n">
        <v>1857.6</v>
      </c>
      <c r="P29" s="18" t="n">
        <v>-22.8</v>
      </c>
      <c r="Q29" s="18" t="n">
        <v>-256.1</v>
      </c>
      <c r="R29" s="19">
        <f>0</f>
        <v/>
      </c>
      <c r="S29" s="19">
        <f>0</f>
        <v/>
      </c>
      <c r="T29" s="19">
        <f>0</f>
        <v/>
      </c>
      <c r="U29" s="19">
        <f>0</f>
        <v/>
      </c>
      <c r="V29" s="19">
        <f>0</f>
        <v/>
      </c>
      <c r="W29" s="19">
        <f>0</f>
        <v/>
      </c>
      <c r="X29" s="19">
        <f>0</f>
        <v/>
      </c>
      <c r="Y29" s="19">
        <f>0</f>
        <v/>
      </c>
    </row>
    <row r="30" ht="14" customHeight="1">
      <c r="A30" s="17" t="inlineStr">
        <is>
          <t>Pretax Income</t>
        </is>
      </c>
      <c r="B30" s="18" t="n">
        <v>3.8</v>
      </c>
      <c r="C30" s="18" t="n">
        <v>65.3</v>
      </c>
      <c r="D30" s="18" t="n">
        <v>-23.2</v>
      </c>
      <c r="E30" s="18" t="n">
        <v>-232.3</v>
      </c>
      <c r="F30" s="18" t="n">
        <v>-251.6</v>
      </c>
      <c r="G30" s="18" t="n">
        <v>-187.5</v>
      </c>
      <c r="H30" s="18" t="n">
        <v>-87.3</v>
      </c>
      <c r="I30" s="18" t="n">
        <v>-197.8</v>
      </c>
      <c r="J30" s="18" t="n">
        <v>-146.2</v>
      </c>
      <c r="K30" s="18" t="n">
        <v>-750.5</v>
      </c>
      <c r="L30" s="18" t="n">
        <v>199.8</v>
      </c>
      <c r="M30" s="18" t="n">
        <v>215.9</v>
      </c>
      <c r="N30" s="18" t="n">
        <v>233.7</v>
      </c>
      <c r="O30" s="18" t="n">
        <v>2215.4</v>
      </c>
      <c r="P30" s="18" t="n">
        <v>381.6</v>
      </c>
      <c r="Q30" s="18" t="n">
        <v>83.3</v>
      </c>
      <c r="R30" s="19">
        <f>$R$25+$R$27-$R$28+$R$29</f>
        <v/>
      </c>
      <c r="S30" s="19">
        <f>$S$25+$S$27-$S$28+$S$29</f>
        <v/>
      </c>
      <c r="T30" s="19">
        <f>$T$25+$T$27-$T$28+$T$29</f>
        <v/>
      </c>
      <c r="U30" s="19">
        <f>$U$25+$U$27-$U$28+$U$29</f>
        <v/>
      </c>
      <c r="V30" s="19">
        <f>$V$25+$V$27-$V$28+$V$29</f>
        <v/>
      </c>
      <c r="W30" s="19">
        <f>$W$25+$W$27-$W$28+$W$29</f>
        <v/>
      </c>
      <c r="X30" s="19">
        <f>$X$25+$X$27-$X$28+$X$29</f>
        <v/>
      </c>
      <c r="Y30" s="19">
        <f>$Y$25+$Y$27-$Y$28+$Y$29</f>
        <v/>
      </c>
    </row>
    <row r="31" ht="14" customHeight="1">
      <c r="A31" s="17" t="inlineStr">
        <is>
          <t>Income Tax Expense</t>
        </is>
      </c>
      <c r="B31" s="18" t="n">
        <v>-0.5</v>
      </c>
      <c r="C31" s="18" t="n">
        <v>52</v>
      </c>
      <c r="D31" s="18" t="n">
        <v>-7.8</v>
      </c>
      <c r="E31" s="18" t="n">
        <v>-63.4</v>
      </c>
      <c r="F31" s="18" t="n">
        <v>-44.1</v>
      </c>
      <c r="G31" s="18" t="n">
        <v>-23.2</v>
      </c>
      <c r="H31" s="18" t="n">
        <v>305.4</v>
      </c>
      <c r="I31" s="18" t="n">
        <v>17.8</v>
      </c>
      <c r="J31" s="18" t="n">
        <v>47.1</v>
      </c>
      <c r="K31" s="18" t="n">
        <v>-74.2</v>
      </c>
      <c r="L31" s="18" t="n">
        <v>-0.4</v>
      </c>
      <c r="M31" s="18" t="n">
        <v>38</v>
      </c>
      <c r="N31" s="18" t="n">
        <v>38.9</v>
      </c>
      <c r="O31" s="18" t="n">
        <v>314.1</v>
      </c>
      <c r="P31" s="18" t="n">
        <v>-14.5</v>
      </c>
      <c r="Q31" s="18" t="n">
        <v>48.8</v>
      </c>
      <c r="R31" s="19">
        <f>$R$30*'Assumptions'!$R$24</f>
        <v/>
      </c>
      <c r="S31" s="19">
        <f>$S$30*'Assumptions'!$S$24</f>
        <v/>
      </c>
      <c r="T31" s="19">
        <f>$T$30*'Assumptions'!$T$24</f>
        <v/>
      </c>
      <c r="U31" s="19">
        <f>$U$30*'Assumptions'!$U$24</f>
        <v/>
      </c>
      <c r="V31" s="19">
        <f>$V$30*'Assumptions'!$V$24</f>
        <v/>
      </c>
      <c r="W31" s="19">
        <f>$W$30*'Assumptions'!$W$24</f>
        <v/>
      </c>
      <c r="X31" s="19">
        <f>$X$30*'Assumptions'!$X$24</f>
        <v/>
      </c>
      <c r="Y31" s="19">
        <f>$Y$30*'Assumptions'!$Y$24</f>
        <v/>
      </c>
    </row>
    <row r="32" ht="14" customHeight="1">
      <c r="A32" s="20" t="inlineStr">
        <is>
          <t>-- Effective Tax Rate %</t>
        </is>
      </c>
      <c r="B32" s="21" t="n">
        <v>-0.131578947368421</v>
      </c>
      <c r="C32" s="21" t="n">
        <v>0.7963246554364471</v>
      </c>
      <c r="D32" s="21" t="n">
        <v>0.3362068965517241</v>
      </c>
      <c r="E32" s="21" t="n">
        <v>0.2729229444683599</v>
      </c>
      <c r="F32" s="21" t="n">
        <v>0.1752782193958665</v>
      </c>
      <c r="G32" s="21" t="n">
        <v>0.1237333333333333</v>
      </c>
      <c r="H32" s="21" t="n">
        <v>-3.498281786941581</v>
      </c>
      <c r="I32" s="21" t="n">
        <v>-0.08998988877654196</v>
      </c>
      <c r="J32" s="21" t="n">
        <v>-0.3221614227086184</v>
      </c>
      <c r="K32" s="21" t="n">
        <v>0.0988674217188541</v>
      </c>
      <c r="L32" s="21" t="n">
        <v>-0.002002002002002002</v>
      </c>
      <c r="M32" s="21" t="n">
        <v>0.1760074108383511</v>
      </c>
      <c r="N32" s="21" t="n">
        <v>0.1664527171587505</v>
      </c>
      <c r="O32" s="21" t="n">
        <v>0.1417802654148235</v>
      </c>
      <c r="P32" s="21" t="n">
        <v>-0.0379979035639413</v>
      </c>
      <c r="Q32" s="21" t="n">
        <v>0.5858343337334934</v>
      </c>
      <c r="R32" s="22">
        <f>'Assumptions'!$R$24</f>
        <v/>
      </c>
      <c r="S32" s="22">
        <f>'Assumptions'!$S$24</f>
        <v/>
      </c>
      <c r="T32" s="22">
        <f>'Assumptions'!$T$24</f>
        <v/>
      </c>
      <c r="U32" s="22">
        <f>'Assumptions'!$U$24</f>
        <v/>
      </c>
      <c r="V32" s="22">
        <f>'Assumptions'!$V$24</f>
        <v/>
      </c>
      <c r="W32" s="22">
        <f>'Assumptions'!$W$24</f>
        <v/>
      </c>
      <c r="X32" s="22">
        <f>'Assumptions'!$X$24</f>
        <v/>
      </c>
      <c r="Y32" s="22">
        <f>'Assumptions'!$Y$24</f>
        <v/>
      </c>
    </row>
    <row r="33" ht="14" customHeight="1">
      <c r="A33" s="14" t="inlineStr">
        <is>
          <t>Net Income</t>
        </is>
      </c>
      <c r="B33" s="15" t="n">
        <v>4.3</v>
      </c>
      <c r="C33" s="15" t="n">
        <v>13.3</v>
      </c>
      <c r="D33" s="15" t="n">
        <v>-15.4</v>
      </c>
      <c r="E33" s="15" t="n">
        <v>-168.9</v>
      </c>
      <c r="F33" s="15" t="n">
        <v>-207.5</v>
      </c>
      <c r="G33" s="15" t="n">
        <v>-164.3</v>
      </c>
      <c r="H33" s="15" t="n">
        <v>-392.7</v>
      </c>
      <c r="I33" s="15" t="n">
        <v>-215.6</v>
      </c>
      <c r="J33" s="15" t="n">
        <v>-193.3</v>
      </c>
      <c r="K33" s="15" t="n">
        <v>-676.3</v>
      </c>
      <c r="L33" s="15" t="n">
        <v>200.2</v>
      </c>
      <c r="M33" s="15" t="n">
        <v>177.9</v>
      </c>
      <c r="N33" s="15" t="n">
        <v>194.8</v>
      </c>
      <c r="O33" s="15" t="n">
        <v>1901.3</v>
      </c>
      <c r="P33" s="15" t="n">
        <v>396.1</v>
      </c>
      <c r="Q33" s="15" t="n">
        <v>34.5</v>
      </c>
      <c r="R33" s="16">
        <f>$R$30-$R$31</f>
        <v/>
      </c>
      <c r="S33" s="16">
        <f>$S$30-$S$31</f>
        <v/>
      </c>
      <c r="T33" s="16">
        <f>$T$30-$T$31</f>
        <v/>
      </c>
      <c r="U33" s="16">
        <f>$U$30-$U$31</f>
        <v/>
      </c>
      <c r="V33" s="16">
        <f>$V$30-$V$31</f>
        <v/>
      </c>
      <c r="W33" s="16">
        <f>$W$30-$W$31</f>
        <v/>
      </c>
      <c r="X33" s="16">
        <f>$X$30-$X$31</f>
        <v/>
      </c>
      <c r="Y33" s="16">
        <f>$Y$30-$Y$31</f>
        <v/>
      </c>
    </row>
    <row r="34" ht="14" customHeight="1">
      <c r="A34" s="17" t="inlineStr">
        <is>
          <t>EPS (Basic)</t>
        </is>
      </c>
      <c r="B34" s="23" t="n">
        <v>0.01</v>
      </c>
      <c r="C34" s="23" t="n">
        <v>0.02</v>
      </c>
      <c r="D34" s="23" t="n">
        <v>-0.018</v>
      </c>
      <c r="E34" s="23" t="n">
        <v>-0.2</v>
      </c>
      <c r="F34" s="23" t="n">
        <v>-0.24</v>
      </c>
      <c r="G34" s="23" t="n">
        <v>-0.19</v>
      </c>
      <c r="H34" s="23" t="n">
        <v>-0.454</v>
      </c>
      <c r="I34" s="23" t="n">
        <v>-0.25</v>
      </c>
      <c r="J34" s="23" t="n">
        <v>-0.22</v>
      </c>
      <c r="K34" s="23" t="n">
        <v>-0.78</v>
      </c>
      <c r="L34" s="23" t="n">
        <v>0.2313</v>
      </c>
      <c r="M34" s="23" t="n">
        <v>0.21</v>
      </c>
      <c r="N34" s="23" t="n">
        <v>0.23</v>
      </c>
      <c r="O34" s="23" t="n">
        <v>2.22</v>
      </c>
      <c r="P34" s="23" t="n">
        <v>0.4602</v>
      </c>
      <c r="Q34" s="23" t="n">
        <v>0.04</v>
      </c>
      <c r="R34" s="24" t="n"/>
      <c r="S34" s="24" t="n"/>
      <c r="T34" s="24" t="n"/>
      <c r="U34" s="24" t="n"/>
      <c r="V34" s="24" t="n"/>
      <c r="W34" s="24" t="n"/>
      <c r="X34" s="24" t="n"/>
      <c r="Y34" s="24" t="n"/>
    </row>
    <row r="35" ht="14" customHeight="1">
      <c r="A35" s="17" t="inlineStr">
        <is>
          <t>EPS (Diluted)</t>
        </is>
      </c>
      <c r="B35" s="23" t="n">
        <v>0.01</v>
      </c>
      <c r="C35" s="23" t="n">
        <v>0.02</v>
      </c>
      <c r="D35" s="23" t="n">
        <v>-0.0183</v>
      </c>
      <c r="E35" s="23" t="n">
        <v>-0.2</v>
      </c>
      <c r="F35" s="23" t="n">
        <v>-0.24</v>
      </c>
      <c r="G35" s="23" t="n">
        <v>-0.19</v>
      </c>
      <c r="H35" s="23" t="n">
        <v>-0.454</v>
      </c>
      <c r="I35" s="23" t="n">
        <v>-0.25</v>
      </c>
      <c r="J35" s="23" t="n">
        <v>-0.22</v>
      </c>
      <c r="K35" s="23" t="n">
        <v>-0.78</v>
      </c>
      <c r="L35" s="23" t="n">
        <v>0.2313</v>
      </c>
      <c r="M35" s="23" t="n">
        <v>0.2</v>
      </c>
      <c r="N35" s="23" t="n">
        <v>0.22</v>
      </c>
      <c r="O35" s="23" t="n">
        <v>2.2</v>
      </c>
      <c r="P35" s="23" t="n">
        <v>0.4558</v>
      </c>
      <c r="Q35" s="23" t="n">
        <v>0.04</v>
      </c>
      <c r="R35" s="24" t="n"/>
      <c r="S35" s="24" t="n"/>
      <c r="T35" s="24" t="n"/>
      <c r="U35" s="24" t="n"/>
      <c r="V35" s="24" t="n"/>
      <c r="W35" s="24" t="n"/>
      <c r="X35" s="24" t="n"/>
      <c r="Y35" s="24" t="n"/>
    </row>
    <row r="36" ht="14" customHeight="1">
      <c r="A36" s="17" t="inlineStr">
        <is>
          <t>Shares (Basic, mm)</t>
        </is>
      </c>
      <c r="B36" s="25" t="n">
        <v>850.9</v>
      </c>
      <c r="C36" s="25" t="n">
        <v>852.6</v>
      </c>
      <c r="D36" s="25" t="n">
        <v>854.1</v>
      </c>
      <c r="E36" s="25" t="n">
        <v>856.7</v>
      </c>
      <c r="F36" s="25" t="n">
        <v>860.9</v>
      </c>
      <c r="G36" s="25" t="n">
        <v>862.6</v>
      </c>
      <c r="H36" s="25" t="n">
        <v>865</v>
      </c>
      <c r="I36" s="25" t="n">
        <v>865</v>
      </c>
      <c r="J36" s="25" t="n">
        <v>865.7</v>
      </c>
      <c r="K36" s="25" t="n">
        <v>865.7</v>
      </c>
      <c r="L36" s="25" t="n">
        <v>865.6</v>
      </c>
      <c r="M36" s="25" t="n">
        <v>864.8</v>
      </c>
      <c r="N36" s="25" t="n">
        <v>862.6</v>
      </c>
      <c r="O36" s="25" t="n">
        <v>855.8</v>
      </c>
      <c r="P36" s="25" t="n">
        <v>860.8</v>
      </c>
      <c r="Q36" s="25" t="n">
        <v>882</v>
      </c>
      <c r="R36" s="26">
        <f>'Assumptions'!$R$28</f>
        <v/>
      </c>
      <c r="S36" s="26">
        <f>'Assumptions'!$S$28</f>
        <v/>
      </c>
      <c r="T36" s="26">
        <f>'Assumptions'!$T$28</f>
        <v/>
      </c>
      <c r="U36" s="26">
        <f>'Assumptions'!$U$28</f>
        <v/>
      </c>
      <c r="V36" s="26">
        <f>'Assumptions'!$V$28</f>
        <v/>
      </c>
      <c r="W36" s="26">
        <f>'Assumptions'!$W$28</f>
        <v/>
      </c>
      <c r="X36" s="26">
        <f>'Assumptions'!$X$28</f>
        <v/>
      </c>
      <c r="Y36" s="26">
        <f>'Assumptions'!$Y$28</f>
        <v/>
      </c>
    </row>
    <row r="37" ht="14" customHeight="1">
      <c r="A37" s="17" t="inlineStr">
        <is>
          <t>Shares (Diluted, mm)</t>
        </is>
      </c>
      <c r="B37" s="25" t="n">
        <v>857.9</v>
      </c>
      <c r="C37" s="25" t="n">
        <v>858.4</v>
      </c>
      <c r="D37" s="25" t="n">
        <v>841.3</v>
      </c>
      <c r="E37" s="25" t="n">
        <v>856.7</v>
      </c>
      <c r="F37" s="25" t="n">
        <v>860.9</v>
      </c>
      <c r="G37" s="25" t="n">
        <v>862.6</v>
      </c>
      <c r="H37" s="25" t="n">
        <v>865</v>
      </c>
      <c r="I37" s="25" t="n">
        <v>865</v>
      </c>
      <c r="J37" s="25" t="n">
        <v>865.7</v>
      </c>
      <c r="K37" s="25" t="n">
        <v>865.7</v>
      </c>
      <c r="L37" s="25" t="n">
        <v>865.6</v>
      </c>
      <c r="M37" s="25" t="n">
        <v>875.6</v>
      </c>
      <c r="N37" s="25" t="n">
        <v>870.4</v>
      </c>
      <c r="O37" s="25" t="n">
        <v>863.7</v>
      </c>
      <c r="P37" s="25" t="n">
        <v>869.1</v>
      </c>
      <c r="Q37" s="25" t="n">
        <v>893.3</v>
      </c>
      <c r="R37" s="26">
        <f>'Assumptions'!$R$26</f>
        <v/>
      </c>
      <c r="S37" s="26">
        <f>'Assumptions'!$S$26</f>
        <v/>
      </c>
      <c r="T37" s="26">
        <f>'Assumptions'!$T$26</f>
        <v/>
      </c>
      <c r="U37" s="26">
        <f>'Assumptions'!$U$26</f>
        <v/>
      </c>
      <c r="V37" s="26">
        <f>'Assumptions'!$V$26</f>
        <v/>
      </c>
      <c r="W37" s="26">
        <f>'Assumptions'!$W$26</f>
        <v/>
      </c>
      <c r="X37" s="26">
        <f>'Assumptions'!$X$26</f>
        <v/>
      </c>
      <c r="Y37" s="26">
        <f>'Assumptions'!$Y$26</f>
        <v/>
      </c>
    </row>
    <row r="38" ht="14" customHeight="1">
      <c r="A38" s="27" t="inlineStr">
        <is>
          <t>NON-GAAP KPIs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4" customHeight="1">
      <c r="A39" s="14" t="inlineStr">
        <is>
          <t>Clean EBIT</t>
        </is>
      </c>
      <c r="B39" s="15" t="n">
        <v>39.1</v>
      </c>
      <c r="C39" s="15" t="n">
        <v>105.8</v>
      </c>
      <c r="D39" s="15" t="n">
        <v>23.3</v>
      </c>
      <c r="E39" s="15" t="n">
        <v>-182.4</v>
      </c>
      <c r="F39" s="15" t="n">
        <v>-205.7</v>
      </c>
      <c r="G39" s="15" t="n">
        <v>-146.3</v>
      </c>
      <c r="H39" s="15" t="n">
        <v>-33.3</v>
      </c>
      <c r="I39" s="15" t="n">
        <v>-152.3</v>
      </c>
      <c r="J39" s="15" t="n">
        <v>-100.4</v>
      </c>
      <c r="K39" s="15" t="n">
        <v>-702.8</v>
      </c>
      <c r="L39" s="15" t="n">
        <v>235.2</v>
      </c>
      <c r="M39" s="15" t="n">
        <v>270.6</v>
      </c>
      <c r="N39" s="15" t="n">
        <v>290.1</v>
      </c>
      <c r="O39" s="15" t="n">
        <v>357.8</v>
      </c>
      <c r="P39" s="15" t="n">
        <v>404.4</v>
      </c>
      <c r="Q39" s="15" t="n">
        <v>339.4</v>
      </c>
      <c r="R39" s="16">
        <f>$R$25</f>
        <v/>
      </c>
      <c r="S39" s="16">
        <f>$S$25</f>
        <v/>
      </c>
      <c r="T39" s="16">
        <f>$T$25</f>
        <v/>
      </c>
      <c r="U39" s="16">
        <f>$U$25</f>
        <v/>
      </c>
      <c r="V39" s="16">
        <f>$V$25</f>
        <v/>
      </c>
      <c r="W39" s="16">
        <f>$W$25</f>
        <v/>
      </c>
      <c r="X39" s="16">
        <f>$X$25</f>
        <v/>
      </c>
      <c r="Y39" s="16">
        <f>$Y$25</f>
        <v/>
      </c>
    </row>
    <row r="40" ht="14" customHeight="1">
      <c r="A40" s="14" t="inlineStr">
        <is>
          <t>Clean EBITDA</t>
        </is>
      </c>
      <c r="B40" s="15" t="n">
        <v>387.8</v>
      </c>
      <c r="C40" s="15" t="n">
        <v>450.1</v>
      </c>
      <c r="D40" s="15" t="n">
        <v>374.4</v>
      </c>
      <c r="E40" s="15" t="n">
        <v>166</v>
      </c>
      <c r="F40" s="15" t="n">
        <v>141.6</v>
      </c>
      <c r="G40" s="15" t="n">
        <v>195.6</v>
      </c>
      <c r="H40" s="15" t="n">
        <v>326.8</v>
      </c>
      <c r="I40" s="15" t="n">
        <v>185.2</v>
      </c>
      <c r="J40" s="15" t="n">
        <v>251.6</v>
      </c>
      <c r="K40" s="15" t="n">
        <v>-361.3</v>
      </c>
      <c r="L40" s="15" t="n">
        <v>561.0999999999999</v>
      </c>
      <c r="M40" s="15" t="n">
        <v>600.5</v>
      </c>
      <c r="N40" s="15" t="n">
        <v>617.9000000000001</v>
      </c>
      <c r="O40" s="15" t="n">
        <v>673.7</v>
      </c>
      <c r="P40" s="15" t="n">
        <v>721.4</v>
      </c>
      <c r="Q40" s="15" t="n">
        <v>660</v>
      </c>
      <c r="R40" s="16" t="n"/>
      <c r="S40" s="16" t="n"/>
      <c r="T40" s="16" t="n"/>
      <c r="U40" s="16" t="n"/>
      <c r="V40" s="16" t="n"/>
      <c r="W40" s="16" t="n"/>
      <c r="X40" s="16" t="n"/>
      <c r="Y40" s="16" t="n"/>
    </row>
    <row r="41" ht="14" customHeight="1">
      <c r="A41" s="17" t="inlineStr">
        <is>
          <t>Depreciation &amp; Amortization</t>
        </is>
      </c>
      <c r="B41" s="18" t="n">
        <v>348.7</v>
      </c>
      <c r="C41" s="18" t="n">
        <v>344.3</v>
      </c>
      <c r="D41" s="18" t="n">
        <v>351.1</v>
      </c>
      <c r="E41" s="18" t="n">
        <v>348.4</v>
      </c>
      <c r="F41" s="18" t="n">
        <v>347.3</v>
      </c>
      <c r="G41" s="18" t="n">
        <v>341.9</v>
      </c>
      <c r="H41" s="18" t="n">
        <v>360.1</v>
      </c>
      <c r="I41" s="18" t="n">
        <v>337.5</v>
      </c>
      <c r="J41" s="18" t="n">
        <v>352</v>
      </c>
      <c r="K41" s="18" t="n">
        <v>341.5</v>
      </c>
      <c r="L41" s="18" t="n">
        <v>325.9</v>
      </c>
      <c r="M41" s="18" t="n">
        <v>329.9</v>
      </c>
      <c r="N41" s="18" t="n">
        <v>327.8</v>
      </c>
      <c r="O41" s="18" t="n">
        <v>315.9</v>
      </c>
      <c r="P41" s="18" t="n">
        <v>317</v>
      </c>
      <c r="Q41" s="18" t="n">
        <v>320.6</v>
      </c>
      <c r="R41" s="19">
        <f>'Assumptions'!$R$16</f>
        <v/>
      </c>
      <c r="S41" s="19">
        <f>'Assumptions'!$S$16</f>
        <v/>
      </c>
      <c r="T41" s="19">
        <f>'Assumptions'!$T$16</f>
        <v/>
      </c>
      <c r="U41" s="19">
        <f>'Assumptions'!$U$16</f>
        <v/>
      </c>
      <c r="V41" s="19">
        <f>'Assumptions'!$V$16</f>
        <v/>
      </c>
      <c r="W41" s="19">
        <f>'Assumptions'!$W$16</f>
        <v/>
      </c>
      <c r="X41" s="19">
        <f>'Assumptions'!$X$16</f>
        <v/>
      </c>
      <c r="Y41" s="19">
        <f>'Assumptions'!$Y$16</f>
        <v/>
      </c>
    </row>
    <row r="42" ht="14" customHeight="1">
      <c r="A42" s="14" t="inlineStr">
        <is>
          <t>Normalized Earnings</t>
        </is>
      </c>
      <c r="B42" s="15" t="n">
        <v>2.200000000000003</v>
      </c>
      <c r="C42" s="15" t="n">
        <v>11.4</v>
      </c>
      <c r="D42" s="15" t="n">
        <v>-15.8</v>
      </c>
      <c r="E42" s="15" t="n">
        <v>-169.5</v>
      </c>
      <c r="F42" s="15" t="n">
        <v>-213.5</v>
      </c>
      <c r="G42" s="15" t="n">
        <v>-172.7</v>
      </c>
      <c r="H42" s="15" t="n">
        <v>-389.6</v>
      </c>
      <c r="I42" s="15" t="n">
        <v>-216.9</v>
      </c>
      <c r="J42" s="15" t="n">
        <v>-194</v>
      </c>
      <c r="K42" s="15" t="n">
        <v>-674.1999999999999</v>
      </c>
      <c r="L42" s="15" t="n">
        <v>191.5</v>
      </c>
      <c r="M42" s="15" t="n">
        <v>187.8</v>
      </c>
      <c r="N42" s="15" t="n">
        <v>204.4</v>
      </c>
      <c r="O42" s="15" t="n">
        <v>-4.199999999999989</v>
      </c>
      <c r="P42" s="15" t="n">
        <v>371.1</v>
      </c>
      <c r="Q42" s="15" t="n">
        <v>240.6</v>
      </c>
      <c r="R42" s="16">
        <f>$R$39-$R$28-$R$31</f>
        <v/>
      </c>
      <c r="S42" s="16">
        <f>$S$39-$S$28-$S$31</f>
        <v/>
      </c>
      <c r="T42" s="16">
        <f>$T$39-$T$28-$T$31</f>
        <v/>
      </c>
      <c r="U42" s="16">
        <f>$U$39-$U$28-$U$31</f>
        <v/>
      </c>
      <c r="V42" s="16">
        <f>$V$39-$V$28-$V$31</f>
        <v/>
      </c>
      <c r="W42" s="16">
        <f>$W$39-$W$28-$W$31</f>
        <v/>
      </c>
      <c r="X42" s="16">
        <f>$X$39-$X$28-$X$31</f>
        <v/>
      </c>
      <c r="Y42" s="16">
        <f>$Y$39-$Y$28-$Y$31</f>
        <v/>
      </c>
    </row>
    <row r="43" ht="14" customHeight="1">
      <c r="A43" s="17" t="inlineStr">
        <is>
          <t>Clean EPS</t>
        </is>
      </c>
      <c r="B43" s="23" t="n">
        <v>0.002564401445389909</v>
      </c>
      <c r="C43" s="23" t="n">
        <v>0.01328052190121156</v>
      </c>
      <c r="D43" s="23" t="n">
        <v>-0.01878045881374064</v>
      </c>
      <c r="E43" s="23" t="n">
        <v>-0.1978522236488852</v>
      </c>
      <c r="F43" s="23" t="n">
        <v>-0.2479962829596933</v>
      </c>
      <c r="G43" s="23" t="n">
        <v>-0.2002086714583816</v>
      </c>
      <c r="H43" s="23" t="n">
        <v>-0.4504046242774566</v>
      </c>
      <c r="I43" s="23" t="n">
        <v>-0.2507514450867052</v>
      </c>
      <c r="J43" s="23" t="n">
        <v>-0.2240961071964884</v>
      </c>
      <c r="K43" s="23" t="n">
        <v>-0.7787917292364559</v>
      </c>
      <c r="L43" s="23" t="n">
        <v>0.2212338262476894</v>
      </c>
      <c r="M43" s="23" t="n">
        <v>0.2144814984010964</v>
      </c>
      <c r="N43" s="23" t="n">
        <v>0.2348345588235294</v>
      </c>
      <c r="O43" s="23" t="n">
        <v>-0.004862799583188594</v>
      </c>
      <c r="P43" s="23" t="n">
        <v>0.4269934414911977</v>
      </c>
      <c r="Q43" s="23" t="n">
        <v>0.2693384081495578</v>
      </c>
      <c r="R43" s="24">
        <f>$R$42/$R$37</f>
        <v/>
      </c>
      <c r="S43" s="24">
        <f>$S$42/$S$37</f>
        <v/>
      </c>
      <c r="T43" s="24">
        <f>$T$42/$T$37</f>
        <v/>
      </c>
      <c r="U43" s="24">
        <f>$U$42/$U$37</f>
        <v/>
      </c>
      <c r="V43" s="24">
        <f>$V$42/$V$37</f>
        <v/>
      </c>
      <c r="W43" s="24">
        <f>$W$42/$W$37</f>
        <v/>
      </c>
      <c r="X43" s="24">
        <f>$X$42/$X$37</f>
        <v/>
      </c>
      <c r="Y43" s="24">
        <f>$Y$42/$Y$37</f>
        <v/>
      </c>
    </row>
    <row r="45" ht="18" customHeight="1">
      <c r="A45" s="13" t="inlineStr">
        <is>
          <t>BALANCE SHEET</t>
        </is>
      </c>
    </row>
    <row r="46" ht="20" customHeight="1">
      <c r="A46" s="3" t="n"/>
      <c r="B46" s="4" t="inlineStr">
        <is>
          <t>Q2FY23</t>
        </is>
      </c>
      <c r="C46" s="4" t="inlineStr">
        <is>
          <t>Q3FY23</t>
        </is>
      </c>
      <c r="D46" s="4" t="inlineStr">
        <is>
          <t>Q4FY23</t>
        </is>
      </c>
      <c r="E46" s="4" t="inlineStr">
        <is>
          <t>Q1FY24</t>
        </is>
      </c>
      <c r="F46" s="4" t="inlineStr">
        <is>
          <t>Q2FY24</t>
        </is>
      </c>
      <c r="G46" s="4" t="inlineStr">
        <is>
          <t>Q3FY24</t>
        </is>
      </c>
      <c r="H46" s="4" t="inlineStr">
        <is>
          <t>Q4FY24</t>
        </is>
      </c>
      <c r="I46" s="4" t="inlineStr">
        <is>
          <t>Q1FY25</t>
        </is>
      </c>
      <c r="J46" s="4" t="inlineStr">
        <is>
          <t>Q2FY25</t>
        </is>
      </c>
      <c r="K46" s="4" t="inlineStr">
        <is>
          <t>Q3FY25</t>
        </is>
      </c>
      <c r="L46" s="4" t="inlineStr">
        <is>
          <t>Q4FY25</t>
        </is>
      </c>
      <c r="M46" s="4" t="inlineStr">
        <is>
          <t>Q1FY26</t>
        </is>
      </c>
      <c r="N46" s="4" t="inlineStr">
        <is>
          <t>Q2FY26</t>
        </is>
      </c>
      <c r="O46" s="4" t="inlineStr">
        <is>
          <t>Q3FY26</t>
        </is>
      </c>
      <c r="P46" s="4" t="inlineStr">
        <is>
          <t>Q4FY26</t>
        </is>
      </c>
      <c r="Q46" s="4" t="inlineStr">
        <is>
          <t>Q1FY27</t>
        </is>
      </c>
      <c r="R46" s="5" t="inlineStr">
        <is>
          <t>Q2FY27E</t>
        </is>
      </c>
      <c r="S46" s="5" t="inlineStr">
        <is>
          <t>Q3FY27E</t>
        </is>
      </c>
      <c r="T46" s="5" t="inlineStr">
        <is>
          <t>Q4FY27E</t>
        </is>
      </c>
      <c r="U46" s="5" t="inlineStr">
        <is>
          <t>Q1FY28E</t>
        </is>
      </c>
      <c r="V46" s="5" t="inlineStr">
        <is>
          <t>Q2FY28E</t>
        </is>
      </c>
      <c r="W46" s="5" t="inlineStr">
        <is>
          <t>Q3FY28E</t>
        </is>
      </c>
      <c r="X46" s="5" t="inlineStr">
        <is>
          <t>Q4FY28E</t>
        </is>
      </c>
      <c r="Y46" s="5" t="inlineStr">
        <is>
          <t>Q1FY29E</t>
        </is>
      </c>
    </row>
    <row r="47" ht="14" customHeight="1">
      <c r="A47" s="27" t="inlineStr">
        <is>
          <t>ASSETS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4" customHeight="1">
      <c r="A48" s="17" t="inlineStr">
        <is>
          <t>Cash &amp; Equivalents</t>
        </is>
      </c>
      <c r="B48" s="18" t="n">
        <v>617.1</v>
      </c>
      <c r="C48" s="18" t="n">
        <v>723.4</v>
      </c>
      <c r="D48" s="18" t="n">
        <v>911</v>
      </c>
      <c r="E48" s="18" t="n">
        <v>1028.3</v>
      </c>
      <c r="F48" s="18" t="n">
        <v>423.4</v>
      </c>
      <c r="G48" s="18" t="n">
        <v>725.6</v>
      </c>
      <c r="H48" s="18" t="n">
        <v>950.8</v>
      </c>
      <c r="I48" s="18" t="n">
        <v>847.7</v>
      </c>
      <c r="J48" s="18" t="n">
        <v>808.7</v>
      </c>
      <c r="K48" s="18" t="n">
        <v>868.1</v>
      </c>
      <c r="L48" s="18" t="n">
        <v>948.3</v>
      </c>
      <c r="M48" s="18" t="n">
        <v>885.9</v>
      </c>
      <c r="N48" s="18" t="n">
        <v>1224.4</v>
      </c>
      <c r="O48" s="18" t="n">
        <v>2714.5</v>
      </c>
      <c r="P48" s="18" t="n">
        <v>2638.8</v>
      </c>
      <c r="Q48" s="18" t="n">
        <v>3843.6</v>
      </c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14" customHeight="1">
      <c r="A49" s="17" t="inlineStr">
        <is>
          <t>Short-term Investments</t>
        </is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9">
        <f>$Q$49</f>
        <v/>
      </c>
      <c r="S49" s="19">
        <f>$R$49</f>
        <v/>
      </c>
      <c r="T49" s="19">
        <f>$S$49</f>
        <v/>
      </c>
      <c r="U49" s="19">
        <f>$T$49</f>
        <v/>
      </c>
      <c r="V49" s="19">
        <f>$U$49</f>
        <v/>
      </c>
      <c r="W49" s="19">
        <f>$V$49</f>
        <v/>
      </c>
      <c r="X49" s="19">
        <f>$W$49</f>
        <v/>
      </c>
      <c r="Y49" s="19">
        <f>$X$49</f>
        <v/>
      </c>
    </row>
    <row r="50" ht="14" customHeight="1">
      <c r="A50" s="17" t="inlineStr">
        <is>
          <t>Accounts Receivable, net</t>
        </is>
      </c>
      <c r="B50" s="18" t="n">
        <v>1291.3</v>
      </c>
      <c r="C50" s="18" t="n">
        <v>1390.7</v>
      </c>
      <c r="D50" s="18" t="n">
        <v>1192.2</v>
      </c>
      <c r="E50" s="18" t="n">
        <v>1000.9</v>
      </c>
      <c r="F50" s="18" t="n">
        <v>1209.2</v>
      </c>
      <c r="G50" s="18" t="n">
        <v>1214.6</v>
      </c>
      <c r="H50" s="18" t="n">
        <v>1121.6</v>
      </c>
      <c r="I50" s="18" t="n">
        <v>881.9</v>
      </c>
      <c r="J50" s="18" t="n">
        <v>1060.1</v>
      </c>
      <c r="K50" s="18" t="n">
        <v>997.9</v>
      </c>
      <c r="L50" s="18" t="n">
        <v>1028.4</v>
      </c>
      <c r="M50" s="18" t="n">
        <v>1144</v>
      </c>
      <c r="N50" s="18" t="n">
        <v>1451.7</v>
      </c>
      <c r="O50" s="18" t="n">
        <v>1546.3</v>
      </c>
      <c r="P50" s="18" t="n">
        <v>2186.6</v>
      </c>
      <c r="Q50" s="18" t="n">
        <v>1871.7</v>
      </c>
      <c r="R50" s="19">
        <f>$R$18/91*'Assumptions'!$R$30</f>
        <v/>
      </c>
      <c r="S50" s="19">
        <f>$S$18/91*'Assumptions'!$S$30</f>
        <v/>
      </c>
      <c r="T50" s="19">
        <f>$T$18/91*'Assumptions'!$T$30</f>
        <v/>
      </c>
      <c r="U50" s="19">
        <f>$U$18/91*'Assumptions'!$U$30</f>
        <v/>
      </c>
      <c r="V50" s="19">
        <f>$V$18/91*'Assumptions'!$V$30</f>
        <v/>
      </c>
      <c r="W50" s="19">
        <f>$W$18/91*'Assumptions'!$W$30</f>
        <v/>
      </c>
      <c r="X50" s="19">
        <f>$X$18/91*'Assumptions'!$X$30</f>
        <v/>
      </c>
      <c r="Y50" s="19">
        <f>$Y$18/91*'Assumptions'!$Y$30</f>
        <v/>
      </c>
    </row>
    <row r="51" ht="14" customHeight="1">
      <c r="A51" s="17" t="inlineStr">
        <is>
          <t>Inventories</t>
        </is>
      </c>
      <c r="B51" s="18" t="n">
        <v>913.1</v>
      </c>
      <c r="C51" s="18" t="n">
        <v>957.5</v>
      </c>
      <c r="D51" s="18" t="n">
        <v>1068.3</v>
      </c>
      <c r="E51" s="18" t="n">
        <v>1026</v>
      </c>
      <c r="F51" s="18" t="n">
        <v>1015.8</v>
      </c>
      <c r="G51" s="18" t="n">
        <v>941.5</v>
      </c>
      <c r="H51" s="18" t="n">
        <v>864.4</v>
      </c>
      <c r="I51" s="18" t="n">
        <v>826.4</v>
      </c>
      <c r="J51" s="18" t="n">
        <v>817.8</v>
      </c>
      <c r="K51" s="18" t="n">
        <v>859.4</v>
      </c>
      <c r="L51" s="18" t="n">
        <v>1029.7</v>
      </c>
      <c r="M51" s="18" t="n">
        <v>1071.4</v>
      </c>
      <c r="N51" s="18" t="n">
        <v>1051.6</v>
      </c>
      <c r="O51" s="18" t="n">
        <v>1014.5</v>
      </c>
      <c r="P51" s="18" t="n">
        <v>1388</v>
      </c>
      <c r="Q51" s="18" t="n">
        <v>1400.9</v>
      </c>
      <c r="R51" s="19">
        <f>$R$19/91*'Assumptions'!$R$31</f>
        <v/>
      </c>
      <c r="S51" s="19">
        <f>$S$19/91*'Assumptions'!$S$31</f>
        <v/>
      </c>
      <c r="T51" s="19">
        <f>$T$19/91*'Assumptions'!$T$31</f>
        <v/>
      </c>
      <c r="U51" s="19">
        <f>$U$19/91*'Assumptions'!$U$31</f>
        <v/>
      </c>
      <c r="V51" s="19">
        <f>$V$19/91*'Assumptions'!$V$31</f>
        <v/>
      </c>
      <c r="W51" s="19">
        <f>$W$19/91*'Assumptions'!$W$31</f>
        <v/>
      </c>
      <c r="X51" s="19">
        <f>$X$19/91*'Assumptions'!$X$31</f>
        <v/>
      </c>
      <c r="Y51" s="19">
        <f>$Y$19/91*'Assumptions'!$Y$31</f>
        <v/>
      </c>
    </row>
    <row r="52" ht="14" customHeight="1">
      <c r="A52" s="17" t="inlineStr">
        <is>
          <t>Prepaid Expenses &amp; Other Current Assets</t>
        </is>
      </c>
      <c r="B52" s="18" t="n">
        <v>93.5</v>
      </c>
      <c r="C52" s="18" t="n">
        <v>107.7</v>
      </c>
      <c r="D52" s="18" t="n">
        <v>109.6</v>
      </c>
      <c r="E52" s="18" t="n">
        <v>147.7</v>
      </c>
      <c r="F52" s="18" t="n">
        <v>118.8</v>
      </c>
      <c r="G52" s="18" t="n">
        <v>91.5</v>
      </c>
      <c r="H52" s="18" t="n">
        <v>125.9</v>
      </c>
      <c r="I52" s="18" t="n">
        <v>91.7</v>
      </c>
      <c r="J52" s="18" t="n">
        <v>77.3</v>
      </c>
      <c r="K52" s="18" t="n">
        <v>91.40000000000001</v>
      </c>
      <c r="L52" s="18" t="n">
        <v>113.9</v>
      </c>
      <c r="M52" s="18" t="n">
        <v>148.1</v>
      </c>
      <c r="N52" s="18" t="n">
        <v>189.7</v>
      </c>
      <c r="O52" s="18" t="n">
        <v>237.2</v>
      </c>
      <c r="P52" s="18" t="n">
        <v>247.2</v>
      </c>
      <c r="Q52" s="18" t="n">
        <v>347.8</v>
      </c>
      <c r="R52" s="19" t="n"/>
      <c r="S52" s="19" t="n"/>
      <c r="T52" s="19" t="n"/>
      <c r="U52" s="19" t="n"/>
      <c r="V52" s="19" t="n"/>
      <c r="W52" s="19" t="n"/>
      <c r="X52" s="19" t="n"/>
      <c r="Y52" s="19" t="n"/>
    </row>
    <row r="53" ht="14" customHeight="1">
      <c r="A53" s="14" t="inlineStr">
        <is>
          <t>Total Current Assets</t>
        </is>
      </c>
      <c r="B53" s="15" t="n">
        <v>2915</v>
      </c>
      <c r="C53" s="15" t="n">
        <v>3179.3</v>
      </c>
      <c r="D53" s="15" t="n">
        <v>3281.1</v>
      </c>
      <c r="E53" s="15" t="n">
        <v>3202.9</v>
      </c>
      <c r="F53" s="15" t="n">
        <v>2767.2</v>
      </c>
      <c r="G53" s="15" t="n">
        <v>2973.2</v>
      </c>
      <c r="H53" s="15" t="n">
        <v>3062.7</v>
      </c>
      <c r="I53" s="15" t="n">
        <v>2647.7</v>
      </c>
      <c r="J53" s="15" t="n">
        <v>2763.9</v>
      </c>
      <c r="K53" s="15" t="n">
        <v>2816.8</v>
      </c>
      <c r="L53" s="15" t="n">
        <v>3120.3</v>
      </c>
      <c r="M53" s="15" t="n">
        <v>3837.6</v>
      </c>
      <c r="N53" s="15" t="n">
        <v>4512.9</v>
      </c>
      <c r="O53" s="15" t="n">
        <v>5512.5</v>
      </c>
      <c r="P53" s="15" t="n">
        <v>6460.6</v>
      </c>
      <c r="Q53" s="15" t="n">
        <v>7464</v>
      </c>
      <c r="R53" s="16">
        <f>SUM($R$48,$R$49,$R$50,$R$51,$R$52)</f>
        <v/>
      </c>
      <c r="S53" s="16">
        <f>SUM($S$48,$S$49,$S$50,$S$51,$S$52)</f>
        <v/>
      </c>
      <c r="T53" s="16">
        <f>SUM($T$48,$T$49,$T$50,$T$51,$T$52)</f>
        <v/>
      </c>
      <c r="U53" s="16">
        <f>SUM($U$48,$U$49,$U$50,$U$51,$U$52)</f>
        <v/>
      </c>
      <c r="V53" s="16">
        <f>SUM($V$48,$V$49,$V$50,$V$51,$V$52)</f>
        <v/>
      </c>
      <c r="W53" s="16">
        <f>SUM($W$48,$W$49,$W$50,$W$51,$W$52)</f>
        <v/>
      </c>
      <c r="X53" s="16">
        <f>SUM($X$48,$X$49,$X$50,$X$51,$X$52)</f>
        <v/>
      </c>
      <c r="Y53" s="16">
        <f>SUM($Y$48,$Y$49,$Y$50,$Y$51,$Y$52)</f>
        <v/>
      </c>
    </row>
    <row r="54" ht="14" customHeight="1">
      <c r="A54" s="17" t="inlineStr">
        <is>
          <t>PP&amp;E, net</t>
        </is>
      </c>
      <c r="B54" s="18" t="n">
        <v>508.2</v>
      </c>
      <c r="C54" s="18" t="n">
        <v>521.5</v>
      </c>
      <c r="D54" s="18" t="n">
        <v>577.4</v>
      </c>
      <c r="E54" s="18" t="n">
        <v>636.2</v>
      </c>
      <c r="F54" s="18" t="n">
        <v>693.8</v>
      </c>
      <c r="G54" s="18" t="n">
        <v>701.6</v>
      </c>
      <c r="H54" s="18" t="n">
        <v>756</v>
      </c>
      <c r="I54" s="18" t="n">
        <v>758</v>
      </c>
      <c r="J54" s="18" t="n">
        <v>781.5</v>
      </c>
      <c r="K54" s="18" t="n">
        <v>781.9</v>
      </c>
      <c r="L54" s="18" t="n">
        <v>790.5</v>
      </c>
      <c r="M54" s="18" t="n">
        <v>774.7</v>
      </c>
      <c r="N54" s="18" t="n">
        <v>794.5</v>
      </c>
      <c r="O54" s="18" t="n">
        <v>854.8</v>
      </c>
      <c r="P54" s="18" t="n">
        <v>935</v>
      </c>
      <c r="Q54" s="18" t="n">
        <v>972.5</v>
      </c>
      <c r="R54" s="19">
        <f>$Q$54+'Assumptions'!$R$17-'Assumptions'!$R$16</f>
        <v/>
      </c>
      <c r="S54" s="19">
        <f>$R$54+'Assumptions'!$S$17-'Assumptions'!$S$16</f>
        <v/>
      </c>
      <c r="T54" s="19">
        <f>$S$54+'Assumptions'!$T$17-'Assumptions'!$T$16</f>
        <v/>
      </c>
      <c r="U54" s="19">
        <f>$T$54+'Assumptions'!$U$17-'Assumptions'!$U$16</f>
        <v/>
      </c>
      <c r="V54" s="19">
        <f>$U$54+'Assumptions'!$V$17-'Assumptions'!$V$16</f>
        <v/>
      </c>
      <c r="W54" s="19">
        <f>$V$54+'Assumptions'!$W$17-'Assumptions'!$W$16</f>
        <v/>
      </c>
      <c r="X54" s="19">
        <f>$W$54+'Assumptions'!$X$17-'Assumptions'!$X$16</f>
        <v/>
      </c>
      <c r="Y54" s="19">
        <f>$X$54+'Assumptions'!$Y$17-'Assumptions'!$Y$16</f>
        <v/>
      </c>
    </row>
    <row r="55" ht="14" customHeight="1">
      <c r="A55" s="17" t="inlineStr">
        <is>
          <t>Goodwill</t>
        </is>
      </c>
      <c r="B55" s="18" t="n">
        <v>11579</v>
      </c>
      <c r="C55" s="18" t="n">
        <v>11579</v>
      </c>
      <c r="D55" s="18" t="n">
        <v>11586.9</v>
      </c>
      <c r="E55" s="18" t="n">
        <v>11586.9</v>
      </c>
      <c r="F55" s="18" t="n">
        <v>11586.9</v>
      </c>
      <c r="G55" s="18" t="n">
        <v>11586.9</v>
      </c>
      <c r="H55" s="18" t="n">
        <v>11586.9</v>
      </c>
      <c r="I55" s="18" t="n">
        <v>11586.9</v>
      </c>
      <c r="J55" s="18" t="n">
        <v>11586.9</v>
      </c>
      <c r="K55" s="18" t="n">
        <v>11586.9</v>
      </c>
      <c r="L55" s="18" t="n">
        <v>11586.9</v>
      </c>
      <c r="M55" s="18" t="n">
        <v>11062.2</v>
      </c>
      <c r="N55" s="18" t="n">
        <v>11062.2</v>
      </c>
      <c r="O55" s="18" t="n">
        <v>11062.2</v>
      </c>
      <c r="P55" s="18" t="n">
        <v>11062.2</v>
      </c>
      <c r="Q55" s="18" t="n">
        <v>13883.5</v>
      </c>
      <c r="R55" s="19" t="n"/>
      <c r="S55" s="19" t="n"/>
      <c r="T55" s="19" t="n"/>
      <c r="U55" s="19" t="n"/>
      <c r="V55" s="19" t="n"/>
      <c r="W55" s="19" t="n"/>
      <c r="X55" s="19" t="n"/>
      <c r="Y55" s="19" t="n"/>
    </row>
    <row r="56" ht="14" customHeight="1">
      <c r="A56" s="17" t="inlineStr">
        <is>
          <t>Intangible Assets, net</t>
        </is>
      </c>
      <c r="B56" s="18" t="n">
        <v>5642.5</v>
      </c>
      <c r="C56" s="18" t="n">
        <v>5372.6</v>
      </c>
      <c r="D56" s="18" t="n">
        <v>5102</v>
      </c>
      <c r="E56" s="18" t="n">
        <v>4832</v>
      </c>
      <c r="F56" s="18" t="n">
        <v>4560.2</v>
      </c>
      <c r="G56" s="18" t="n">
        <v>4290.4</v>
      </c>
      <c r="H56" s="18" t="n">
        <v>4004.1</v>
      </c>
      <c r="I56" s="18" t="n">
        <v>3739.2</v>
      </c>
      <c r="J56" s="18" t="n">
        <v>3463.4</v>
      </c>
      <c r="K56" s="18" t="n">
        <v>2957.7</v>
      </c>
      <c r="L56" s="18" t="n">
        <v>2710.6</v>
      </c>
      <c r="M56" s="18" t="n">
        <v>2450.9</v>
      </c>
      <c r="N56" s="18" t="n">
        <v>2207.2</v>
      </c>
      <c r="O56" s="18" t="n">
        <v>1978.3</v>
      </c>
      <c r="P56" s="18" t="n">
        <v>1754.7</v>
      </c>
      <c r="Q56" s="18" t="n">
        <v>2561.5</v>
      </c>
      <c r="R56" s="19" t="n"/>
      <c r="S56" s="19" t="n"/>
      <c r="T56" s="19" t="n"/>
      <c r="U56" s="19" t="n"/>
      <c r="V56" s="19" t="n"/>
      <c r="W56" s="19" t="n"/>
      <c r="X56" s="19" t="n"/>
      <c r="Y56" s="19" t="n"/>
    </row>
    <row r="57" ht="14" customHeight="1">
      <c r="A57" s="17" t="inlineStr">
        <is>
          <t>Other Long-term Assets</t>
        </is>
      </c>
      <c r="B57" s="18" t="n">
        <v>1206.9</v>
      </c>
      <c r="C57" s="18" t="n">
        <v>1417.9</v>
      </c>
      <c r="D57" s="18" t="n">
        <v>1508.8</v>
      </c>
      <c r="E57" s="18" t="n">
        <v>1407</v>
      </c>
      <c r="F57" s="18" t="n">
        <v>1441.1</v>
      </c>
      <c r="G57" s="18" t="n">
        <v>1402.8</v>
      </c>
      <c r="H57" s="18" t="n">
        <v>1506.9</v>
      </c>
      <c r="I57" s="18" t="n">
        <v>1432.2</v>
      </c>
      <c r="J57" s="18" t="n">
        <v>1350.2</v>
      </c>
      <c r="K57" s="18" t="n">
        <v>1165.8</v>
      </c>
      <c r="L57" s="18" t="n">
        <v>1595</v>
      </c>
      <c r="M57" s="18" t="n">
        <v>1492.4</v>
      </c>
      <c r="N57" s="18" t="n">
        <v>1599.6</v>
      </c>
      <c r="O57" s="18" t="n">
        <v>1767.7</v>
      </c>
      <c r="P57" s="18" t="n">
        <v>1726.9</v>
      </c>
      <c r="Q57" s="18" t="n">
        <v>1743.2</v>
      </c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58" ht="14" customHeight="1">
      <c r="A58" s="14" t="inlineStr">
        <is>
          <t>Total Assets</t>
        </is>
      </c>
      <c r="B58" s="15" t="n">
        <v>22162.1</v>
      </c>
      <c r="C58" s="15" t="n">
        <v>22522.1</v>
      </c>
      <c r="D58" s="15" t="n">
        <v>22522.1</v>
      </c>
      <c r="E58" s="15" t="n">
        <v>22273.2</v>
      </c>
      <c r="F58" s="15" t="n">
        <v>21750.1</v>
      </c>
      <c r="G58" s="15" t="n">
        <v>21714.4</v>
      </c>
      <c r="H58" s="15" t="n">
        <v>21228.5</v>
      </c>
      <c r="I58" s="15" t="n">
        <v>20491</v>
      </c>
      <c r="J58" s="15" t="n">
        <v>20293.4</v>
      </c>
      <c r="K58" s="15" t="n">
        <v>19715.6</v>
      </c>
      <c r="L58" s="15" t="n">
        <v>20204.5</v>
      </c>
      <c r="M58" s="15" t="n">
        <v>20023.7</v>
      </c>
      <c r="N58" s="15" t="n">
        <v>20586.3</v>
      </c>
      <c r="O58" s="15" t="n">
        <v>21579</v>
      </c>
      <c r="P58" s="15" t="n">
        <v>22285.3</v>
      </c>
      <c r="Q58" s="15" t="n">
        <v>26944.5</v>
      </c>
      <c r="R58" s="16">
        <f>SUM($R$53,$R$54,$R$55,$R$56,$R$57)</f>
        <v/>
      </c>
      <c r="S58" s="16">
        <f>SUM($S$53,$S$54,$S$55,$S$56,$S$57)</f>
        <v/>
      </c>
      <c r="T58" s="16">
        <f>SUM($T$53,$T$54,$T$55,$T$56,$T$57)</f>
        <v/>
      </c>
      <c r="U58" s="16">
        <f>SUM($U$53,$U$54,$U$55,$U$56,$U$57)</f>
        <v/>
      </c>
      <c r="V58" s="16">
        <f>SUM($V$53,$V$54,$V$55,$V$56,$V$57)</f>
        <v/>
      </c>
      <c r="W58" s="16">
        <f>SUM($W$53,$W$54,$W$55,$W$56,$W$57)</f>
        <v/>
      </c>
      <c r="X58" s="16">
        <f>SUM($X$53,$X$54,$X$55,$X$56,$X$57)</f>
        <v/>
      </c>
      <c r="Y58" s="16">
        <f>SUM($Y$53,$Y$54,$Y$55,$Y$56,$Y$57)</f>
        <v/>
      </c>
    </row>
    <row r="59" ht="14" customHeight="1">
      <c r="A59" s="27" t="inlineStr">
        <is>
          <t>LIABILITIES</t>
        </is>
      </c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4" customHeight="1">
      <c r="A60" s="17" t="inlineStr">
        <is>
          <t>Accounts Payable</t>
        </is>
      </c>
      <c r="B60" s="18" t="n">
        <v>490.3</v>
      </c>
      <c r="C60" s="18" t="n">
        <v>476.2</v>
      </c>
      <c r="D60" s="18" t="n">
        <v>465.8</v>
      </c>
      <c r="E60" s="18" t="n">
        <v>388.4</v>
      </c>
      <c r="F60" s="18" t="n">
        <v>412.8</v>
      </c>
      <c r="G60" s="18" t="n">
        <v>419.1</v>
      </c>
      <c r="H60" s="18" t="n">
        <v>411.3</v>
      </c>
      <c r="I60" s="18" t="n">
        <v>320.9</v>
      </c>
      <c r="J60" s="18" t="n">
        <v>453.4</v>
      </c>
      <c r="K60" s="18" t="n">
        <v>538.1</v>
      </c>
      <c r="L60" s="18" t="n">
        <v>622.2</v>
      </c>
      <c r="M60" s="18" t="n">
        <v>562.7</v>
      </c>
      <c r="N60" s="18" t="n">
        <v>610.7</v>
      </c>
      <c r="O60" s="18" t="n">
        <v>633.7</v>
      </c>
      <c r="P60" s="18" t="n">
        <v>1073.8</v>
      </c>
      <c r="Q60" s="18" t="n">
        <v>709.7</v>
      </c>
      <c r="R60" s="19">
        <f>$R$19/91*'Assumptions'!$R$32</f>
        <v/>
      </c>
      <c r="S60" s="19">
        <f>$S$19/91*'Assumptions'!$S$32</f>
        <v/>
      </c>
      <c r="T60" s="19">
        <f>$T$19/91*'Assumptions'!$T$32</f>
        <v/>
      </c>
      <c r="U60" s="19">
        <f>$U$19/91*'Assumptions'!$U$32</f>
        <v/>
      </c>
      <c r="V60" s="19">
        <f>$V$19/91*'Assumptions'!$V$32</f>
        <v/>
      </c>
      <c r="W60" s="19">
        <f>$W$19/91*'Assumptions'!$W$32</f>
        <v/>
      </c>
      <c r="X60" s="19">
        <f>$X$19/91*'Assumptions'!$X$32</f>
        <v/>
      </c>
      <c r="Y60" s="19">
        <f>$Y$19/91*'Assumptions'!$Y$32</f>
        <v/>
      </c>
    </row>
    <row r="61" ht="14" customHeight="1">
      <c r="A61" s="17" t="inlineStr">
        <is>
          <t>Accrued Liabilities</t>
        </is>
      </c>
      <c r="B61" s="18" t="n"/>
      <c r="C61" s="18" t="n"/>
      <c r="D61" s="18" t="n">
        <v>1092</v>
      </c>
      <c r="E61" s="18" t="n"/>
      <c r="F61" s="18" t="n"/>
      <c r="G61" s="18" t="n"/>
      <c r="H61" s="18" t="n">
        <v>1032.9</v>
      </c>
      <c r="I61" s="18" t="n">
        <v>861</v>
      </c>
      <c r="J61" s="18" t="n">
        <v>763.8</v>
      </c>
      <c r="K61" s="18" t="n">
        <v>825.2</v>
      </c>
      <c r="L61" s="18" t="n">
        <v>972.6</v>
      </c>
      <c r="M61" s="18" t="n">
        <v>939.8</v>
      </c>
      <c r="N61" s="18" t="n">
        <v>1078.5</v>
      </c>
      <c r="O61" s="18" t="n">
        <v>1351.1</v>
      </c>
      <c r="P61" s="18" t="n">
        <v>1337.1</v>
      </c>
      <c r="Q61" s="18" t="n">
        <v>1335.6</v>
      </c>
      <c r="R61" s="19" t="n"/>
      <c r="S61" s="19" t="n"/>
      <c r="T61" s="19" t="n"/>
      <c r="U61" s="19" t="n"/>
      <c r="V61" s="19" t="n"/>
      <c r="W61" s="19" t="n"/>
      <c r="X61" s="19" t="n"/>
      <c r="Y61" s="19" t="n"/>
    </row>
    <row r="62" ht="14" customHeight="1">
      <c r="A62" s="17" t="inlineStr">
        <is>
          <t>Short-term Debt</t>
        </is>
      </c>
      <c r="B62" s="18" t="n">
        <v>653.5</v>
      </c>
      <c r="C62" s="18" t="n">
        <v>584</v>
      </c>
      <c r="D62" s="18" t="n">
        <v>584.4</v>
      </c>
      <c r="E62" s="18" t="n">
        <v>1517.6</v>
      </c>
      <c r="F62" s="18" t="n">
        <v>1018.6</v>
      </c>
      <c r="G62" s="18" t="n">
        <v>96.3</v>
      </c>
      <c r="H62" s="18" t="n">
        <v>107.3</v>
      </c>
      <c r="I62" s="18" t="n">
        <v>118.3</v>
      </c>
      <c r="J62" s="18" t="n">
        <v>129.3</v>
      </c>
      <c r="K62" s="18" t="n">
        <v>129.4</v>
      </c>
      <c r="L62" s="18" t="n">
        <v>129.5</v>
      </c>
      <c r="M62" s="18" t="n">
        <v>1255.2</v>
      </c>
      <c r="N62" s="18" t="n">
        <v>499.3</v>
      </c>
      <c r="O62" s="18" t="n">
        <v>499.5</v>
      </c>
      <c r="P62" s="18" t="n">
        <v>499.8</v>
      </c>
      <c r="Q62" s="18" t="n">
        <v>0</v>
      </c>
      <c r="R62" s="19">
        <f>'Assumptions'!$R$34</f>
        <v/>
      </c>
      <c r="S62" s="19">
        <f>'Assumptions'!$S$34</f>
        <v/>
      </c>
      <c r="T62" s="19">
        <f>'Assumptions'!$T$34</f>
        <v/>
      </c>
      <c r="U62" s="19">
        <f>'Assumptions'!$U$34</f>
        <v/>
      </c>
      <c r="V62" s="19">
        <f>'Assumptions'!$V$34</f>
        <v/>
      </c>
      <c r="W62" s="19">
        <f>'Assumptions'!$W$34</f>
        <v/>
      </c>
      <c r="X62" s="19">
        <f>'Assumptions'!$X$34</f>
        <v/>
      </c>
      <c r="Y62" s="19">
        <f>'Assumptions'!$Y$34</f>
        <v/>
      </c>
    </row>
    <row r="63" ht="14" customHeight="1">
      <c r="A63" s="17" t="inlineStr">
        <is>
          <t>Current Portion of LT Debt</t>
        </is>
      </c>
      <c r="B63" s="18" t="n"/>
      <c r="C63" s="18" t="n"/>
      <c r="D63" s="18" t="n">
        <v>584.4</v>
      </c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>
        <v>499.8</v>
      </c>
      <c r="Q63" s="18" t="n">
        <v>0</v>
      </c>
      <c r="R63" s="19" t="n"/>
      <c r="S63" s="19" t="n"/>
      <c r="T63" s="19" t="n"/>
      <c r="U63" s="19" t="n"/>
      <c r="V63" s="19" t="n"/>
      <c r="W63" s="19" t="n"/>
      <c r="X63" s="19" t="n"/>
      <c r="Y63" s="19" t="n"/>
    </row>
    <row r="64" ht="14" customHeight="1">
      <c r="A64" s="17" t="inlineStr">
        <is>
          <t>Deferred Revenue (Current)</t>
        </is>
      </c>
      <c r="B64" s="18" t="n">
        <v>28.9</v>
      </c>
      <c r="C64" s="18" t="n">
        <v>47</v>
      </c>
      <c r="D64" s="18" t="n">
        <v>45.2</v>
      </c>
      <c r="E64" s="18" t="n">
        <v>44.4</v>
      </c>
      <c r="F64" s="18" t="n">
        <v>44.6</v>
      </c>
      <c r="G64" s="18" t="n">
        <v>56.9</v>
      </c>
      <c r="H64" s="18" t="n">
        <v>43.2</v>
      </c>
      <c r="I64" s="18" t="n">
        <v>33.9</v>
      </c>
      <c r="J64" s="18" t="n">
        <v>39.2</v>
      </c>
      <c r="K64" s="18" t="n">
        <v>34.5</v>
      </c>
      <c r="L64" s="18" t="n">
        <v>22.1</v>
      </c>
      <c r="M64" s="18" t="n">
        <v>31.8</v>
      </c>
      <c r="N64" s="18" t="n">
        <v>41.3</v>
      </c>
      <c r="O64" s="18" t="n">
        <v>32.2</v>
      </c>
      <c r="P64" s="18" t="n">
        <v>40.1</v>
      </c>
      <c r="Q64" s="18" t="n">
        <v>63.7</v>
      </c>
      <c r="R64" s="19" t="n"/>
      <c r="S64" s="19" t="n"/>
      <c r="T64" s="19" t="n"/>
      <c r="U64" s="19" t="n"/>
      <c r="V64" s="19" t="n"/>
      <c r="W64" s="19" t="n"/>
      <c r="X64" s="19" t="n"/>
      <c r="Y64" s="19" t="n"/>
    </row>
    <row r="65" ht="14" customHeight="1">
      <c r="A65" s="17" t="inlineStr">
        <is>
          <t>Other Current Liabilities</t>
        </is>
      </c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9" t="n"/>
      <c r="S65" s="19" t="n"/>
      <c r="T65" s="19" t="n"/>
      <c r="U65" s="19" t="n"/>
      <c r="V65" s="19" t="n"/>
      <c r="W65" s="19" t="n"/>
      <c r="X65" s="19" t="n"/>
      <c r="Y65" s="19" t="n"/>
    </row>
    <row r="66" ht="14" customHeight="1">
      <c r="A66" s="14" t="inlineStr">
        <is>
          <t>Total Current Liabilities</t>
        </is>
      </c>
      <c r="B66" s="15" t="n">
        <v>2155.8</v>
      </c>
      <c r="C66" s="15" t="n">
        <v>2420.2</v>
      </c>
      <c r="D66" s="15" t="n">
        <v>2386.7</v>
      </c>
      <c r="E66" s="15" t="n">
        <v>3061.4</v>
      </c>
      <c r="F66" s="15" t="n">
        <v>2685.2</v>
      </c>
      <c r="G66" s="15" t="n">
        <v>1879.6</v>
      </c>
      <c r="H66" s="15" t="n">
        <v>1814.2</v>
      </c>
      <c r="I66" s="15" t="n">
        <v>1467.7</v>
      </c>
      <c r="J66" s="15" t="n">
        <v>1546.5</v>
      </c>
      <c r="K66" s="15" t="n">
        <v>1763.6</v>
      </c>
      <c r="L66" s="15" t="n">
        <v>2026.8</v>
      </c>
      <c r="M66" s="15" t="n">
        <v>2941.4</v>
      </c>
      <c r="N66" s="15" t="n">
        <v>2399.3</v>
      </c>
      <c r="O66" s="15" t="n">
        <v>2736.7</v>
      </c>
      <c r="P66" s="15" t="n">
        <v>3220.5</v>
      </c>
      <c r="Q66" s="15" t="n">
        <v>2276.8</v>
      </c>
      <c r="R66" s="16">
        <f>SUM($R$60,$R$61,$R$62,$R$63,$R$64,$R$65)</f>
        <v/>
      </c>
      <c r="S66" s="16">
        <f>SUM($S$60,$S$61,$S$62,$S$63,$S$64,$S$65)</f>
        <v/>
      </c>
      <c r="T66" s="16">
        <f>SUM($T$60,$T$61,$T$62,$T$63,$T$64,$T$65)</f>
        <v/>
      </c>
      <c r="U66" s="16">
        <f>SUM($U$60,$U$61,$U$62,$U$63,$U$64,$U$65)</f>
        <v/>
      </c>
      <c r="V66" s="16">
        <f>SUM($V$60,$V$61,$V$62,$V$63,$V$64,$V$65)</f>
        <v/>
      </c>
      <c r="W66" s="16">
        <f>SUM($W$60,$W$61,$W$62,$W$63,$W$64,$W$65)</f>
        <v/>
      </c>
      <c r="X66" s="16">
        <f>SUM($X$60,$X$61,$X$62,$X$63,$X$64,$X$65)</f>
        <v/>
      </c>
      <c r="Y66" s="16">
        <f>SUM($Y$60,$Y$61,$Y$62,$Y$63,$Y$64,$Y$65)</f>
        <v/>
      </c>
    </row>
    <row r="67" ht="14" customHeight="1">
      <c r="A67" s="17" t="inlineStr">
        <is>
          <t>Long-term Debt</t>
        </is>
      </c>
      <c r="B67" s="18" t="n">
        <v>3947.4</v>
      </c>
      <c r="C67" s="18" t="n">
        <v>3927.6</v>
      </c>
      <c r="D67" s="18" t="n">
        <v>3907.7</v>
      </c>
      <c r="E67" s="18" t="n">
        <v>3154.9</v>
      </c>
      <c r="F67" s="18" t="n">
        <v>3134.5</v>
      </c>
      <c r="G67" s="18" t="n">
        <v>4089.6</v>
      </c>
      <c r="H67" s="18" t="n">
        <v>4058.6</v>
      </c>
      <c r="I67" s="18" t="n">
        <v>4027.6</v>
      </c>
      <c r="J67" s="18" t="n">
        <v>3996.5</v>
      </c>
      <c r="K67" s="18" t="n">
        <v>3965.5</v>
      </c>
      <c r="L67" s="18" t="n">
        <v>3934.3</v>
      </c>
      <c r="M67" s="18" t="n">
        <v>2977.4</v>
      </c>
      <c r="N67" s="18" t="n">
        <v>3967.9</v>
      </c>
      <c r="O67" s="18" t="n">
        <v>3969.4</v>
      </c>
      <c r="P67" s="18" t="n">
        <v>3970.8</v>
      </c>
      <c r="Q67" s="18" t="n">
        <v>4961.3</v>
      </c>
      <c r="R67" s="19">
        <f>'Assumptions'!$R$35</f>
        <v/>
      </c>
      <c r="S67" s="19">
        <f>'Assumptions'!$S$35</f>
        <v/>
      </c>
      <c r="T67" s="19">
        <f>'Assumptions'!$T$35</f>
        <v/>
      </c>
      <c r="U67" s="19">
        <f>'Assumptions'!$U$35</f>
        <v/>
      </c>
      <c r="V67" s="19">
        <f>'Assumptions'!$V$35</f>
        <v/>
      </c>
      <c r="W67" s="19">
        <f>'Assumptions'!$W$35</f>
        <v/>
      </c>
      <c r="X67" s="19">
        <f>'Assumptions'!$X$35</f>
        <v/>
      </c>
      <c r="Y67" s="19">
        <f>'Assumptions'!$Y$35</f>
        <v/>
      </c>
    </row>
    <row r="68" ht="14" customHeight="1">
      <c r="A68" s="17" t="inlineStr">
        <is>
          <t>Long-term Deferred Revenue</t>
        </is>
      </c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9" t="n"/>
      <c r="S68" s="19" t="n"/>
      <c r="T68" s="19" t="n"/>
      <c r="U68" s="19" t="n"/>
      <c r="V68" s="19" t="n"/>
      <c r="W68" s="19" t="n"/>
      <c r="X68" s="19" t="n"/>
      <c r="Y68" s="19" t="n"/>
    </row>
    <row r="69" ht="14" customHeight="1">
      <c r="A69" s="17" t="inlineStr">
        <is>
          <t>Other Long-term Liabilities</t>
        </is>
      </c>
      <c r="B69" s="18" t="n">
        <v>528.7</v>
      </c>
      <c r="C69" s="18" t="n">
        <v>615.3</v>
      </c>
      <c r="D69" s="18" t="n">
        <v>590.5</v>
      </c>
      <c r="E69" s="18" t="n">
        <v>563</v>
      </c>
      <c r="F69" s="18" t="n">
        <v>540.9</v>
      </c>
      <c r="G69" s="18" t="n">
        <v>511.8</v>
      </c>
      <c r="H69" s="18" t="n">
        <v>524.3</v>
      </c>
      <c r="I69" s="18" t="n">
        <v>517</v>
      </c>
      <c r="J69" s="18" t="n">
        <v>545.5</v>
      </c>
      <c r="K69" s="18" t="n">
        <v>613.6</v>
      </c>
      <c r="L69" s="18" t="n">
        <v>816.4</v>
      </c>
      <c r="M69" s="18" t="n">
        <v>792.2</v>
      </c>
      <c r="N69" s="18" t="n">
        <v>797.4</v>
      </c>
      <c r="O69" s="18" t="n">
        <v>816.3</v>
      </c>
      <c r="P69" s="18" t="n">
        <v>785.6</v>
      </c>
      <c r="Q69" s="18" t="n">
        <v>1490.6</v>
      </c>
      <c r="R69" s="19" t="n"/>
      <c r="S69" s="19" t="n"/>
      <c r="T69" s="19" t="n"/>
      <c r="U69" s="19" t="n"/>
      <c r="V69" s="19" t="n"/>
      <c r="W69" s="19" t="n"/>
      <c r="X69" s="19" t="n"/>
      <c r="Y69" s="19" t="n"/>
    </row>
    <row r="70" ht="14" customHeight="1">
      <c r="A70" s="14" t="inlineStr">
        <is>
          <t>Total Liabilities</t>
        </is>
      </c>
      <c r="B70" s="15" t="n">
        <v>6631.9</v>
      </c>
      <c r="C70" s="15" t="n">
        <v>6963.1</v>
      </c>
      <c r="D70" s="15" t="n">
        <v>6884.9</v>
      </c>
      <c r="E70" s="15" t="n">
        <v>6779.3</v>
      </c>
      <c r="F70" s="15" t="n">
        <v>6360.6</v>
      </c>
      <c r="G70" s="15" t="n">
        <v>6481</v>
      </c>
      <c r="H70" s="15" t="n">
        <v>6397.1</v>
      </c>
      <c r="I70" s="15" t="n">
        <v>6012.3</v>
      </c>
      <c r="J70" s="15" t="n">
        <v>6088.5</v>
      </c>
      <c r="K70" s="15" t="n">
        <v>6342.7</v>
      </c>
      <c r="L70" s="15" t="n">
        <v>6777.5</v>
      </c>
      <c r="M70" s="15" t="n">
        <v>6711</v>
      </c>
      <c r="N70" s="15" t="n">
        <v>7164.6</v>
      </c>
      <c r="O70" s="15" t="n">
        <v>7522.4</v>
      </c>
      <c r="P70" s="15" t="n">
        <v>7976.9</v>
      </c>
      <c r="Q70" s="15" t="n">
        <v>8728.700000000001</v>
      </c>
      <c r="R70" s="16">
        <f>SUM($R$66,$R$67,$R$68,$R$69)</f>
        <v/>
      </c>
      <c r="S70" s="16">
        <f>SUM($S$66,$S$67,$S$68,$S$69)</f>
        <v/>
      </c>
      <c r="T70" s="16">
        <f>SUM($T$66,$T$67,$T$68,$T$69)</f>
        <v/>
      </c>
      <c r="U70" s="16">
        <f>SUM($U$66,$U$67,$U$68,$U$69)</f>
        <v/>
      </c>
      <c r="V70" s="16">
        <f>SUM($V$66,$V$67,$V$68,$V$69)</f>
        <v/>
      </c>
      <c r="W70" s="16">
        <f>SUM($W$66,$W$67,$W$68,$W$69)</f>
        <v/>
      </c>
      <c r="X70" s="16">
        <f>SUM($X$66,$X$67,$X$68,$X$69)</f>
        <v/>
      </c>
      <c r="Y70" s="16">
        <f>SUM($Y$66,$Y$67,$Y$68,$Y$69)</f>
        <v/>
      </c>
    </row>
    <row r="71" ht="14" customHeight="1">
      <c r="A71" s="27" t="inlineStr">
        <is>
          <t>EQUITY</t>
        </is>
      </c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</row>
    <row r="72" ht="14" customHeight="1">
      <c r="A72" s="17" t="inlineStr">
        <is>
          <t>Additional Paid-in Capital</t>
        </is>
      </c>
      <c r="B72" s="18" t="n">
        <v>14300.5</v>
      </c>
      <c r="C72" s="18" t="n">
        <v>14367.9</v>
      </c>
      <c r="D72" s="18" t="n">
        <v>14512</v>
      </c>
      <c r="E72" s="18" t="n">
        <v>14589.9</v>
      </c>
      <c r="F72" s="18" t="n">
        <v>14744.8</v>
      </c>
      <c r="G72" s="18" t="n">
        <v>14805.2</v>
      </c>
      <c r="H72" s="18" t="n">
        <v>14845.3</v>
      </c>
      <c r="I72" s="18" t="n">
        <v>14760.7</v>
      </c>
      <c r="J72" s="18" t="n">
        <v>14732.9</v>
      </c>
      <c r="K72" s="18" t="n">
        <v>14629</v>
      </c>
      <c r="L72" s="18" t="n">
        <v>14534.1</v>
      </c>
      <c r="M72" s="18" t="n">
        <v>14294.2</v>
      </c>
      <c r="N72" s="18" t="n">
        <v>14259.4</v>
      </c>
      <c r="O72" s="18" t="n">
        <v>13044</v>
      </c>
      <c r="P72" s="18" t="n">
        <v>12950.9</v>
      </c>
      <c r="Q72" s="18" t="n">
        <v>16877.5</v>
      </c>
      <c r="R72" s="19" t="n"/>
      <c r="S72" s="19" t="n"/>
      <c r="T72" s="19" t="n"/>
      <c r="U72" s="19" t="n"/>
      <c r="V72" s="19" t="n"/>
      <c r="W72" s="19" t="n"/>
      <c r="X72" s="19" t="n"/>
      <c r="Y72" s="19" t="n"/>
    </row>
    <row r="73" ht="14" customHeight="1">
      <c r="A73" s="17" t="inlineStr">
        <is>
          <t>Retained Earnings (Accumulated Deficit)</t>
        </is>
      </c>
      <c r="B73" s="18" t="n">
        <v>1228</v>
      </c>
      <c r="C73" s="18" t="n">
        <v>1190.2</v>
      </c>
      <c r="D73" s="18" t="n">
        <v>1123.5</v>
      </c>
      <c r="E73" s="18" t="n">
        <v>903.2</v>
      </c>
      <c r="F73" s="18" t="n">
        <v>644</v>
      </c>
      <c r="G73" s="18" t="n">
        <v>427.9</v>
      </c>
      <c r="H73" s="18" t="n">
        <v>-16.7</v>
      </c>
      <c r="I73" s="18" t="n">
        <v>-284.1</v>
      </c>
      <c r="J73" s="18" t="n">
        <v>-529.3</v>
      </c>
      <c r="K73" s="18" t="n">
        <v>-1257.5</v>
      </c>
      <c r="L73" s="18" t="n">
        <v>-1109.2</v>
      </c>
      <c r="M73" s="18" t="n">
        <v>-983.1</v>
      </c>
      <c r="N73" s="18" t="n">
        <v>-840</v>
      </c>
      <c r="O73" s="18" t="n">
        <v>1010.5</v>
      </c>
      <c r="P73" s="18" t="n">
        <v>1355.8</v>
      </c>
      <c r="Q73" s="18" t="n">
        <v>1336.5</v>
      </c>
      <c r="R73" s="19" t="n"/>
      <c r="S73" s="19" t="n"/>
      <c r="T73" s="19" t="n"/>
      <c r="U73" s="19" t="n"/>
      <c r="V73" s="19" t="n"/>
      <c r="W73" s="19" t="n"/>
      <c r="X73" s="19" t="n"/>
      <c r="Y73" s="19" t="n"/>
    </row>
    <row r="74" ht="14" customHeight="1">
      <c r="A74" s="17" t="inlineStr">
        <is>
          <t>Accumulated OCI</t>
        </is>
      </c>
      <c r="B74" s="18" t="n"/>
      <c r="C74" s="18" t="n">
        <v>-0.8</v>
      </c>
      <c r="D74" s="18" t="n">
        <v>0</v>
      </c>
      <c r="E74" s="18" t="n">
        <v>-0.9</v>
      </c>
      <c r="F74" s="18" t="n">
        <v>-1</v>
      </c>
      <c r="G74" s="18" t="n">
        <v>-1.4</v>
      </c>
      <c r="H74" s="18" t="n">
        <v>1.1</v>
      </c>
      <c r="I74" s="18" t="n">
        <v>0.4</v>
      </c>
      <c r="J74" s="18" t="n">
        <v>-0.4</v>
      </c>
      <c r="K74" s="18" t="n">
        <v>-0.3</v>
      </c>
      <c r="L74" s="18" t="n">
        <v>0.4</v>
      </c>
      <c r="M74" s="18" t="n">
        <v>-0.1</v>
      </c>
      <c r="N74" s="18" t="n">
        <v>0.6</v>
      </c>
      <c r="O74" s="18" t="n">
        <v>0.4</v>
      </c>
      <c r="P74" s="18" t="n">
        <v>0</v>
      </c>
      <c r="Q74" s="18" t="n"/>
      <c r="R74" s="19" t="n"/>
      <c r="S74" s="19" t="n"/>
      <c r="T74" s="19" t="n"/>
      <c r="U74" s="19" t="n"/>
      <c r="V74" s="19" t="n"/>
      <c r="W74" s="19" t="n"/>
      <c r="X74" s="19" t="n"/>
      <c r="Y74" s="19" t="n"/>
    </row>
    <row r="75" ht="14" customHeight="1">
      <c r="A75" s="14" t="inlineStr">
        <is>
          <t>Total Stockholders' Equity</t>
        </is>
      </c>
      <c r="B75" s="15" t="n">
        <v>15530.2</v>
      </c>
      <c r="C75" s="15" t="n">
        <v>15559</v>
      </c>
      <c r="D75" s="15" t="n">
        <v>15637.2</v>
      </c>
      <c r="E75" s="15" t="n">
        <v>15493.9</v>
      </c>
      <c r="F75" s="15" t="n">
        <v>15389.5</v>
      </c>
      <c r="G75" s="15" t="n">
        <v>15233.4</v>
      </c>
      <c r="H75" s="15" t="n">
        <v>14831.4</v>
      </c>
      <c r="I75" s="15" t="n">
        <v>14478.7</v>
      </c>
      <c r="J75" s="15" t="n">
        <v>14204.9</v>
      </c>
      <c r="K75" s="15" t="n">
        <v>13372.9</v>
      </c>
      <c r="L75" s="15" t="n">
        <v>13427</v>
      </c>
      <c r="M75" s="15" t="n">
        <v>13312.7</v>
      </c>
      <c r="N75" s="15" t="n">
        <v>13421.7</v>
      </c>
      <c r="O75" s="15" t="n">
        <v>14056.6</v>
      </c>
      <c r="P75" s="15" t="n">
        <v>14308.4</v>
      </c>
      <c r="Q75" s="15" t="n">
        <v>18215.8</v>
      </c>
      <c r="R75" s="16">
        <f>$R$58-$R$70</f>
        <v/>
      </c>
      <c r="S75" s="16">
        <f>$S$58-$S$70</f>
        <v/>
      </c>
      <c r="T75" s="16">
        <f>$T$58-$T$70</f>
        <v/>
      </c>
      <c r="U75" s="16">
        <f>$U$58-$U$70</f>
        <v/>
      </c>
      <c r="V75" s="16">
        <f>$V$58-$V$70</f>
        <v/>
      </c>
      <c r="W75" s="16">
        <f>$W$58-$W$70</f>
        <v/>
      </c>
      <c r="X75" s="16">
        <f>$X$58-$X$70</f>
        <v/>
      </c>
      <c r="Y75" s="16">
        <f>$Y$58-$Y$70</f>
        <v/>
      </c>
    </row>
    <row r="76" ht="14" customHeight="1">
      <c r="A76" s="14" t="inlineStr">
        <is>
          <t>Total Liabilities &amp; Equity</t>
        </is>
      </c>
      <c r="B76" s="15" t="n">
        <v>22162.1</v>
      </c>
      <c r="C76" s="15" t="n">
        <v>22522.1</v>
      </c>
      <c r="D76" s="15" t="n">
        <v>22522.1</v>
      </c>
      <c r="E76" s="15" t="n">
        <v>22273.2</v>
      </c>
      <c r="F76" s="15" t="n">
        <v>21750.1</v>
      </c>
      <c r="G76" s="15" t="n">
        <v>21714.4</v>
      </c>
      <c r="H76" s="15" t="n">
        <v>21228.5</v>
      </c>
      <c r="I76" s="15" t="n">
        <v>20491</v>
      </c>
      <c r="J76" s="15" t="n">
        <v>20293.4</v>
      </c>
      <c r="K76" s="15" t="n">
        <v>19715.6</v>
      </c>
      <c r="L76" s="15" t="n">
        <v>20204.5</v>
      </c>
      <c r="M76" s="15" t="n">
        <v>20023.7</v>
      </c>
      <c r="N76" s="15" t="n">
        <v>20586.3</v>
      </c>
      <c r="O76" s="15" t="n">
        <v>21579</v>
      </c>
      <c r="P76" s="15" t="n">
        <v>22285.3</v>
      </c>
      <c r="Q76" s="15" t="n">
        <v>26944.5</v>
      </c>
      <c r="R76" s="16">
        <f>$R$58</f>
        <v/>
      </c>
      <c r="S76" s="16">
        <f>$S$58</f>
        <v/>
      </c>
      <c r="T76" s="16">
        <f>$T$58</f>
        <v/>
      </c>
      <c r="U76" s="16">
        <f>$U$58</f>
        <v/>
      </c>
      <c r="V76" s="16">
        <f>$V$58</f>
        <v/>
      </c>
      <c r="W76" s="16">
        <f>$W$58</f>
        <v/>
      </c>
      <c r="X76" s="16">
        <f>$X$58</f>
        <v/>
      </c>
      <c r="Y76" s="16">
        <f>$Y$58</f>
        <v/>
      </c>
    </row>
    <row r="77" ht="14" customHeight="1">
      <c r="A77" s="27" t="inlineStr">
        <is>
          <t>WORKING CAPITAL</t>
        </is>
      </c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</row>
    <row r="78" ht="14" customHeight="1">
      <c r="A78" s="17" t="inlineStr">
        <is>
          <t>Net Operating Working Capital</t>
        </is>
      </c>
      <c r="B78" s="18" t="n">
        <v>1778.7</v>
      </c>
      <c r="C78" s="18" t="n">
        <v>1932.7</v>
      </c>
      <c r="D78" s="18" t="n">
        <v>767.0999999999999</v>
      </c>
      <c r="E78" s="18" t="n">
        <v>1741.8</v>
      </c>
      <c r="F78" s="18" t="n">
        <v>1886.4</v>
      </c>
      <c r="G78" s="18" t="n">
        <v>1771.6</v>
      </c>
      <c r="H78" s="18" t="n">
        <v>624.5</v>
      </c>
      <c r="I78" s="18" t="n">
        <v>584.2</v>
      </c>
      <c r="J78" s="18" t="n">
        <v>698.8</v>
      </c>
      <c r="K78" s="18" t="n">
        <v>550.8999999999999</v>
      </c>
      <c r="L78" s="18" t="n">
        <v>555.0999999999999</v>
      </c>
      <c r="M78" s="18" t="n">
        <v>829.2</v>
      </c>
      <c r="N78" s="18" t="n">
        <v>962.5</v>
      </c>
      <c r="O78" s="18" t="n">
        <v>781</v>
      </c>
      <c r="P78" s="18" t="n">
        <v>1370.8</v>
      </c>
      <c r="Q78" s="18" t="n">
        <v>1511.4</v>
      </c>
      <c r="R78" s="19">
        <f>($R$50+$R$51+$R$52)-($R$60+$R$61+$R$64+$R$65)</f>
        <v/>
      </c>
      <c r="S78" s="19">
        <f>($S$50+$S$51+$S$52)-($S$60+$S$61+$S$64+$S$65)</f>
        <v/>
      </c>
      <c r="T78" s="19">
        <f>($T$50+$T$51+$T$52)-($T$60+$T$61+$T$64+$T$65)</f>
        <v/>
      </c>
      <c r="U78" s="19">
        <f>($U$50+$U$51+$U$52)-($U$60+$U$61+$U$64+$U$65)</f>
        <v/>
      </c>
      <c r="V78" s="19">
        <f>($V$50+$V$51+$V$52)-($V$60+$V$61+$V$64+$V$65)</f>
        <v/>
      </c>
      <c r="W78" s="19">
        <f>($W$50+$W$51+$W$52)-($W$60+$W$61+$W$64+$W$65)</f>
        <v/>
      </c>
      <c r="X78" s="19">
        <f>($X$50+$X$51+$X$52)-($X$60+$X$61+$X$64+$X$65)</f>
        <v/>
      </c>
      <c r="Y78" s="19">
        <f>($Y$50+$Y$51+$Y$52)-($Y$60+$Y$61+$Y$64+$Y$65)</f>
        <v/>
      </c>
    </row>
    <row r="79" ht="14" customHeight="1">
      <c r="A79" s="17" t="inlineStr">
        <is>
          <t>Change in NOWC</t>
        </is>
      </c>
      <c r="B79" s="18" t="n"/>
      <c r="C79" s="18" t="n">
        <v>154</v>
      </c>
      <c r="D79" s="18" t="n">
        <v>-1165.6</v>
      </c>
      <c r="E79" s="18" t="n">
        <v>974.7</v>
      </c>
      <c r="F79" s="18" t="n">
        <v>144.6000000000001</v>
      </c>
      <c r="G79" s="18" t="n">
        <v>-114.8000000000002</v>
      </c>
      <c r="H79" s="18" t="n">
        <v>-1147.1</v>
      </c>
      <c r="I79" s="18" t="n">
        <v>-40.29999999999995</v>
      </c>
      <c r="J79" s="18" t="n">
        <v>114.5999999999999</v>
      </c>
      <c r="K79" s="18" t="n">
        <v>-147.9000000000001</v>
      </c>
      <c r="L79" s="18" t="n">
        <v>4.200000000000045</v>
      </c>
      <c r="M79" s="18" t="n">
        <v>274.1000000000001</v>
      </c>
      <c r="N79" s="18" t="n">
        <v>133.3</v>
      </c>
      <c r="O79" s="18" t="n">
        <v>-181.5</v>
      </c>
      <c r="P79" s="18" t="n">
        <v>589.7999999999997</v>
      </c>
      <c r="Q79" s="18" t="n">
        <v>140.6000000000004</v>
      </c>
      <c r="R79" s="19">
        <f>$R$78-$Q$78</f>
        <v/>
      </c>
      <c r="S79" s="19">
        <f>$S$78-$R$78</f>
        <v/>
      </c>
      <c r="T79" s="19">
        <f>$T$78-$S$78</f>
        <v/>
      </c>
      <c r="U79" s="19">
        <f>$U$78-$T$78</f>
        <v/>
      </c>
      <c r="V79" s="19">
        <f>$V$78-$U$78</f>
        <v/>
      </c>
      <c r="W79" s="19">
        <f>$W$78-$V$78</f>
        <v/>
      </c>
      <c r="X79" s="19">
        <f>$X$78-$W$78</f>
        <v/>
      </c>
      <c r="Y79" s="19">
        <f>$Y$78-$X$78</f>
        <v/>
      </c>
    </row>
    <row r="81" ht="18" customHeight="1">
      <c r="A81" s="13" t="inlineStr">
        <is>
          <t>CASH FLOW STATEMENT</t>
        </is>
      </c>
    </row>
    <row r="82" ht="20" customHeight="1">
      <c r="A82" s="3" t="n"/>
      <c r="B82" s="4" t="inlineStr">
        <is>
          <t>Q2FY23</t>
        </is>
      </c>
      <c r="C82" s="4" t="inlineStr">
        <is>
          <t>Q3FY23</t>
        </is>
      </c>
      <c r="D82" s="4" t="inlineStr">
        <is>
          <t>Q4FY23</t>
        </is>
      </c>
      <c r="E82" s="4" t="inlineStr">
        <is>
          <t>Q1FY24</t>
        </is>
      </c>
      <c r="F82" s="4" t="inlineStr">
        <is>
          <t>Q2FY24</t>
        </is>
      </c>
      <c r="G82" s="4" t="inlineStr">
        <is>
          <t>Q3FY24</t>
        </is>
      </c>
      <c r="H82" s="4" t="inlineStr">
        <is>
          <t>Q4FY24</t>
        </is>
      </c>
      <c r="I82" s="4" t="inlineStr">
        <is>
          <t>Q1FY25</t>
        </is>
      </c>
      <c r="J82" s="4" t="inlineStr">
        <is>
          <t>Q2FY25</t>
        </is>
      </c>
      <c r="K82" s="4" t="inlineStr">
        <is>
          <t>Q3FY25</t>
        </is>
      </c>
      <c r="L82" s="4" t="inlineStr">
        <is>
          <t>Q4FY25</t>
        </is>
      </c>
      <c r="M82" s="4" t="inlineStr">
        <is>
          <t>Q1FY26</t>
        </is>
      </c>
      <c r="N82" s="4" t="inlineStr">
        <is>
          <t>Q2FY26</t>
        </is>
      </c>
      <c r="O82" s="4" t="inlineStr">
        <is>
          <t>Q3FY26</t>
        </is>
      </c>
      <c r="P82" s="4" t="inlineStr">
        <is>
          <t>Q4FY26</t>
        </is>
      </c>
      <c r="Q82" s="4" t="inlineStr">
        <is>
          <t>Q1FY27</t>
        </is>
      </c>
      <c r="R82" s="5" t="inlineStr">
        <is>
          <t>Q2FY27E</t>
        </is>
      </c>
      <c r="S82" s="5" t="inlineStr">
        <is>
          <t>Q3FY27E</t>
        </is>
      </c>
      <c r="T82" s="5" t="inlineStr">
        <is>
          <t>Q4FY27E</t>
        </is>
      </c>
      <c r="U82" s="5" t="inlineStr">
        <is>
          <t>Q1FY28E</t>
        </is>
      </c>
      <c r="V82" s="5" t="inlineStr">
        <is>
          <t>Q2FY28E</t>
        </is>
      </c>
      <c r="W82" s="5" t="inlineStr">
        <is>
          <t>Q3FY28E</t>
        </is>
      </c>
      <c r="X82" s="5" t="inlineStr">
        <is>
          <t>Q4FY28E</t>
        </is>
      </c>
      <c r="Y82" s="5" t="inlineStr">
        <is>
          <t>Q1FY29E</t>
        </is>
      </c>
    </row>
    <row r="83" ht="14" customHeight="1">
      <c r="A83" s="27" t="inlineStr">
        <is>
          <t>OPERATING ACTIVITIES</t>
        </is>
      </c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</row>
    <row r="84" ht="14" customHeight="1">
      <c r="A84" s="14" t="inlineStr">
        <is>
          <t>Net Income</t>
        </is>
      </c>
      <c r="B84" s="15" t="n">
        <v>4.3</v>
      </c>
      <c r="C84" s="15" t="n">
        <v>13.3</v>
      </c>
      <c r="D84" s="15" t="n">
        <v>-15.4</v>
      </c>
      <c r="E84" s="15" t="n">
        <v>-168.9</v>
      </c>
      <c r="F84" s="15" t="n">
        <v>-207.5</v>
      </c>
      <c r="G84" s="15" t="n">
        <v>-164.3</v>
      </c>
      <c r="H84" s="15" t="n">
        <v>-392.7</v>
      </c>
      <c r="I84" s="15" t="n">
        <v>-215.6</v>
      </c>
      <c r="J84" s="15" t="n">
        <v>-193.3</v>
      </c>
      <c r="K84" s="15" t="n">
        <v>-676.3</v>
      </c>
      <c r="L84" s="15" t="n">
        <v>200.2</v>
      </c>
      <c r="M84" s="15" t="n">
        <v>177.9</v>
      </c>
      <c r="N84" s="15" t="n">
        <v>194.8</v>
      </c>
      <c r="O84" s="15" t="n">
        <v>1901.3</v>
      </c>
      <c r="P84" s="15" t="n">
        <v>396.1</v>
      </c>
      <c r="Q84" s="15" t="n">
        <v>34.5</v>
      </c>
      <c r="R84" s="16">
        <f>$R$33</f>
        <v/>
      </c>
      <c r="S84" s="16">
        <f>$S$33</f>
        <v/>
      </c>
      <c r="T84" s="16">
        <f>$T$33</f>
        <v/>
      </c>
      <c r="U84" s="16">
        <f>$U$33</f>
        <v/>
      </c>
      <c r="V84" s="16">
        <f>$V$33</f>
        <v/>
      </c>
      <c r="W84" s="16">
        <f>$W$33</f>
        <v/>
      </c>
      <c r="X84" s="16">
        <f>$X$33</f>
        <v/>
      </c>
      <c r="Y84" s="16">
        <f>$Y$33</f>
        <v/>
      </c>
    </row>
    <row r="85" ht="14" customHeight="1">
      <c r="A85" s="17" t="inlineStr">
        <is>
          <t>Depreciation &amp; Amortization</t>
        </is>
      </c>
      <c r="B85" s="18" t="n">
        <v>348.7</v>
      </c>
      <c r="C85" s="18" t="n">
        <v>344.3</v>
      </c>
      <c r="D85" s="18" t="n">
        <v>351.1</v>
      </c>
      <c r="E85" s="18" t="n">
        <v>348.4</v>
      </c>
      <c r="F85" s="18" t="n">
        <v>347.3</v>
      </c>
      <c r="G85" s="18" t="n">
        <v>341.9</v>
      </c>
      <c r="H85" s="18" t="n">
        <v>360.1</v>
      </c>
      <c r="I85" s="18" t="n">
        <v>337.5</v>
      </c>
      <c r="J85" s="18" t="n">
        <v>352</v>
      </c>
      <c r="K85" s="18" t="n">
        <v>341.5</v>
      </c>
      <c r="L85" s="18" t="n">
        <v>325.9</v>
      </c>
      <c r="M85" s="18" t="n">
        <v>329.9</v>
      </c>
      <c r="N85" s="18" t="n">
        <v>327.8</v>
      </c>
      <c r="O85" s="18" t="n">
        <v>315.9</v>
      </c>
      <c r="P85" s="18" t="n">
        <v>317</v>
      </c>
      <c r="Q85" s="18" t="n">
        <v>320.6</v>
      </c>
      <c r="R85" s="19">
        <f>'Assumptions'!$R$16</f>
        <v/>
      </c>
      <c r="S85" s="19">
        <f>'Assumptions'!$S$16</f>
        <v/>
      </c>
      <c r="T85" s="19">
        <f>'Assumptions'!$T$16</f>
        <v/>
      </c>
      <c r="U85" s="19">
        <f>'Assumptions'!$U$16</f>
        <v/>
      </c>
      <c r="V85" s="19">
        <f>'Assumptions'!$V$16</f>
        <v/>
      </c>
      <c r="W85" s="19">
        <f>'Assumptions'!$W$16</f>
        <v/>
      </c>
      <c r="X85" s="19">
        <f>'Assumptions'!$X$16</f>
        <v/>
      </c>
      <c r="Y85" s="19">
        <f>'Assumptions'!$Y$16</f>
        <v/>
      </c>
    </row>
    <row r="86" ht="14" customHeight="1">
      <c r="A86" s="17" t="inlineStr">
        <is>
          <t>Stock-Based Compensation</t>
        </is>
      </c>
      <c r="B86" s="18" t="n">
        <v>144.5</v>
      </c>
      <c r="C86" s="18" t="n">
        <v>146.1</v>
      </c>
      <c r="D86" s="18" t="n">
        <v>130.7</v>
      </c>
      <c r="E86" s="18" t="n">
        <v>143.2</v>
      </c>
      <c r="F86" s="18" t="n">
        <v>152.8</v>
      </c>
      <c r="G86" s="18" t="n">
        <v>158.5</v>
      </c>
      <c r="H86" s="18" t="n">
        <v>155.3</v>
      </c>
      <c r="I86" s="18" t="n">
        <v>136.5</v>
      </c>
      <c r="J86" s="18" t="n">
        <v>154.9</v>
      </c>
      <c r="K86" s="18" t="n">
        <v>158.4</v>
      </c>
      <c r="L86" s="18" t="n">
        <v>147.6</v>
      </c>
      <c r="M86" s="18" t="n">
        <v>142.1</v>
      </c>
      <c r="N86" s="18" t="n">
        <v>153.6</v>
      </c>
      <c r="O86" s="18" t="n">
        <v>152.1</v>
      </c>
      <c r="P86" s="18" t="n">
        <v>143</v>
      </c>
      <c r="Q86" s="18" t="n">
        <v>207.6</v>
      </c>
      <c r="R86" s="19">
        <f>'Assumptions'!$R$20</f>
        <v/>
      </c>
      <c r="S86" s="19">
        <f>'Assumptions'!$S$20</f>
        <v/>
      </c>
      <c r="T86" s="19">
        <f>'Assumptions'!$T$20</f>
        <v/>
      </c>
      <c r="U86" s="19">
        <f>'Assumptions'!$U$20</f>
        <v/>
      </c>
      <c r="V86" s="19">
        <f>'Assumptions'!$V$20</f>
        <v/>
      </c>
      <c r="W86" s="19">
        <f>'Assumptions'!$W$20</f>
        <v/>
      </c>
      <c r="X86" s="19">
        <f>'Assumptions'!$X$20</f>
        <v/>
      </c>
      <c r="Y86" s="19">
        <f>'Assumptions'!$Y$20</f>
        <v/>
      </c>
    </row>
    <row r="87" ht="14" customHeight="1">
      <c r="A87" s="17" t="inlineStr">
        <is>
          <t>Change in Accounts Receivable</t>
        </is>
      </c>
      <c r="B87" s="18" t="n">
        <v>100.2</v>
      </c>
      <c r="C87" s="18" t="n">
        <v>101.8</v>
      </c>
      <c r="D87" s="18" t="n">
        <v>-198.8</v>
      </c>
      <c r="E87" s="18" t="n">
        <v>-191.3</v>
      </c>
      <c r="F87" s="18" t="n">
        <v>208.2</v>
      </c>
      <c r="G87" s="18" t="n">
        <v>5.5</v>
      </c>
      <c r="H87" s="18" t="n">
        <v>-93</v>
      </c>
      <c r="I87" s="18" t="n">
        <v>-239.7</v>
      </c>
      <c r="J87" s="18" t="n">
        <v>178.2</v>
      </c>
      <c r="K87" s="18" t="n">
        <v>-62.2</v>
      </c>
      <c r="L87" s="18" t="n">
        <v>30.5</v>
      </c>
      <c r="M87" s="18" t="n">
        <v>115.6</v>
      </c>
      <c r="N87" s="18" t="n">
        <v>307.7</v>
      </c>
      <c r="O87" s="18" t="n">
        <v>94.7</v>
      </c>
      <c r="P87" s="18" t="n">
        <v>640.2</v>
      </c>
      <c r="Q87" s="18" t="n">
        <v>-314.9</v>
      </c>
      <c r="R87" s="19">
        <f>-($R$50-$Q$50)</f>
        <v/>
      </c>
      <c r="S87" s="19">
        <f>-($S$50-$R$50)</f>
        <v/>
      </c>
      <c r="T87" s="19">
        <f>-($T$50-$S$50)</f>
        <v/>
      </c>
      <c r="U87" s="19">
        <f>-($U$50-$T$50)</f>
        <v/>
      </c>
      <c r="V87" s="19">
        <f>-($V$50-$U$50)</f>
        <v/>
      </c>
      <c r="W87" s="19">
        <f>-($W$50-$V$50)</f>
        <v/>
      </c>
      <c r="X87" s="19">
        <f>-($X$50-$W$50)</f>
        <v/>
      </c>
      <c r="Y87" s="19">
        <f>-($Y$50-$X$50)</f>
        <v/>
      </c>
    </row>
    <row r="88" ht="14" customHeight="1">
      <c r="A88" s="17" t="inlineStr">
        <is>
          <t>Change in Inventories</t>
        </is>
      </c>
      <c r="B88" s="18" t="n">
        <v>81.3</v>
      </c>
      <c r="C88" s="18" t="n">
        <v>56.3</v>
      </c>
      <c r="D88" s="18" t="n">
        <v>122.5</v>
      </c>
      <c r="E88" s="18" t="n">
        <v>-41.2</v>
      </c>
      <c r="F88" s="18" t="n">
        <v>-11.3</v>
      </c>
      <c r="G88" s="18" t="n">
        <v>-70.59999999999999</v>
      </c>
      <c r="H88" s="18" t="n">
        <v>-78.8</v>
      </c>
      <c r="I88" s="18" t="n">
        <v>-38.8</v>
      </c>
      <c r="J88" s="18" t="n">
        <v>-9.199999999999999</v>
      </c>
      <c r="K88" s="18" t="n">
        <v>108.2</v>
      </c>
      <c r="L88" s="18" t="n">
        <v>169.8</v>
      </c>
      <c r="M88" s="18" t="n">
        <v>69.90000000000001</v>
      </c>
      <c r="N88" s="18" t="n">
        <v>-15.4</v>
      </c>
      <c r="O88" s="18" t="n">
        <v>-35.2</v>
      </c>
      <c r="P88" s="18" t="n">
        <v>370.5</v>
      </c>
      <c r="Q88" s="18" t="n">
        <v>11.4</v>
      </c>
      <c r="R88" s="19">
        <f>-($R$51-$Q$51)</f>
        <v/>
      </c>
      <c r="S88" s="19">
        <f>-($S$51-$R$51)</f>
        <v/>
      </c>
      <c r="T88" s="19">
        <f>-($T$51-$S$51)</f>
        <v/>
      </c>
      <c r="U88" s="19">
        <f>-($U$51-$T$51)</f>
        <v/>
      </c>
      <c r="V88" s="19">
        <f>-($V$51-$U$51)</f>
        <v/>
      </c>
      <c r="W88" s="19">
        <f>-($W$51-$V$51)</f>
        <v/>
      </c>
      <c r="X88" s="19">
        <f>-($X$51-$W$51)</f>
        <v/>
      </c>
      <c r="Y88" s="19">
        <f>-($Y$51-$X$51)</f>
        <v/>
      </c>
    </row>
    <row r="89" ht="14" customHeight="1">
      <c r="A89" s="17" t="inlineStr">
        <is>
          <t>Change in Prepaid &amp; Other Assets</t>
        </is>
      </c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9" t="n"/>
      <c r="S89" s="19" t="n"/>
      <c r="T89" s="19" t="n"/>
      <c r="U89" s="19" t="n"/>
      <c r="V89" s="19" t="n"/>
      <c r="W89" s="19" t="n"/>
      <c r="X89" s="19" t="n"/>
      <c r="Y89" s="19" t="n"/>
    </row>
    <row r="90" ht="14" customHeight="1">
      <c r="A90" s="17" t="inlineStr">
        <is>
          <t>Change in Accounts Payable</t>
        </is>
      </c>
      <c r="B90" s="18" t="n">
        <v>-57.5</v>
      </c>
      <c r="C90" s="18" t="n">
        <v>-37.8</v>
      </c>
      <c r="D90" s="18" t="n">
        <v>-53.9</v>
      </c>
      <c r="E90" s="18" t="n">
        <v>-104.8</v>
      </c>
      <c r="F90" s="18" t="n">
        <v>18</v>
      </c>
      <c r="G90" s="18" t="n">
        <v>-0.7</v>
      </c>
      <c r="H90" s="18" t="n">
        <v>-61.6</v>
      </c>
      <c r="I90" s="18" t="n">
        <v>-58.3</v>
      </c>
      <c r="J90" s="18" t="n">
        <v>93.09999999999999</v>
      </c>
      <c r="K90" s="18" t="n">
        <v>75</v>
      </c>
      <c r="L90" s="18" t="n">
        <v>71.7</v>
      </c>
      <c r="M90" s="18" t="n">
        <v>-37.4</v>
      </c>
      <c r="N90" s="18" t="n">
        <v>-30.7</v>
      </c>
      <c r="O90" s="18" t="n">
        <v>-11</v>
      </c>
      <c r="P90" s="18" t="n">
        <v>378.4</v>
      </c>
      <c r="Q90" s="18" t="n">
        <v>-355.9</v>
      </c>
      <c r="R90" s="19">
        <f>$R$60-$Q$60</f>
        <v/>
      </c>
      <c r="S90" s="19">
        <f>$S$60-$R$60</f>
        <v/>
      </c>
      <c r="T90" s="19">
        <f>$T$60-$S$60</f>
        <v/>
      </c>
      <c r="U90" s="19">
        <f>$U$60-$T$60</f>
        <v/>
      </c>
      <c r="V90" s="19">
        <f>$V$60-$U$60</f>
        <v/>
      </c>
      <c r="W90" s="19">
        <f>$W$60-$V$60</f>
        <v/>
      </c>
      <c r="X90" s="19">
        <f>$X$60-$W$60</f>
        <v/>
      </c>
      <c r="Y90" s="19">
        <f>$Y$60-$X$60</f>
        <v/>
      </c>
    </row>
    <row r="91" ht="14" customHeight="1">
      <c r="A91" s="17" t="inlineStr">
        <is>
          <t>Change in Accrued Liabilities</t>
        </is>
      </c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9">
        <f>$R$61-$Q$61</f>
        <v/>
      </c>
      <c r="S91" s="19">
        <f>$S$61-$R$61</f>
        <v/>
      </c>
      <c r="T91" s="19">
        <f>$T$61-$S$61</f>
        <v/>
      </c>
      <c r="U91" s="19">
        <f>$U$61-$T$61</f>
        <v/>
      </c>
      <c r="V91" s="19">
        <f>$V$61-$U$61</f>
        <v/>
      </c>
      <c r="W91" s="19">
        <f>$W$61-$V$61</f>
        <v/>
      </c>
      <c r="X91" s="19">
        <f>$X$61-$W$61</f>
        <v/>
      </c>
      <c r="Y91" s="19">
        <f>$Y$61-$X$61</f>
        <v/>
      </c>
    </row>
    <row r="92" ht="14" customHeight="1">
      <c r="A92" s="17" t="inlineStr">
        <is>
          <t>Change in Deferred Revenue</t>
        </is>
      </c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9">
        <f>$R$64-$Q$64</f>
        <v/>
      </c>
      <c r="S92" s="19">
        <f>$S$64-$R$64</f>
        <v/>
      </c>
      <c r="T92" s="19">
        <f>$T$64-$S$64</f>
        <v/>
      </c>
      <c r="U92" s="19">
        <f>$U$64-$T$64</f>
        <v/>
      </c>
      <c r="V92" s="19">
        <f>$V$64-$U$64</f>
        <v/>
      </c>
      <c r="W92" s="19">
        <f>$W$64-$V$64</f>
        <v/>
      </c>
      <c r="X92" s="19">
        <f>$X$64-$W$64</f>
        <v/>
      </c>
      <c r="Y92" s="19">
        <f>$Y$64-$X$64</f>
        <v/>
      </c>
    </row>
    <row r="93" ht="14" customHeight="1">
      <c r="A93" s="17" t="inlineStr">
        <is>
          <t>Other Operating Activities</t>
        </is>
      </c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9" t="n"/>
      <c r="S93" s="19" t="n"/>
      <c r="T93" s="19" t="n"/>
      <c r="U93" s="19" t="n"/>
      <c r="V93" s="19" t="n"/>
      <c r="W93" s="19" t="n"/>
      <c r="X93" s="19" t="n"/>
      <c r="Y93" s="19" t="n"/>
    </row>
    <row r="94" ht="14" customHeight="1">
      <c r="A94" s="14" t="inlineStr">
        <is>
          <t>Total Operating Cash Flow</t>
        </is>
      </c>
      <c r="B94" s="15" t="n">
        <v>331.5</v>
      </c>
      <c r="C94" s="15" t="n">
        <v>411</v>
      </c>
      <c r="D94" s="15" t="n">
        <v>351.5</v>
      </c>
      <c r="E94" s="15" t="n">
        <v>208.4</v>
      </c>
      <c r="F94" s="15" t="n">
        <v>112.5</v>
      </c>
      <c r="G94" s="15" t="n">
        <v>503</v>
      </c>
      <c r="H94" s="15" t="n">
        <v>546.6</v>
      </c>
      <c r="I94" s="15" t="n">
        <v>324.5</v>
      </c>
      <c r="J94" s="15" t="n">
        <v>306.4</v>
      </c>
      <c r="K94" s="15" t="n">
        <v>536.3</v>
      </c>
      <c r="L94" s="15" t="n">
        <v>514</v>
      </c>
      <c r="M94" s="15" t="n">
        <v>332.9</v>
      </c>
      <c r="N94" s="15" t="n">
        <v>461.6</v>
      </c>
      <c r="O94" s="15" t="n">
        <v>582.3</v>
      </c>
      <c r="P94" s="15" t="n">
        <v>373.7</v>
      </c>
      <c r="Q94" s="15" t="n">
        <v>638.8</v>
      </c>
      <c r="R94" s="16">
        <f>SUM($R$84,$R$85,$R$86,$R$87,$R$88,$R$90,$R$91,$R$92,$R$93)</f>
        <v/>
      </c>
      <c r="S94" s="16">
        <f>SUM($S$84,$S$85,$S$86,$S$87,$S$88,$S$90,$S$91,$S$92,$S$93)</f>
        <v/>
      </c>
      <c r="T94" s="16">
        <f>SUM($T$84,$T$85,$T$86,$T$87,$T$88,$T$90,$T$91,$T$92,$T$93)</f>
        <v/>
      </c>
      <c r="U94" s="16">
        <f>SUM($U$84,$U$85,$U$86,$U$87,$U$88,$U$90,$U$91,$U$92,$U$93)</f>
        <v/>
      </c>
      <c r="V94" s="16">
        <f>SUM($V$84,$V$85,$V$86,$V$87,$V$88,$V$90,$V$91,$V$92,$V$93)</f>
        <v/>
      </c>
      <c r="W94" s="16">
        <f>SUM($W$84,$W$85,$W$86,$W$87,$W$88,$W$90,$W$91,$W$92,$W$93)</f>
        <v/>
      </c>
      <c r="X94" s="16">
        <f>SUM($X$84,$X$85,$X$86,$X$87,$X$88,$X$90,$X$91,$X$92,$X$93)</f>
        <v/>
      </c>
      <c r="Y94" s="16">
        <f>SUM($Y$84,$Y$85,$Y$86,$Y$87,$Y$88,$Y$90,$Y$91,$Y$92,$Y$93)</f>
        <v/>
      </c>
    </row>
    <row r="95" ht="14" customHeight="1">
      <c r="A95" s="27" t="inlineStr">
        <is>
          <t>INVESTING ACTIVITIES</t>
        </is>
      </c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</row>
    <row r="96" ht="14" customHeight="1">
      <c r="A96" s="17" t="inlineStr">
        <is>
          <t>Capital Expenditures</t>
        </is>
      </c>
      <c r="B96" s="18" t="n">
        <v>-72.59999999999999</v>
      </c>
      <c r="C96" s="18" t="n">
        <v>-42.7</v>
      </c>
      <c r="D96" s="18" t="n">
        <v>-54</v>
      </c>
      <c r="E96" s="18" t="n">
        <v>-99.8</v>
      </c>
      <c r="F96" s="18" t="n">
        <v>-111.1</v>
      </c>
      <c r="G96" s="18" t="n">
        <v>-54.4</v>
      </c>
      <c r="H96" s="18" t="n">
        <v>-71</v>
      </c>
      <c r="I96" s="18" t="n">
        <v>-91.5</v>
      </c>
      <c r="J96" s="18" t="n">
        <v>-48.2</v>
      </c>
      <c r="K96" s="18" t="n">
        <v>-75</v>
      </c>
      <c r="L96" s="18" t="n">
        <v>-69.90000000000001</v>
      </c>
      <c r="M96" s="18" t="n">
        <v>-118.8</v>
      </c>
      <c r="N96" s="18" t="n">
        <v>-47.5</v>
      </c>
      <c r="O96" s="18" t="n">
        <v>-73.5</v>
      </c>
      <c r="P96" s="18" t="n">
        <v>-114.3</v>
      </c>
      <c r="Q96" s="18" t="n">
        <v>-155.7</v>
      </c>
      <c r="R96" s="19">
        <f>-'Assumptions'!$R$17</f>
        <v/>
      </c>
      <c r="S96" s="19">
        <f>-'Assumptions'!$S$17</f>
        <v/>
      </c>
      <c r="T96" s="19">
        <f>-'Assumptions'!$T$17</f>
        <v/>
      </c>
      <c r="U96" s="19">
        <f>-'Assumptions'!$U$17</f>
        <v/>
      </c>
      <c r="V96" s="19">
        <f>-'Assumptions'!$V$17</f>
        <v/>
      </c>
      <c r="W96" s="19">
        <f>-'Assumptions'!$W$17</f>
        <v/>
      </c>
      <c r="X96" s="19">
        <f>-'Assumptions'!$X$17</f>
        <v/>
      </c>
      <c r="Y96" s="19">
        <f>-'Assumptions'!$Y$17</f>
        <v/>
      </c>
    </row>
    <row r="97" ht="14" customHeight="1">
      <c r="A97" s="17" t="inlineStr">
        <is>
          <t>Purchases of Investments</t>
        </is>
      </c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9" t="n"/>
      <c r="S97" s="19" t="n"/>
      <c r="T97" s="19" t="n"/>
      <c r="U97" s="19" t="n"/>
      <c r="V97" s="19" t="n"/>
      <c r="W97" s="19" t="n"/>
      <c r="X97" s="19" t="n"/>
      <c r="Y97" s="19" t="n"/>
    </row>
    <row r="98" ht="14" customHeight="1">
      <c r="A98" s="17" t="inlineStr">
        <is>
          <t>Proceeds from Investments</t>
        </is>
      </c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9" t="n"/>
      <c r="S98" s="19" t="n"/>
      <c r="T98" s="19" t="n"/>
      <c r="U98" s="19" t="n"/>
      <c r="V98" s="19" t="n"/>
      <c r="W98" s="19" t="n"/>
      <c r="X98" s="19" t="n"/>
      <c r="Y98" s="19" t="n"/>
    </row>
    <row r="99" ht="14" customHeight="1">
      <c r="A99" s="17" t="inlineStr">
        <is>
          <t>Other Investing Activities</t>
        </is>
      </c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9" t="n"/>
      <c r="S99" s="19" t="n"/>
      <c r="T99" s="19" t="n"/>
      <c r="U99" s="19" t="n"/>
      <c r="V99" s="19" t="n"/>
      <c r="W99" s="19" t="n"/>
      <c r="X99" s="19" t="n"/>
      <c r="Y99" s="19" t="n"/>
    </row>
    <row r="100" ht="14" customHeight="1">
      <c r="A100" s="14" t="inlineStr">
        <is>
          <t>Total Investing Cash Flow</t>
        </is>
      </c>
      <c r="B100" s="15" t="n">
        <v>-129.9</v>
      </c>
      <c r="C100" s="15" t="n">
        <v>-51.9</v>
      </c>
      <c r="D100" s="15" t="n">
        <v>-64.2</v>
      </c>
      <c r="E100" s="15" t="n">
        <v>-102.7</v>
      </c>
      <c r="F100" s="15" t="n">
        <v>-117</v>
      </c>
      <c r="G100" s="15" t="n">
        <v>-54.6</v>
      </c>
      <c r="H100" s="15" t="n">
        <v>-76.2</v>
      </c>
      <c r="I100" s="15" t="n">
        <v>-101.9</v>
      </c>
      <c r="J100" s="15" t="n">
        <v>-53</v>
      </c>
      <c r="K100" s="15" t="n">
        <v>-75.5</v>
      </c>
      <c r="L100" s="15" t="n">
        <v>-70.3</v>
      </c>
      <c r="M100" s="15" t="n">
        <v>-94.09999999999999</v>
      </c>
      <c r="N100" s="15" t="n">
        <v>-77.2</v>
      </c>
      <c r="O100" s="15" t="n">
        <v>2391.2</v>
      </c>
      <c r="P100" s="15" t="n">
        <v>-122.1</v>
      </c>
      <c r="Q100" s="15" t="n">
        <v>-1421.4</v>
      </c>
      <c r="R100" s="16">
        <f>SUM($R$96,$R$97,$R$98,$R$99)</f>
        <v/>
      </c>
      <c r="S100" s="16">
        <f>SUM($S$96,$S$97,$S$98,$S$99)</f>
        <v/>
      </c>
      <c r="T100" s="16">
        <f>SUM($T$96,$T$97,$T$98,$T$99)</f>
        <v/>
      </c>
      <c r="U100" s="16">
        <f>SUM($U$96,$U$97,$U$98,$U$99)</f>
        <v/>
      </c>
      <c r="V100" s="16">
        <f>SUM($V$96,$V$97,$V$98,$V$99)</f>
        <v/>
      </c>
      <c r="W100" s="16">
        <f>SUM($W$96,$W$97,$W$98,$W$99)</f>
        <v/>
      </c>
      <c r="X100" s="16">
        <f>SUM($X$96,$X$97,$X$98,$X$99)</f>
        <v/>
      </c>
      <c r="Y100" s="16">
        <f>SUM($Y$96,$Y$97,$Y$98,$Y$99)</f>
        <v/>
      </c>
    </row>
    <row r="101" ht="14" customHeight="1">
      <c r="A101" s="27" t="inlineStr">
        <is>
          <t>FINANCING ACTIVITIES</t>
        </is>
      </c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</row>
    <row r="102" ht="14" customHeight="1">
      <c r="A102" s="17" t="inlineStr">
        <is>
          <t>Debt Proceeds (Repayments)</t>
        </is>
      </c>
      <c r="B102" s="18" t="n">
        <v>-141</v>
      </c>
      <c r="C102" s="18" t="n">
        <v>-91.90000000000001</v>
      </c>
      <c r="D102" s="18" t="n">
        <v>-21.8</v>
      </c>
      <c r="E102" s="18" t="n">
        <v>-21.9</v>
      </c>
      <c r="F102" s="18" t="n">
        <v>-571.8</v>
      </c>
      <c r="G102" s="18" t="n">
        <v>-1006.9</v>
      </c>
      <c r="H102" s="18" t="n">
        <v>-21.9</v>
      </c>
      <c r="I102" s="18" t="n">
        <v>-21.9</v>
      </c>
      <c r="J102" s="18" t="n">
        <v>-21.9</v>
      </c>
      <c r="K102" s="18" t="n">
        <v>-32.8</v>
      </c>
      <c r="L102" s="18" t="n">
        <v>-32.8</v>
      </c>
      <c r="M102" s="18" t="n">
        <v>-32.8</v>
      </c>
      <c r="N102" s="18" t="n">
        <v>-757.8</v>
      </c>
      <c r="O102" s="18" t="n">
        <v>0</v>
      </c>
      <c r="P102" s="18" t="n">
        <v>0</v>
      </c>
      <c r="Q102" s="18" t="n">
        <v>-500</v>
      </c>
      <c r="R102" s="19" t="n"/>
      <c r="S102" s="19" t="n"/>
      <c r="T102" s="19" t="n"/>
      <c r="U102" s="19" t="n"/>
      <c r="V102" s="19" t="n"/>
      <c r="W102" s="19" t="n"/>
      <c r="X102" s="19" t="n"/>
      <c r="Y102" s="19" t="n"/>
    </row>
    <row r="103" ht="14" customHeight="1">
      <c r="A103" s="17" t="inlineStr">
        <is>
          <t>Share Repurchases</t>
        </is>
      </c>
      <c r="B103" s="18" t="n">
        <v>-50</v>
      </c>
      <c r="C103" s="18" t="n">
        <v>-50</v>
      </c>
      <c r="D103" s="18" t="n">
        <v>0</v>
      </c>
      <c r="E103" s="18" t="n">
        <v>0</v>
      </c>
      <c r="F103" s="18" t="n">
        <v>0</v>
      </c>
      <c r="G103" s="18" t="n">
        <v>-50</v>
      </c>
      <c r="H103" s="18" t="n">
        <v>-100</v>
      </c>
      <c r="I103" s="18" t="n">
        <v>-150</v>
      </c>
      <c r="J103" s="18" t="n">
        <v>-175</v>
      </c>
      <c r="K103" s="18" t="n">
        <v>-200</v>
      </c>
      <c r="L103" s="18" t="n">
        <v>-200</v>
      </c>
      <c r="M103" s="18" t="n">
        <v>-340</v>
      </c>
      <c r="N103" s="18" t="n">
        <v>-200</v>
      </c>
      <c r="O103" s="18" t="n">
        <v>-1300</v>
      </c>
      <c r="P103" s="18" t="n">
        <v>-200.1</v>
      </c>
      <c r="Q103" s="18" t="n">
        <v>-200</v>
      </c>
      <c r="R103" s="19" t="n"/>
      <c r="S103" s="19" t="n"/>
      <c r="T103" s="19" t="n"/>
      <c r="U103" s="19" t="n"/>
      <c r="V103" s="19" t="n"/>
      <c r="W103" s="19" t="n"/>
      <c r="X103" s="19" t="n"/>
      <c r="Y103" s="19" t="n"/>
    </row>
    <row r="104" ht="14" customHeight="1">
      <c r="A104" s="17" t="inlineStr">
        <is>
          <t>Dividends</t>
        </is>
      </c>
      <c r="B104" s="18" t="n">
        <v>-51.1</v>
      </c>
      <c r="C104" s="18" t="n">
        <v>-51.1</v>
      </c>
      <c r="D104" s="18" t="n">
        <v>-51.3</v>
      </c>
      <c r="E104" s="18" t="n">
        <v>-51.4</v>
      </c>
      <c r="F104" s="18" t="n">
        <v>-51.7</v>
      </c>
      <c r="G104" s="18" t="n">
        <v>-51.8</v>
      </c>
      <c r="H104" s="18" t="n">
        <v>-51.9</v>
      </c>
      <c r="I104" s="18" t="n">
        <v>-51.8</v>
      </c>
      <c r="J104" s="18" t="n">
        <v>-51.9</v>
      </c>
      <c r="K104" s="18" t="n">
        <v>-51.9</v>
      </c>
      <c r="L104" s="18" t="n">
        <v>-51.9</v>
      </c>
      <c r="M104" s="18" t="n">
        <v>-51.8</v>
      </c>
      <c r="N104" s="18" t="n">
        <v>-51.7</v>
      </c>
      <c r="O104" s="18" t="n">
        <v>-50.8</v>
      </c>
      <c r="P104" s="18" t="n">
        <v>-50.8</v>
      </c>
      <c r="Q104" s="18" t="n">
        <v>-53.8</v>
      </c>
      <c r="R104" s="19" t="n"/>
      <c r="S104" s="19" t="n"/>
      <c r="T104" s="19" t="n"/>
      <c r="U104" s="19" t="n"/>
      <c r="V104" s="19" t="n"/>
      <c r="W104" s="19" t="n"/>
      <c r="X104" s="19" t="n"/>
      <c r="Y104" s="19" t="n"/>
    </row>
    <row r="105" ht="14" customHeight="1">
      <c r="A105" s="17" t="inlineStr">
        <is>
          <t>Other Financing Activities</t>
        </is>
      </c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9" t="n"/>
      <c r="S105" s="19" t="n"/>
      <c r="T105" s="19" t="n"/>
      <c r="U105" s="19" t="n"/>
      <c r="V105" s="19" t="n"/>
      <c r="W105" s="19" t="n"/>
      <c r="X105" s="19" t="n"/>
      <c r="Y105" s="19" t="n"/>
    </row>
    <row r="106" ht="14" customHeight="1">
      <c r="A106" s="14" t="inlineStr">
        <is>
          <t>Total Financing Cash Flow</t>
        </is>
      </c>
      <c r="B106" s="15" t="n">
        <v>-49.5</v>
      </c>
      <c r="C106" s="15" t="n">
        <v>-252.8</v>
      </c>
      <c r="D106" s="15" t="n">
        <v>-99.7</v>
      </c>
      <c r="E106" s="15" t="n">
        <v>11.6</v>
      </c>
      <c r="F106" s="15" t="n">
        <v>-600.4</v>
      </c>
      <c r="G106" s="15" t="n">
        <v>-146.2</v>
      </c>
      <c r="H106" s="15" t="n">
        <v>-245.2</v>
      </c>
      <c r="I106" s="15" t="n">
        <v>-325.7</v>
      </c>
      <c r="J106" s="15" t="n">
        <v>-292.4</v>
      </c>
      <c r="K106" s="15" t="n">
        <v>-401.4</v>
      </c>
      <c r="L106" s="15" t="n">
        <v>-363.5</v>
      </c>
      <c r="M106" s="15" t="n">
        <v>-301.2</v>
      </c>
      <c r="N106" s="15" t="n">
        <v>-45.9</v>
      </c>
      <c r="O106" s="15" t="n">
        <v>-1483.4</v>
      </c>
      <c r="P106" s="15" t="n">
        <v>-327.3</v>
      </c>
      <c r="Q106" s="15" t="n">
        <v>1987.4</v>
      </c>
      <c r="R106" s="16">
        <f>SUM($R$102,$R$103,$R$104,$R$105)</f>
        <v/>
      </c>
      <c r="S106" s="16">
        <f>SUM($S$102,$S$103,$S$104,$S$105)</f>
        <v/>
      </c>
      <c r="T106" s="16">
        <f>SUM($T$102,$T$103,$T$104,$T$105)</f>
        <v/>
      </c>
      <c r="U106" s="16">
        <f>SUM($U$102,$U$103,$U$104,$U$105)</f>
        <v/>
      </c>
      <c r="V106" s="16">
        <f>SUM($V$102,$V$103,$V$104,$V$105)</f>
        <v/>
      </c>
      <c r="W106" s="16">
        <f>SUM($W$102,$W$103,$W$104,$W$105)</f>
        <v/>
      </c>
      <c r="X106" s="16">
        <f>SUM($X$102,$X$103,$X$104,$X$105)</f>
        <v/>
      </c>
      <c r="Y106" s="16">
        <f>SUM($Y$102,$Y$103,$Y$104,$Y$105)</f>
        <v/>
      </c>
    </row>
    <row r="107" ht="14" customHeight="1">
      <c r="A107" s="17" t="inlineStr">
        <is>
          <t>Net Change in Cash</t>
        </is>
      </c>
      <c r="B107" s="18" t="n">
        <v>152.1</v>
      </c>
      <c r="C107" s="18" t="n">
        <v>106.3</v>
      </c>
      <c r="D107" s="18" t="n">
        <v>187.6</v>
      </c>
      <c r="E107" s="18" t="n">
        <v>117.3</v>
      </c>
      <c r="F107" s="18" t="n">
        <v>-604.9</v>
      </c>
      <c r="G107" s="18" t="n">
        <v>302.2</v>
      </c>
      <c r="H107" s="18" t="n">
        <v>225.2</v>
      </c>
      <c r="I107" s="18" t="n">
        <v>-103.1</v>
      </c>
      <c r="J107" s="18" t="n">
        <v>-39</v>
      </c>
      <c r="K107" s="18" t="n">
        <v>59.4</v>
      </c>
      <c r="L107" s="18" t="n">
        <v>80.2</v>
      </c>
      <c r="M107" s="18" t="n">
        <v>-62.4</v>
      </c>
      <c r="N107" s="18" t="n">
        <v>338.5</v>
      </c>
      <c r="O107" s="18" t="n">
        <v>1490.1</v>
      </c>
      <c r="P107" s="18" t="n">
        <v>-75.7</v>
      </c>
      <c r="Q107" s="18" t="n">
        <v>1204.8</v>
      </c>
      <c r="R107" s="19">
        <f>$R$94+$R$100+$R$106</f>
        <v/>
      </c>
      <c r="S107" s="19">
        <f>$S$94+$S$100+$S$106</f>
        <v/>
      </c>
      <c r="T107" s="19">
        <f>$T$94+$T$100+$T$106</f>
        <v/>
      </c>
      <c r="U107" s="19">
        <f>$U$94+$U$100+$U$106</f>
        <v/>
      </c>
      <c r="V107" s="19">
        <f>$V$94+$V$100+$V$106</f>
        <v/>
      </c>
      <c r="W107" s="19">
        <f>$W$94+$W$100+$W$106</f>
        <v/>
      </c>
      <c r="X107" s="19">
        <f>$X$94+$X$100+$X$106</f>
        <v/>
      </c>
      <c r="Y107" s="19">
        <f>$Y$94+$Y$100+$Y$106</f>
        <v/>
      </c>
    </row>
    <row r="108" ht="14" customHeight="1">
      <c r="A108" s="27" t="inlineStr">
        <is>
          <t>FREE CASH FLOW</t>
        </is>
      </c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</row>
    <row r="109" ht="14" customHeight="1">
      <c r="A109" s="14" t="inlineStr">
        <is>
          <t>FCFE</t>
        </is>
      </c>
      <c r="B109" s="15" t="n">
        <v>57.09999999999999</v>
      </c>
      <c r="C109" s="15" t="n">
        <v>213</v>
      </c>
      <c r="D109" s="15" t="n">
        <v>156.6</v>
      </c>
      <c r="E109" s="15" t="n">
        <v>-37.49999999999999</v>
      </c>
      <c r="F109" s="15" t="n">
        <v>-157.3</v>
      </c>
      <c r="G109" s="15" t="n">
        <v>289.9</v>
      </c>
      <c r="H109" s="15" t="n">
        <v>315.1</v>
      </c>
      <c r="I109" s="15" t="n">
        <v>86.09999999999999</v>
      </c>
      <c r="J109" s="15" t="n">
        <v>98.49999999999997</v>
      </c>
      <c r="K109" s="15" t="n">
        <v>302.4</v>
      </c>
      <c r="L109" s="15" t="n">
        <v>296.1</v>
      </c>
      <c r="M109" s="15" t="n">
        <v>96.69999999999999</v>
      </c>
      <c r="N109" s="15" t="n">
        <v>230.8</v>
      </c>
      <c r="O109" s="15" t="n">
        <v>2821.4</v>
      </c>
      <c r="P109" s="15" t="n">
        <v>108.6</v>
      </c>
      <c r="Q109" s="15" t="n">
        <v>-990.2000000000002</v>
      </c>
      <c r="R109" s="16">
        <f>$R$94+$R$100-$R$86</f>
        <v/>
      </c>
      <c r="S109" s="16">
        <f>$S$94+$S$100-$S$86</f>
        <v/>
      </c>
      <c r="T109" s="16">
        <f>$T$94+$T$100-$T$86</f>
        <v/>
      </c>
      <c r="U109" s="16">
        <f>$U$94+$U$100-$U$86</f>
        <v/>
      </c>
      <c r="V109" s="16">
        <f>$V$94+$V$100-$V$86</f>
        <v/>
      </c>
      <c r="W109" s="16">
        <f>$W$94+$W$100-$W$86</f>
        <v/>
      </c>
      <c r="X109" s="16">
        <f>$X$94+$X$100-$X$86</f>
        <v/>
      </c>
      <c r="Y109" s="16">
        <f>$Y$94+$Y$100-$Y$86</f>
        <v/>
      </c>
    </row>
  </sheetData>
  <mergeCells count="4">
    <mergeCell ref="A81:Y81"/>
    <mergeCell ref="A45:Y45"/>
    <mergeCell ref="A16:Y16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29" t="inlineStr">
        <is>
          <t>MRVL — Model Assumptions</t>
        </is>
      </c>
    </row>
    <row r="2">
      <c r="A2" s="2" t="inlineStr">
        <is>
          <t>Yellow = editable forecast inputs  |  Blue shading = forecast period</t>
        </is>
      </c>
    </row>
    <row r="3" ht="20" customHeight="1">
      <c r="A3" s="3" t="n"/>
      <c r="B3" s="4" t="inlineStr">
        <is>
          <t>Q2FY23</t>
        </is>
      </c>
      <c r="C3" s="4" t="inlineStr">
        <is>
          <t>Q3FY23</t>
        </is>
      </c>
      <c r="D3" s="4" t="inlineStr">
        <is>
          <t>Q4FY23</t>
        </is>
      </c>
      <c r="E3" s="4" t="inlineStr">
        <is>
          <t>Q1FY24</t>
        </is>
      </c>
      <c r="F3" s="4" t="inlineStr">
        <is>
          <t>Q2FY24</t>
        </is>
      </c>
      <c r="G3" s="4" t="inlineStr">
        <is>
          <t>Q3FY24</t>
        </is>
      </c>
      <c r="H3" s="4" t="inlineStr">
        <is>
          <t>Q4FY24</t>
        </is>
      </c>
      <c r="I3" s="4" t="inlineStr">
        <is>
          <t>Q1FY25</t>
        </is>
      </c>
      <c r="J3" s="4" t="inlineStr">
        <is>
          <t>Q2FY25</t>
        </is>
      </c>
      <c r="K3" s="4" t="inlineStr">
        <is>
          <t>Q3FY25</t>
        </is>
      </c>
      <c r="L3" s="4" t="inlineStr">
        <is>
          <t>Q4FY25</t>
        </is>
      </c>
      <c r="M3" s="4" t="inlineStr">
        <is>
          <t>Q1FY26</t>
        </is>
      </c>
      <c r="N3" s="4" t="inlineStr">
        <is>
          <t>Q2FY26</t>
        </is>
      </c>
      <c r="O3" s="4" t="inlineStr">
        <is>
          <t>Q3FY26</t>
        </is>
      </c>
      <c r="P3" s="4" t="inlineStr">
        <is>
          <t>Q4FY26</t>
        </is>
      </c>
      <c r="Q3" s="4" t="inlineStr">
        <is>
          <t>Q1FY27</t>
        </is>
      </c>
      <c r="R3" s="5" t="inlineStr">
        <is>
          <t>Q2FY27E</t>
        </is>
      </c>
      <c r="S3" s="5" t="inlineStr">
        <is>
          <t>Q3FY27E</t>
        </is>
      </c>
      <c r="T3" s="5" t="inlineStr">
        <is>
          <t>Q4FY27E</t>
        </is>
      </c>
      <c r="U3" s="5" t="inlineStr">
        <is>
          <t>Q1FY28E</t>
        </is>
      </c>
      <c r="V3" s="5" t="inlineStr">
        <is>
          <t>Q2FY28E</t>
        </is>
      </c>
      <c r="W3" s="5" t="inlineStr">
        <is>
          <t>Q3FY28E</t>
        </is>
      </c>
      <c r="X3" s="5" t="inlineStr">
        <is>
          <t>Q4FY28E</t>
        </is>
      </c>
      <c r="Y3" s="5" t="inlineStr">
        <is>
          <t>Q1FY29E</t>
        </is>
      </c>
    </row>
    <row r="4" ht="14" customHeight="1">
      <c r="A4" s="27" t="inlineStr">
        <is>
          <t>REVENUE DRIVERS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</row>
    <row r="5">
      <c r="A5" s="14" t="inlineStr">
        <is>
          <t>Total Revenue ($mm)</t>
        </is>
      </c>
      <c r="B5" s="18" t="n">
        <v>1516.9</v>
      </c>
      <c r="C5" s="18" t="n">
        <v>1537.3</v>
      </c>
      <c r="D5" s="18" t="n">
        <v>1418.5</v>
      </c>
      <c r="E5" s="18" t="n">
        <v>1321.7</v>
      </c>
      <c r="F5" s="18" t="n">
        <v>1340.9</v>
      </c>
      <c r="G5" s="18" t="n">
        <v>1418.6</v>
      </c>
      <c r="H5" s="18" t="n">
        <v>1426.5</v>
      </c>
      <c r="I5" s="18" t="n">
        <v>1160.9</v>
      </c>
      <c r="J5" s="18" t="n">
        <v>1272.9</v>
      </c>
      <c r="K5" s="18" t="n">
        <v>1516.1</v>
      </c>
      <c r="L5" s="18" t="n">
        <v>1817.4</v>
      </c>
      <c r="M5" s="18" t="n">
        <v>1895.3</v>
      </c>
      <c r="N5" s="18" t="n">
        <v>2006.1</v>
      </c>
      <c r="O5" s="18" t="n">
        <v>2074.5</v>
      </c>
      <c r="P5" s="18" t="n">
        <v>2218.7</v>
      </c>
      <c r="Q5" s="18" t="n">
        <v>2417.8</v>
      </c>
      <c r="R5" s="19">
        <f>Q5*(1+R6)</f>
        <v/>
      </c>
      <c r="S5" s="19">
        <f>R5*(1+S6)</f>
        <v/>
      </c>
      <c r="T5" s="19">
        <f>S5*(1+T6)</f>
        <v/>
      </c>
      <c r="U5" s="19">
        <f>T5*(1+U6)</f>
        <v/>
      </c>
      <c r="V5" s="19">
        <f>U5*(1+V6)</f>
        <v/>
      </c>
      <c r="W5" s="19">
        <f>V5*(1+W6)</f>
        <v/>
      </c>
      <c r="X5" s="19">
        <f>W5*(1+X6)</f>
        <v/>
      </c>
      <c r="Y5" s="19">
        <f>X5*(1+Y6)</f>
        <v/>
      </c>
    </row>
    <row r="6">
      <c r="A6" s="30" t="inlineStr">
        <is>
          <t xml:space="preserve">  Revenue Growth % (QoQ)</t>
        </is>
      </c>
      <c r="B6" s="18" t="n"/>
      <c r="C6" s="31">
        <f>C5/B5-1</f>
        <v/>
      </c>
      <c r="D6" s="31">
        <f>D5/C5-1</f>
        <v/>
      </c>
      <c r="E6" s="31">
        <f>E5/D5-1</f>
        <v/>
      </c>
      <c r="F6" s="31">
        <f>F5/E5-1</f>
        <v/>
      </c>
      <c r="G6" s="31">
        <f>G5/F5-1</f>
        <v/>
      </c>
      <c r="H6" s="31">
        <f>H5/G5-1</f>
        <v/>
      </c>
      <c r="I6" s="31">
        <f>I5/H5-1</f>
        <v/>
      </c>
      <c r="J6" s="31">
        <f>J5/I5-1</f>
        <v/>
      </c>
      <c r="K6" s="31">
        <f>K5/J5-1</f>
        <v/>
      </c>
      <c r="L6" s="31">
        <f>L5/K5-1</f>
        <v/>
      </c>
      <c r="M6" s="31">
        <f>M5/L5-1</f>
        <v/>
      </c>
      <c r="N6" s="31">
        <f>N5/M5-1</f>
        <v/>
      </c>
      <c r="O6" s="31">
        <f>O5/N5-1</f>
        <v/>
      </c>
      <c r="P6" s="31">
        <f>P5/O5-1</f>
        <v/>
      </c>
      <c r="Q6" s="31">
        <f>Q5/P5-1</f>
        <v/>
      </c>
      <c r="R6" s="32" t="n">
        <v>0.063</v>
      </c>
      <c r="S6" s="32" t="n">
        <v>0.063</v>
      </c>
      <c r="T6" s="32" t="n">
        <v>0.063</v>
      </c>
      <c r="U6" s="32" t="n">
        <v>0.063</v>
      </c>
      <c r="V6" s="32" t="n">
        <v>0.063</v>
      </c>
      <c r="W6" s="32" t="n">
        <v>0.063</v>
      </c>
      <c r="X6" s="32" t="n">
        <v>0.063</v>
      </c>
      <c r="Y6" s="32" t="n">
        <v>0.063</v>
      </c>
    </row>
    <row r="7">
      <c r="A7" s="30" t="inlineStr">
        <is>
          <t xml:space="preserve">  Revenue Growth % (YoY)</t>
        </is>
      </c>
      <c r="B7" s="18" t="n"/>
      <c r="C7" s="18" t="n"/>
      <c r="D7" s="18" t="n"/>
      <c r="E7" s="18" t="n"/>
      <c r="F7" s="31">
        <f>F5/B5-1</f>
        <v/>
      </c>
      <c r="G7" s="31">
        <f>G5/C5-1</f>
        <v/>
      </c>
      <c r="H7" s="31">
        <f>H5/D5-1</f>
        <v/>
      </c>
      <c r="I7" s="31">
        <f>I5/E5-1</f>
        <v/>
      </c>
      <c r="J7" s="31">
        <f>J5/F5-1</f>
        <v/>
      </c>
      <c r="K7" s="31">
        <f>K5/G5-1</f>
        <v/>
      </c>
      <c r="L7" s="31">
        <f>L5/H5-1</f>
        <v/>
      </c>
      <c r="M7" s="31">
        <f>M5/I5-1</f>
        <v/>
      </c>
      <c r="N7" s="31">
        <f>N5/J5-1</f>
        <v/>
      </c>
      <c r="O7" s="31">
        <f>O5/K5-1</f>
        <v/>
      </c>
      <c r="P7" s="31">
        <f>P5/L5-1</f>
        <v/>
      </c>
      <c r="Q7" s="31">
        <f>Q5/M5-1</f>
        <v/>
      </c>
      <c r="R7" s="19">
        <f>R5/N5-1</f>
        <v/>
      </c>
      <c r="S7" s="19">
        <f>S5/O5-1</f>
        <v/>
      </c>
      <c r="T7" s="19">
        <f>T5/P5-1</f>
        <v/>
      </c>
      <c r="U7" s="19">
        <f>U5/Q5-1</f>
        <v/>
      </c>
      <c r="V7" s="19">
        <f>V5/R5-1</f>
        <v/>
      </c>
      <c r="W7" s="19">
        <f>W5/S5-1</f>
        <v/>
      </c>
      <c r="X7" s="19">
        <f>X5/T5-1</f>
        <v/>
      </c>
      <c r="Y7" s="19">
        <f>Y5/U5-1</f>
        <v/>
      </c>
    </row>
    <row r="8" ht="14" customHeight="1">
      <c r="A8" s="27" t="inlineStr">
        <is>
          <t>MARGIN DRIVERS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</row>
    <row r="9">
      <c r="A9" s="14" t="inlineStr">
        <is>
          <t>Gross Margin %</t>
        </is>
      </c>
      <c r="B9" s="33" t="n">
        <v>0.5181620410046806</v>
      </c>
      <c r="C9" s="33" t="n">
        <v>0.5056267481948872</v>
      </c>
      <c r="D9" s="33" t="n">
        <v>0.474656327106098</v>
      </c>
      <c r="E9" s="33" t="n">
        <v>0.4215782704093213</v>
      </c>
      <c r="F9" s="33" t="n">
        <v>0.3886195838615855</v>
      </c>
      <c r="G9" s="33" t="n">
        <v>0.3885520936134217</v>
      </c>
      <c r="H9" s="33" t="n">
        <v>0.4655450403084473</v>
      </c>
      <c r="I9" s="33" t="n">
        <v>0.4546472564389697</v>
      </c>
      <c r="J9" s="33" t="n">
        <v>0.4616230654411187</v>
      </c>
      <c r="K9" s="33" t="n">
        <v>0.230459732207638</v>
      </c>
      <c r="L9" s="33" t="n">
        <v>0.5047870584351271</v>
      </c>
      <c r="M9" s="33" t="n">
        <v>0.502506199546246</v>
      </c>
      <c r="N9" s="33" t="n">
        <v>0.5037635212601566</v>
      </c>
      <c r="O9" s="33" t="n">
        <v>0.5156905278380333</v>
      </c>
      <c r="P9" s="33" t="n">
        <v>0.5173750394375085</v>
      </c>
      <c r="Q9" s="33" t="n">
        <v>0.5214657953511456</v>
      </c>
      <c r="R9" s="34" t="n">
        <v>0.5215</v>
      </c>
      <c r="S9" s="34" t="n">
        <v>0.5215</v>
      </c>
      <c r="T9" s="34" t="n">
        <v>0.5215</v>
      </c>
      <c r="U9" s="34" t="n">
        <v>0.5215</v>
      </c>
      <c r="V9" s="34" t="n">
        <v>0.5215</v>
      </c>
      <c r="W9" s="34" t="n">
        <v>0.5215</v>
      </c>
      <c r="X9" s="34" t="n">
        <v>0.5215</v>
      </c>
      <c r="Y9" s="34" t="n">
        <v>0.5215</v>
      </c>
    </row>
    <row r="10" ht="14" customHeight="1">
      <c r="A10" s="27" t="inlineStr">
        <is>
          <t>OPEX DRIVERS</t>
        </is>
      </c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>
      <c r="A11" s="14" t="inlineStr">
        <is>
          <t>R&amp;D ($mm)</t>
        </is>
      </c>
      <c r="B11" s="18" t="n">
        <v>449</v>
      </c>
      <c r="C11" s="18" t="n">
        <v>448.1</v>
      </c>
      <c r="D11" s="18" t="n">
        <v>443.1</v>
      </c>
      <c r="E11" s="18" t="n">
        <v>480.7</v>
      </c>
      <c r="F11" s="18" t="n">
        <v>474.8</v>
      </c>
      <c r="G11" s="18" t="n">
        <v>481.1</v>
      </c>
      <c r="H11" s="18" t="n">
        <v>459.6</v>
      </c>
      <c r="I11" s="18" t="n">
        <v>476.1</v>
      </c>
      <c r="J11" s="18" t="n">
        <v>486.7</v>
      </c>
      <c r="K11" s="18" t="n">
        <v>488.6</v>
      </c>
      <c r="L11" s="18" t="n">
        <v>499</v>
      </c>
      <c r="M11" s="18" t="n">
        <v>507.7</v>
      </c>
      <c r="N11" s="18" t="n">
        <v>519</v>
      </c>
      <c r="O11" s="18" t="n">
        <v>512.5</v>
      </c>
      <c r="P11" s="18" t="n">
        <v>536</v>
      </c>
      <c r="Q11" s="18" t="n">
        <v>652.3</v>
      </c>
      <c r="R11" s="32" t="n">
        <v>652.3</v>
      </c>
      <c r="S11" s="32" t="n">
        <v>652.3</v>
      </c>
      <c r="T11" s="32" t="n">
        <v>652.3</v>
      </c>
      <c r="U11" s="32" t="n">
        <v>652.3</v>
      </c>
      <c r="V11" s="32" t="n">
        <v>652.3</v>
      </c>
      <c r="W11" s="32" t="n">
        <v>652.3</v>
      </c>
      <c r="X11" s="32" t="n">
        <v>652.3</v>
      </c>
      <c r="Y11" s="32" t="n">
        <v>652.3</v>
      </c>
    </row>
    <row r="12">
      <c r="A12" s="30" t="inlineStr">
        <is>
          <t xml:space="preserve">  R&amp;D % of Revenue</t>
        </is>
      </c>
      <c r="B12" s="33" t="n">
        <v>0.296</v>
      </c>
      <c r="C12" s="33" t="n">
        <v>0.2915</v>
      </c>
      <c r="D12" s="33" t="n">
        <v>0.3124</v>
      </c>
      <c r="E12" s="33" t="n">
        <v>0.3637</v>
      </c>
      <c r="F12" s="33" t="n">
        <v>0.3541</v>
      </c>
      <c r="G12" s="33" t="n">
        <v>0.3391</v>
      </c>
      <c r="H12" s="33" t="n">
        <v>0.3222</v>
      </c>
      <c r="I12" s="33" t="n">
        <v>0.4101</v>
      </c>
      <c r="J12" s="33" t="n">
        <v>0.3824</v>
      </c>
      <c r="K12" s="33" t="n">
        <v>0.3223</v>
      </c>
      <c r="L12" s="33" t="n">
        <v>0.2746</v>
      </c>
      <c r="M12" s="33" t="n">
        <v>0.2679</v>
      </c>
      <c r="N12" s="33" t="n">
        <v>0.2587</v>
      </c>
      <c r="O12" s="33" t="n">
        <v>0.247</v>
      </c>
      <c r="P12" s="33" t="n">
        <v>0.2416</v>
      </c>
      <c r="Q12" s="33" t="n">
        <v>0.2698</v>
      </c>
      <c r="R12" s="34" t="n">
        <v>0.2698</v>
      </c>
      <c r="S12" s="34" t="n">
        <v>0.2698</v>
      </c>
      <c r="T12" s="34" t="n">
        <v>0.2698</v>
      </c>
      <c r="U12" s="34" t="n">
        <v>0.2698</v>
      </c>
      <c r="V12" s="34" t="n">
        <v>0.2698</v>
      </c>
      <c r="W12" s="34" t="n">
        <v>0.2698</v>
      </c>
      <c r="X12" s="34" t="n">
        <v>0.2698</v>
      </c>
      <c r="Y12" s="34" t="n">
        <v>0.2698</v>
      </c>
    </row>
    <row r="13">
      <c r="A13" s="14" t="inlineStr">
        <is>
          <t>SG&amp;A ($mm)</t>
        </is>
      </c>
      <c r="B13" s="18" t="n">
        <v>211.7</v>
      </c>
      <c r="C13" s="18" t="n">
        <v>207.8</v>
      </c>
      <c r="D13" s="18" t="n">
        <v>203.4</v>
      </c>
      <c r="E13" s="18" t="n">
        <v>199</v>
      </c>
      <c r="F13" s="18" t="n">
        <v>210</v>
      </c>
      <c r="G13" s="18" t="n">
        <v>213</v>
      </c>
      <c r="H13" s="18" t="n">
        <v>212</v>
      </c>
      <c r="I13" s="18" t="n">
        <v>199.9</v>
      </c>
      <c r="J13" s="18" t="n">
        <v>197.3</v>
      </c>
      <c r="K13" s="18" t="n">
        <v>205.3</v>
      </c>
      <c r="L13" s="18" t="n">
        <v>195.7</v>
      </c>
      <c r="M13" s="18" t="n">
        <v>186.4</v>
      </c>
      <c r="N13" s="18" t="n">
        <v>192.8</v>
      </c>
      <c r="O13" s="18" t="n">
        <v>189.9</v>
      </c>
      <c r="P13" s="18" t="n">
        <v>198</v>
      </c>
      <c r="Q13" s="18" t="n">
        <v>258.4</v>
      </c>
      <c r="R13" s="32" t="n">
        <v>258.4</v>
      </c>
      <c r="S13" s="32" t="n">
        <v>258.4</v>
      </c>
      <c r="T13" s="32" t="n">
        <v>258.4</v>
      </c>
      <c r="U13" s="32" t="n">
        <v>258.4</v>
      </c>
      <c r="V13" s="32" t="n">
        <v>258.4</v>
      </c>
      <c r="W13" s="32" t="n">
        <v>258.4</v>
      </c>
      <c r="X13" s="32" t="n">
        <v>258.4</v>
      </c>
      <c r="Y13" s="32" t="n">
        <v>258.4</v>
      </c>
    </row>
    <row r="14">
      <c r="A14" s="30" t="inlineStr">
        <is>
          <t xml:space="preserve">  SG&amp;A % of Revenue</t>
        </is>
      </c>
      <c r="B14" s="33" t="n">
        <v>0.1396</v>
      </c>
      <c r="C14" s="33" t="n">
        <v>0.1352</v>
      </c>
      <c r="D14" s="33" t="n">
        <v>0.1434</v>
      </c>
      <c r="E14" s="33" t="n">
        <v>0.1506</v>
      </c>
      <c r="F14" s="33" t="n">
        <v>0.1566</v>
      </c>
      <c r="G14" s="33" t="n">
        <v>0.1501</v>
      </c>
      <c r="H14" s="33" t="n">
        <v>0.1486</v>
      </c>
      <c r="I14" s="33" t="n">
        <v>0.1722</v>
      </c>
      <c r="J14" s="33" t="n">
        <v>0.155</v>
      </c>
      <c r="K14" s="33" t="n">
        <v>0.1354</v>
      </c>
      <c r="L14" s="33" t="n">
        <v>0.1077</v>
      </c>
      <c r="M14" s="33" t="n">
        <v>0.0983</v>
      </c>
      <c r="N14" s="33" t="n">
        <v>0.0961</v>
      </c>
      <c r="O14" s="33" t="n">
        <v>0.0915</v>
      </c>
      <c r="P14" s="33" t="n">
        <v>0.0892</v>
      </c>
      <c r="Q14" s="33" t="n">
        <v>0.1069</v>
      </c>
      <c r="R14" s="34" t="n">
        <v>0.1069</v>
      </c>
      <c r="S14" s="34" t="n">
        <v>0.1069</v>
      </c>
      <c r="T14" s="34" t="n">
        <v>0.1069</v>
      </c>
      <c r="U14" s="34" t="n">
        <v>0.1069</v>
      </c>
      <c r="V14" s="34" t="n">
        <v>0.1069</v>
      </c>
      <c r="W14" s="34" t="n">
        <v>0.1069</v>
      </c>
      <c r="X14" s="34" t="n">
        <v>0.1069</v>
      </c>
      <c r="Y14" s="34" t="n">
        <v>0.1069</v>
      </c>
    </row>
    <row r="15" ht="14" customHeight="1">
      <c r="A15" s="27" t="inlineStr">
        <is>
          <t>D&amp;A &amp; CAPEX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>
      <c r="A16" s="14" t="inlineStr">
        <is>
          <t>Depreciation &amp; Amortization ($mm)</t>
        </is>
      </c>
      <c r="B16" s="18" t="n">
        <v>348.7</v>
      </c>
      <c r="C16" s="18" t="n">
        <v>344.3</v>
      </c>
      <c r="D16" s="18" t="n">
        <v>351.1</v>
      </c>
      <c r="E16" s="18" t="n">
        <v>348.4</v>
      </c>
      <c r="F16" s="18" t="n">
        <v>347.3</v>
      </c>
      <c r="G16" s="18" t="n">
        <v>341.9</v>
      </c>
      <c r="H16" s="18" t="n">
        <v>360.1</v>
      </c>
      <c r="I16" s="18" t="n">
        <v>337.5</v>
      </c>
      <c r="J16" s="18" t="n">
        <v>352</v>
      </c>
      <c r="K16" s="18" t="n">
        <v>341.5</v>
      </c>
      <c r="L16" s="18" t="n">
        <v>325.9</v>
      </c>
      <c r="M16" s="18" t="n">
        <v>329.9</v>
      </c>
      <c r="N16" s="18" t="n">
        <v>327.8</v>
      </c>
      <c r="O16" s="18" t="n">
        <v>315.9</v>
      </c>
      <c r="P16" s="18" t="n">
        <v>317</v>
      </c>
      <c r="Q16" s="18" t="n">
        <v>320.6</v>
      </c>
      <c r="R16" s="32" t="n">
        <v>320.6</v>
      </c>
      <c r="S16" s="32" t="n">
        <v>320.6</v>
      </c>
      <c r="T16" s="32" t="n">
        <v>320.6</v>
      </c>
      <c r="U16" s="32" t="n">
        <v>320.6</v>
      </c>
      <c r="V16" s="32" t="n">
        <v>320.6</v>
      </c>
      <c r="W16" s="32" t="n">
        <v>320.6</v>
      </c>
      <c r="X16" s="32" t="n">
        <v>320.6</v>
      </c>
      <c r="Y16" s="32" t="n">
        <v>320.6</v>
      </c>
    </row>
    <row r="17">
      <c r="A17" s="14" t="inlineStr">
        <is>
          <t>Capital Expenditures ($mm)</t>
        </is>
      </c>
      <c r="B17" s="18" t="n">
        <v>-72.59999999999999</v>
      </c>
      <c r="C17" s="18" t="n">
        <v>-42.7</v>
      </c>
      <c r="D17" s="18" t="n">
        <v>-54</v>
      </c>
      <c r="E17" s="18" t="n">
        <v>-99.8</v>
      </c>
      <c r="F17" s="18" t="n">
        <v>-111.1</v>
      </c>
      <c r="G17" s="18" t="n">
        <v>-54.4</v>
      </c>
      <c r="H17" s="18" t="n">
        <v>-71</v>
      </c>
      <c r="I17" s="18" t="n">
        <v>-91.5</v>
      </c>
      <c r="J17" s="18" t="n">
        <v>-48.2</v>
      </c>
      <c r="K17" s="18" t="n">
        <v>-75</v>
      </c>
      <c r="L17" s="18" t="n">
        <v>-69.90000000000001</v>
      </c>
      <c r="M17" s="18" t="n">
        <v>-118.8</v>
      </c>
      <c r="N17" s="18" t="n">
        <v>-47.5</v>
      </c>
      <c r="O17" s="18" t="n">
        <v>-73.5</v>
      </c>
      <c r="P17" s="18" t="n">
        <v>-114.3</v>
      </c>
      <c r="Q17" s="18" t="n">
        <v>-155.7</v>
      </c>
      <c r="R17" s="32" t="n">
        <v>-155.7</v>
      </c>
      <c r="S17" s="32" t="n">
        <v>-155.7</v>
      </c>
      <c r="T17" s="32" t="n">
        <v>-155.7</v>
      </c>
      <c r="U17" s="32" t="n">
        <v>-155.7</v>
      </c>
      <c r="V17" s="32" t="n">
        <v>-155.7</v>
      </c>
      <c r="W17" s="32" t="n">
        <v>-155.7</v>
      </c>
      <c r="X17" s="32" t="n">
        <v>-155.7</v>
      </c>
      <c r="Y17" s="32" t="n">
        <v>-155.7</v>
      </c>
    </row>
    <row r="18">
      <c r="A18" s="30" t="inlineStr">
        <is>
          <t xml:space="preserve">  Capex % of Revenue</t>
        </is>
      </c>
      <c r="B18" s="33" t="n">
        <v>0.0479</v>
      </c>
      <c r="C18" s="33" t="n">
        <v>0.0278</v>
      </c>
      <c r="D18" s="33" t="n">
        <v>0.0381</v>
      </c>
      <c r="E18" s="33" t="n">
        <v>0.0755</v>
      </c>
      <c r="F18" s="33" t="n">
        <v>0.0829</v>
      </c>
      <c r="G18" s="33" t="n">
        <v>0.0383</v>
      </c>
      <c r="H18" s="33" t="n">
        <v>0.0498</v>
      </c>
      <c r="I18" s="33" t="n">
        <v>0.0788</v>
      </c>
      <c r="J18" s="33" t="n">
        <v>0.0379</v>
      </c>
      <c r="K18" s="33" t="n">
        <v>0.0495</v>
      </c>
      <c r="L18" s="33" t="n">
        <v>0.0385</v>
      </c>
      <c r="M18" s="33" t="n">
        <v>0.06270000000000001</v>
      </c>
      <c r="N18" s="33" t="n">
        <v>0.0237</v>
      </c>
      <c r="O18" s="33" t="n">
        <v>0.0354</v>
      </c>
      <c r="P18" s="33" t="n">
        <v>0.0515</v>
      </c>
      <c r="Q18" s="33" t="n">
        <v>0.0644</v>
      </c>
      <c r="R18" s="34" t="n">
        <v>0.0644</v>
      </c>
      <c r="S18" s="34" t="n">
        <v>0.0644</v>
      </c>
      <c r="T18" s="34" t="n">
        <v>0.0644</v>
      </c>
      <c r="U18" s="34" t="n">
        <v>0.0644</v>
      </c>
      <c r="V18" s="34" t="n">
        <v>0.0644</v>
      </c>
      <c r="W18" s="34" t="n">
        <v>0.0644</v>
      </c>
      <c r="X18" s="34" t="n">
        <v>0.0644</v>
      </c>
      <c r="Y18" s="34" t="n">
        <v>0.0644</v>
      </c>
    </row>
    <row r="19" ht="14" customHeight="1">
      <c r="A19" s="27" t="inlineStr">
        <is>
          <t>OTHER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>
      <c r="A20" s="14" t="inlineStr">
        <is>
          <t>Stock-Based Compensation ($mm)</t>
        </is>
      </c>
      <c r="B20" s="18" t="n">
        <v>144.5</v>
      </c>
      <c r="C20" s="18" t="n">
        <v>146.1</v>
      </c>
      <c r="D20" s="18" t="n">
        <v>130.7</v>
      </c>
      <c r="E20" s="18" t="n">
        <v>143.2</v>
      </c>
      <c r="F20" s="18" t="n">
        <v>152.8</v>
      </c>
      <c r="G20" s="18" t="n">
        <v>158.5</v>
      </c>
      <c r="H20" s="18" t="n">
        <v>155.3</v>
      </c>
      <c r="I20" s="18" t="n">
        <v>136.5</v>
      </c>
      <c r="J20" s="18" t="n">
        <v>154.9</v>
      </c>
      <c r="K20" s="18" t="n">
        <v>158.4</v>
      </c>
      <c r="L20" s="18" t="n">
        <v>147.6</v>
      </c>
      <c r="M20" s="18" t="n">
        <v>142.1</v>
      </c>
      <c r="N20" s="18" t="n">
        <v>153.6</v>
      </c>
      <c r="O20" s="18" t="n">
        <v>152.1</v>
      </c>
      <c r="P20" s="18" t="n">
        <v>143</v>
      </c>
      <c r="Q20" s="18" t="n">
        <v>207.6</v>
      </c>
      <c r="R20" s="32" t="n">
        <v>207.6</v>
      </c>
      <c r="S20" s="32" t="n">
        <v>207.6</v>
      </c>
      <c r="T20" s="32" t="n">
        <v>207.6</v>
      </c>
      <c r="U20" s="32" t="n">
        <v>207.6</v>
      </c>
      <c r="V20" s="32" t="n">
        <v>207.6</v>
      </c>
      <c r="W20" s="32" t="n">
        <v>207.6</v>
      </c>
      <c r="X20" s="32" t="n">
        <v>207.6</v>
      </c>
      <c r="Y20" s="32" t="n">
        <v>207.6</v>
      </c>
    </row>
    <row r="21">
      <c r="A21" s="30" t="inlineStr">
        <is>
          <t xml:space="preserve">  SBC % of Revenue</t>
        </is>
      </c>
      <c r="B21" s="33" t="n">
        <v>0.0953</v>
      </c>
      <c r="C21" s="33" t="n">
        <v>0.095</v>
      </c>
      <c r="D21" s="33" t="n">
        <v>0.0921</v>
      </c>
      <c r="E21" s="33" t="n">
        <v>0.1083</v>
      </c>
      <c r="F21" s="33" t="n">
        <v>0.114</v>
      </c>
      <c r="G21" s="33" t="n">
        <v>0.1117</v>
      </c>
      <c r="H21" s="33" t="n">
        <v>0.1089</v>
      </c>
      <c r="I21" s="33" t="n">
        <v>0.1176</v>
      </c>
      <c r="J21" s="33" t="n">
        <v>0.1217</v>
      </c>
      <c r="K21" s="33" t="n">
        <v>0.1045</v>
      </c>
      <c r="L21" s="33" t="n">
        <v>0.08119999999999999</v>
      </c>
      <c r="M21" s="33" t="n">
        <v>0.075</v>
      </c>
      <c r="N21" s="33" t="n">
        <v>0.0766</v>
      </c>
      <c r="O21" s="33" t="n">
        <v>0.0733</v>
      </c>
      <c r="P21" s="33" t="n">
        <v>0.0645</v>
      </c>
      <c r="Q21" s="33" t="n">
        <v>0.0859</v>
      </c>
      <c r="R21" s="34" t="n">
        <v>0.0859</v>
      </c>
      <c r="S21" s="34" t="n">
        <v>0.0859</v>
      </c>
      <c r="T21" s="34" t="n">
        <v>0.0859</v>
      </c>
      <c r="U21" s="34" t="n">
        <v>0.0859</v>
      </c>
      <c r="V21" s="34" t="n">
        <v>0.0859</v>
      </c>
      <c r="W21" s="34" t="n">
        <v>0.0859</v>
      </c>
      <c r="X21" s="34" t="n">
        <v>0.0859</v>
      </c>
      <c r="Y21" s="34" t="n">
        <v>0.0859</v>
      </c>
    </row>
    <row r="22">
      <c r="A22" s="14" t="inlineStr">
        <is>
          <t>Interest Income ($mm)</t>
        </is>
      </c>
      <c r="B22" s="18" t="n">
        <v>0.8</v>
      </c>
      <c r="C22" s="18" t="n">
        <v>1.5</v>
      </c>
      <c r="D22" s="18" t="n">
        <v>2.5</v>
      </c>
      <c r="E22" s="18" t="n">
        <v>2.5</v>
      </c>
      <c r="F22" s="18" t="n">
        <v>1.6</v>
      </c>
      <c r="G22" s="18" t="n">
        <v>1.7</v>
      </c>
      <c r="H22" s="18" t="n">
        <v>3</v>
      </c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32" t="n">
        <v>0</v>
      </c>
      <c r="S22" s="32" t="n">
        <v>0</v>
      </c>
      <c r="T22" s="32" t="n">
        <v>0</v>
      </c>
      <c r="U22" s="32" t="n">
        <v>0</v>
      </c>
      <c r="V22" s="32" t="n">
        <v>0</v>
      </c>
      <c r="W22" s="32" t="n">
        <v>0</v>
      </c>
      <c r="X22" s="32" t="n">
        <v>0</v>
      </c>
      <c r="Y22" s="32" t="n">
        <v>0</v>
      </c>
    </row>
    <row r="23">
      <c r="A23" s="14" t="inlineStr">
        <is>
          <t>Interest Expense ($mm)</t>
        </is>
      </c>
      <c r="B23" s="18" t="n">
        <v>37.4</v>
      </c>
      <c r="C23" s="18" t="n">
        <v>42.4</v>
      </c>
      <c r="D23" s="18" t="n">
        <v>46.9</v>
      </c>
      <c r="E23" s="18" t="n">
        <v>50.5</v>
      </c>
      <c r="F23" s="18" t="n">
        <v>51.9</v>
      </c>
      <c r="G23" s="18" t="n">
        <v>49.6</v>
      </c>
      <c r="H23" s="18" t="n">
        <v>50.9</v>
      </c>
      <c r="I23" s="18" t="n">
        <v>46.8</v>
      </c>
      <c r="J23" s="18" t="n">
        <v>46.5</v>
      </c>
      <c r="K23" s="18" t="n">
        <v>45.6</v>
      </c>
      <c r="L23" s="18" t="n">
        <v>44.1</v>
      </c>
      <c r="M23" s="18" t="n">
        <v>44.8</v>
      </c>
      <c r="N23" s="18" t="n">
        <v>46.8</v>
      </c>
      <c r="O23" s="18" t="n">
        <v>47.9</v>
      </c>
      <c r="P23" s="18" t="n">
        <v>47.8</v>
      </c>
      <c r="Q23" s="18" t="n">
        <v>50</v>
      </c>
      <c r="R23" s="32" t="n">
        <v>50</v>
      </c>
      <c r="S23" s="32" t="n">
        <v>50</v>
      </c>
      <c r="T23" s="32" t="n">
        <v>50</v>
      </c>
      <c r="U23" s="32" t="n">
        <v>50</v>
      </c>
      <c r="V23" s="32" t="n">
        <v>50</v>
      </c>
      <c r="W23" s="32" t="n">
        <v>50</v>
      </c>
      <c r="X23" s="32" t="n">
        <v>50</v>
      </c>
      <c r="Y23" s="32" t="n">
        <v>50</v>
      </c>
    </row>
    <row r="24">
      <c r="A24" s="14" t="inlineStr">
        <is>
          <t>Effective Tax Rate %</t>
        </is>
      </c>
      <c r="B24" s="33" t="n">
        <v>-0.131578947368421</v>
      </c>
      <c r="C24" s="33" t="n">
        <v>0.7963246554364471</v>
      </c>
      <c r="D24" s="33" t="n">
        <v>0.3362068965517241</v>
      </c>
      <c r="E24" s="33" t="n">
        <v>0.2729229444683599</v>
      </c>
      <c r="F24" s="33" t="n">
        <v>0.1752782193958665</v>
      </c>
      <c r="G24" s="33" t="n">
        <v>0.1237333333333333</v>
      </c>
      <c r="H24" s="33" t="n">
        <v>-3.498281786941581</v>
      </c>
      <c r="I24" s="33" t="n">
        <v>-0.08998988877654196</v>
      </c>
      <c r="J24" s="33" t="n">
        <v>-0.3221614227086184</v>
      </c>
      <c r="K24" s="33" t="n">
        <v>0.0988674217188541</v>
      </c>
      <c r="L24" s="33" t="n">
        <v>-0.002002002002002002</v>
      </c>
      <c r="M24" s="33" t="n">
        <v>0.1760074108383511</v>
      </c>
      <c r="N24" s="33" t="n">
        <v>0.1664527171587505</v>
      </c>
      <c r="O24" s="33" t="n">
        <v>0.1417802654148235</v>
      </c>
      <c r="P24" s="33" t="n">
        <v>-0.0379979035639413</v>
      </c>
      <c r="Q24" s="33" t="n">
        <v>0.5858343337334934</v>
      </c>
      <c r="R24" s="34" t="n">
        <v>0.5858</v>
      </c>
      <c r="S24" s="34" t="n">
        <v>0.5858</v>
      </c>
      <c r="T24" s="34" t="n">
        <v>0.5858</v>
      </c>
      <c r="U24" s="34" t="n">
        <v>0.5858</v>
      </c>
      <c r="V24" s="34" t="n">
        <v>0.5858</v>
      </c>
      <c r="W24" s="34" t="n">
        <v>0.5858</v>
      </c>
      <c r="X24" s="34" t="n">
        <v>0.5858</v>
      </c>
      <c r="Y24" s="34" t="n">
        <v>0.5858</v>
      </c>
    </row>
    <row r="25" ht="14" customHeight="1">
      <c r="A25" s="27" t="inlineStr">
        <is>
          <t>SHARES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>
      <c r="A26" s="14" t="inlineStr">
        <is>
          <t>Diluted Shares (mm)</t>
        </is>
      </c>
      <c r="B26" s="25" t="n">
        <v>857.9</v>
      </c>
      <c r="C26" s="25" t="n">
        <v>858.4</v>
      </c>
      <c r="D26" s="25" t="n">
        <v>841.3</v>
      </c>
      <c r="E26" s="25" t="n">
        <v>856.7</v>
      </c>
      <c r="F26" s="25" t="n">
        <v>860.9</v>
      </c>
      <c r="G26" s="25" t="n">
        <v>862.6</v>
      </c>
      <c r="H26" s="25" t="n">
        <v>865</v>
      </c>
      <c r="I26" s="25" t="n">
        <v>865</v>
      </c>
      <c r="J26" s="25" t="n">
        <v>865.7</v>
      </c>
      <c r="K26" s="25" t="n">
        <v>865.7</v>
      </c>
      <c r="L26" s="25" t="n">
        <v>865.6</v>
      </c>
      <c r="M26" s="25" t="n">
        <v>875.6</v>
      </c>
      <c r="N26" s="25" t="n">
        <v>870.4</v>
      </c>
      <c r="O26" s="25" t="n">
        <v>863.7</v>
      </c>
      <c r="P26" s="25" t="n">
        <v>869.1</v>
      </c>
      <c r="Q26" s="25" t="n">
        <v>893.3</v>
      </c>
      <c r="R26" s="35" t="n">
        <v>893.3</v>
      </c>
      <c r="S26" s="35" t="n">
        <v>893.3</v>
      </c>
      <c r="T26" s="35" t="n">
        <v>893.3</v>
      </c>
      <c r="U26" s="35" t="n">
        <v>893.3</v>
      </c>
      <c r="V26" s="35" t="n">
        <v>893.3</v>
      </c>
      <c r="W26" s="35" t="n">
        <v>893.3</v>
      </c>
      <c r="X26" s="35" t="n">
        <v>893.3</v>
      </c>
      <c r="Y26" s="35" t="n">
        <v>893.3</v>
      </c>
    </row>
    <row r="27">
      <c r="A27" s="30" t="inlineStr">
        <is>
          <t xml:space="preserve">  QoQ Share Change (mm)</t>
        </is>
      </c>
      <c r="B27" s="25" t="n"/>
      <c r="C27" s="36">
        <f>C26-B26</f>
        <v/>
      </c>
      <c r="D27" s="36">
        <f>D26-C26</f>
        <v/>
      </c>
      <c r="E27" s="36">
        <f>E26-D26</f>
        <v/>
      </c>
      <c r="F27" s="36">
        <f>F26-E26</f>
        <v/>
      </c>
      <c r="G27" s="36">
        <f>G26-F26</f>
        <v/>
      </c>
      <c r="H27" s="36">
        <f>H26-G26</f>
        <v/>
      </c>
      <c r="I27" s="36">
        <f>I26-H26</f>
        <v/>
      </c>
      <c r="J27" s="36">
        <f>J26-I26</f>
        <v/>
      </c>
      <c r="K27" s="36">
        <f>K26-J26</f>
        <v/>
      </c>
      <c r="L27" s="36">
        <f>L26-K26</f>
        <v/>
      </c>
      <c r="M27" s="36">
        <f>M26-L26</f>
        <v/>
      </c>
      <c r="N27" s="36">
        <f>N26-M26</f>
        <v/>
      </c>
      <c r="O27" s="36">
        <f>O26-N26</f>
        <v/>
      </c>
      <c r="P27" s="36">
        <f>P26-O26</f>
        <v/>
      </c>
      <c r="Q27" s="36">
        <f>Q26-P26</f>
        <v/>
      </c>
      <c r="R27" s="26">
        <f>R26-Q26</f>
        <v/>
      </c>
      <c r="S27" s="26">
        <f>S26-R26</f>
        <v/>
      </c>
      <c r="T27" s="26">
        <f>T26-S26</f>
        <v/>
      </c>
      <c r="U27" s="26">
        <f>U26-T26</f>
        <v/>
      </c>
      <c r="V27" s="26">
        <f>V26-U26</f>
        <v/>
      </c>
      <c r="W27" s="26">
        <f>W26-V26</f>
        <v/>
      </c>
      <c r="X27" s="26">
        <f>X26-W26</f>
        <v/>
      </c>
      <c r="Y27" s="26">
        <f>Y26-X26</f>
        <v/>
      </c>
    </row>
    <row r="28">
      <c r="A28" s="14" t="inlineStr">
        <is>
          <t>Basic Shares (mm)</t>
        </is>
      </c>
      <c r="B28" s="25" t="n">
        <v>850.9</v>
      </c>
      <c r="C28" s="25" t="n">
        <v>852.6</v>
      </c>
      <c r="D28" s="25" t="n">
        <v>854.1</v>
      </c>
      <c r="E28" s="25" t="n">
        <v>856.7</v>
      </c>
      <c r="F28" s="25" t="n">
        <v>860.9</v>
      </c>
      <c r="G28" s="25" t="n">
        <v>862.6</v>
      </c>
      <c r="H28" s="25" t="n">
        <v>865</v>
      </c>
      <c r="I28" s="25" t="n">
        <v>865</v>
      </c>
      <c r="J28" s="25" t="n">
        <v>865.7</v>
      </c>
      <c r="K28" s="25" t="n">
        <v>865.7</v>
      </c>
      <c r="L28" s="25" t="n">
        <v>865.6</v>
      </c>
      <c r="M28" s="25" t="n">
        <v>864.8</v>
      </c>
      <c r="N28" s="25" t="n">
        <v>862.6</v>
      </c>
      <c r="O28" s="25" t="n">
        <v>855.8</v>
      </c>
      <c r="P28" s="25" t="n">
        <v>860.8</v>
      </c>
      <c r="Q28" s="25" t="n">
        <v>882</v>
      </c>
      <c r="R28" s="35" t="n">
        <v>882</v>
      </c>
      <c r="S28" s="35" t="n">
        <v>882</v>
      </c>
      <c r="T28" s="35" t="n">
        <v>882</v>
      </c>
      <c r="U28" s="35" t="n">
        <v>882</v>
      </c>
      <c r="V28" s="35" t="n">
        <v>882</v>
      </c>
      <c r="W28" s="35" t="n">
        <v>882</v>
      </c>
      <c r="X28" s="35" t="n">
        <v>882</v>
      </c>
      <c r="Y28" s="35" t="n">
        <v>882</v>
      </c>
    </row>
    <row r="29" ht="14" customHeight="1">
      <c r="A29" s="27" t="inlineStr">
        <is>
          <t>WORKING CAPITAL DAYS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>
      <c r="A30" s="14" t="inlineStr">
        <is>
          <t>Days Sales Outstanding</t>
        </is>
      </c>
      <c r="B30" s="25" t="n">
        <v>77.5</v>
      </c>
      <c r="C30" s="25" t="n">
        <v>82.3</v>
      </c>
      <c r="D30" s="25" t="n">
        <v>76.5</v>
      </c>
      <c r="E30" s="25" t="n">
        <v>68.90000000000001</v>
      </c>
      <c r="F30" s="25" t="n">
        <v>82.09999999999999</v>
      </c>
      <c r="G30" s="25" t="n">
        <v>77.90000000000001</v>
      </c>
      <c r="H30" s="25" t="n">
        <v>71.5</v>
      </c>
      <c r="I30" s="25" t="n">
        <v>69.09999999999999</v>
      </c>
      <c r="J30" s="25" t="n">
        <v>75.8</v>
      </c>
      <c r="K30" s="25" t="n">
        <v>59.9</v>
      </c>
      <c r="L30" s="25" t="n">
        <v>51.5</v>
      </c>
      <c r="M30" s="25" t="n">
        <v>54.9</v>
      </c>
      <c r="N30" s="25" t="n">
        <v>65.90000000000001</v>
      </c>
      <c r="O30" s="25" t="n">
        <v>67.8</v>
      </c>
      <c r="P30" s="25" t="n">
        <v>89.7</v>
      </c>
      <c r="Q30" s="25" t="n">
        <v>70.40000000000001</v>
      </c>
      <c r="R30" s="35" t="n">
        <v>73.5</v>
      </c>
      <c r="S30" s="35" t="n">
        <v>73.5</v>
      </c>
      <c r="T30" s="35" t="n">
        <v>73.5</v>
      </c>
      <c r="U30" s="35" t="n">
        <v>73.5</v>
      </c>
      <c r="V30" s="35" t="n">
        <v>73.5</v>
      </c>
      <c r="W30" s="35" t="n">
        <v>73.5</v>
      </c>
      <c r="X30" s="35" t="n">
        <v>73.5</v>
      </c>
      <c r="Y30" s="35" t="n">
        <v>73.5</v>
      </c>
    </row>
    <row r="31">
      <c r="A31" s="14" t="inlineStr">
        <is>
          <t>Inventory Days</t>
        </is>
      </c>
      <c r="B31" s="25" t="n">
        <v>113.7</v>
      </c>
      <c r="C31" s="25" t="n">
        <v>114.6</v>
      </c>
      <c r="D31" s="25" t="n">
        <v>130.5</v>
      </c>
      <c r="E31" s="25" t="n">
        <v>122.1</v>
      </c>
      <c r="F31" s="25" t="n">
        <v>112.8</v>
      </c>
      <c r="G31" s="25" t="n">
        <v>98.8</v>
      </c>
      <c r="H31" s="25" t="n">
        <v>103.2</v>
      </c>
      <c r="I31" s="25" t="n">
        <v>118.8</v>
      </c>
      <c r="J31" s="25" t="n">
        <v>108.6</v>
      </c>
      <c r="K31" s="25" t="n">
        <v>67</v>
      </c>
      <c r="L31" s="25" t="n">
        <v>104.1</v>
      </c>
      <c r="M31" s="25" t="n">
        <v>103.4</v>
      </c>
      <c r="N31" s="25" t="n">
        <v>96.09999999999999</v>
      </c>
      <c r="O31" s="25" t="n">
        <v>91.90000000000001</v>
      </c>
      <c r="P31" s="25" t="n">
        <v>118</v>
      </c>
      <c r="Q31" s="25" t="n">
        <v>110.2</v>
      </c>
      <c r="R31" s="35" t="n">
        <v>104</v>
      </c>
      <c r="S31" s="35" t="n">
        <v>104</v>
      </c>
      <c r="T31" s="35" t="n">
        <v>104</v>
      </c>
      <c r="U31" s="35" t="n">
        <v>104</v>
      </c>
      <c r="V31" s="35" t="n">
        <v>104</v>
      </c>
      <c r="W31" s="35" t="n">
        <v>104</v>
      </c>
      <c r="X31" s="35" t="n">
        <v>104</v>
      </c>
      <c r="Y31" s="35" t="n">
        <v>104</v>
      </c>
    </row>
    <row r="32">
      <c r="A32" s="14" t="inlineStr">
        <is>
          <t>Days Payable Outstanding</t>
        </is>
      </c>
      <c r="B32" s="25" t="n">
        <v>61</v>
      </c>
      <c r="C32" s="25" t="n">
        <v>57</v>
      </c>
      <c r="D32" s="25" t="n">
        <v>56.9</v>
      </c>
      <c r="E32" s="25" t="n">
        <v>46.2</v>
      </c>
      <c r="F32" s="25" t="n">
        <v>45.8</v>
      </c>
      <c r="G32" s="25" t="n">
        <v>44</v>
      </c>
      <c r="H32" s="25" t="n">
        <v>49.1</v>
      </c>
      <c r="I32" s="25" t="n">
        <v>46.1</v>
      </c>
      <c r="J32" s="25" t="n">
        <v>60.2</v>
      </c>
      <c r="K32" s="25" t="n">
        <v>42</v>
      </c>
      <c r="L32" s="25" t="n">
        <v>62.9</v>
      </c>
      <c r="M32" s="25" t="n">
        <v>54.3</v>
      </c>
      <c r="N32" s="25" t="n">
        <v>55.8</v>
      </c>
      <c r="O32" s="25" t="n">
        <v>57.4</v>
      </c>
      <c r="P32" s="25" t="n">
        <v>91.3</v>
      </c>
      <c r="Q32" s="25" t="n">
        <v>55.8</v>
      </c>
      <c r="R32" s="35" t="n">
        <v>65.09999999999999</v>
      </c>
      <c r="S32" s="35" t="n">
        <v>65.09999999999999</v>
      </c>
      <c r="T32" s="35" t="n">
        <v>65.09999999999999</v>
      </c>
      <c r="U32" s="35" t="n">
        <v>65.09999999999999</v>
      </c>
      <c r="V32" s="35" t="n">
        <v>65.09999999999999</v>
      </c>
      <c r="W32" s="35" t="n">
        <v>65.09999999999999</v>
      </c>
      <c r="X32" s="35" t="n">
        <v>65.09999999999999</v>
      </c>
      <c r="Y32" s="35" t="n">
        <v>65.09999999999999</v>
      </c>
    </row>
    <row r="33" ht="14" customHeight="1">
      <c r="A33" s="27" t="inlineStr">
        <is>
          <t>DEBT SCHEDULE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>
      <c r="A34" s="14" t="inlineStr">
        <is>
          <t>Short-term Debt ($mm)</t>
        </is>
      </c>
      <c r="B34" s="18" t="n">
        <v>653.5</v>
      </c>
      <c r="C34" s="18" t="n">
        <v>584</v>
      </c>
      <c r="D34" s="18" t="n">
        <v>584.4</v>
      </c>
      <c r="E34" s="18" t="n">
        <v>1517.6</v>
      </c>
      <c r="F34" s="18" t="n">
        <v>1018.6</v>
      </c>
      <c r="G34" s="18" t="n">
        <v>96.3</v>
      </c>
      <c r="H34" s="18" t="n">
        <v>107.3</v>
      </c>
      <c r="I34" s="18" t="n">
        <v>118.3</v>
      </c>
      <c r="J34" s="18" t="n">
        <v>129.3</v>
      </c>
      <c r="K34" s="18" t="n">
        <v>129.4</v>
      </c>
      <c r="L34" s="18" t="n">
        <v>129.5</v>
      </c>
      <c r="M34" s="18" t="n">
        <v>1255.2</v>
      </c>
      <c r="N34" s="18" t="n">
        <v>499.3</v>
      </c>
      <c r="O34" s="18" t="n">
        <v>499.5</v>
      </c>
      <c r="P34" s="18" t="n">
        <v>499.8</v>
      </c>
      <c r="Q34" s="18" t="n">
        <v>0</v>
      </c>
      <c r="R34" s="32" t="n">
        <v>0</v>
      </c>
      <c r="S34" s="32" t="n">
        <v>0</v>
      </c>
      <c r="T34" s="32" t="n">
        <v>0</v>
      </c>
      <c r="U34" s="32" t="n">
        <v>0</v>
      </c>
      <c r="V34" s="32" t="n">
        <v>0</v>
      </c>
      <c r="W34" s="32" t="n">
        <v>0</v>
      </c>
      <c r="X34" s="32" t="n">
        <v>0</v>
      </c>
      <c r="Y34" s="32" t="n">
        <v>0</v>
      </c>
    </row>
    <row r="35">
      <c r="A35" s="14" t="inlineStr">
        <is>
          <t>Long-term Debt ($mm)</t>
        </is>
      </c>
      <c r="B35" s="18" t="n">
        <v>3947.4</v>
      </c>
      <c r="C35" s="18" t="n">
        <v>3927.6</v>
      </c>
      <c r="D35" s="18" t="n">
        <v>3907.7</v>
      </c>
      <c r="E35" s="18" t="n">
        <v>3154.9</v>
      </c>
      <c r="F35" s="18" t="n">
        <v>3134.5</v>
      </c>
      <c r="G35" s="18" t="n">
        <v>4089.6</v>
      </c>
      <c r="H35" s="18" t="n">
        <v>4058.6</v>
      </c>
      <c r="I35" s="18" t="n">
        <v>4027.6</v>
      </c>
      <c r="J35" s="18" t="n">
        <v>3996.5</v>
      </c>
      <c r="K35" s="18" t="n">
        <v>3965.5</v>
      </c>
      <c r="L35" s="18" t="n">
        <v>3934.3</v>
      </c>
      <c r="M35" s="18" t="n">
        <v>2977.4</v>
      </c>
      <c r="N35" s="18" t="n">
        <v>3967.9</v>
      </c>
      <c r="O35" s="18" t="n">
        <v>3969.4</v>
      </c>
      <c r="P35" s="18" t="n">
        <v>3970.8</v>
      </c>
      <c r="Q35" s="18" t="n">
        <v>4961.3</v>
      </c>
      <c r="R35" s="32" t="n">
        <v>4961.3</v>
      </c>
      <c r="S35" s="32" t="n">
        <v>4961.3</v>
      </c>
      <c r="T35" s="32" t="n">
        <v>4961.3</v>
      </c>
      <c r="U35" s="32" t="n">
        <v>4961.3</v>
      </c>
      <c r="V35" s="32" t="n">
        <v>4961.3</v>
      </c>
      <c r="W35" s="32" t="n">
        <v>4961.3</v>
      </c>
      <c r="X35" s="32" t="n">
        <v>4961.3</v>
      </c>
      <c r="Y35" s="32" t="n">
        <v>4961.3</v>
      </c>
    </row>
    <row r="36">
      <c r="A36" s="14" t="inlineStr">
        <is>
          <t>Total Debt ($mm)</t>
        </is>
      </c>
      <c r="B36" s="31">
        <f>B34+B35</f>
        <v/>
      </c>
      <c r="C36" s="31">
        <f>C34+C35</f>
        <v/>
      </c>
      <c r="D36" s="31">
        <f>D34+D35</f>
        <v/>
      </c>
      <c r="E36" s="31">
        <f>E34+E35</f>
        <v/>
      </c>
      <c r="F36" s="31">
        <f>F34+F35</f>
        <v/>
      </c>
      <c r="G36" s="31">
        <f>G34+G35</f>
        <v/>
      </c>
      <c r="H36" s="31">
        <f>H34+H35</f>
        <v/>
      </c>
      <c r="I36" s="31">
        <f>I34+I35</f>
        <v/>
      </c>
      <c r="J36" s="31">
        <f>J34+J35</f>
        <v/>
      </c>
      <c r="K36" s="31">
        <f>K34+K35</f>
        <v/>
      </c>
      <c r="L36" s="31">
        <f>L34+L35</f>
        <v/>
      </c>
      <c r="M36" s="31">
        <f>M34+M35</f>
        <v/>
      </c>
      <c r="N36" s="31">
        <f>N34+N35</f>
        <v/>
      </c>
      <c r="O36" s="31">
        <f>O34+O35</f>
        <v/>
      </c>
      <c r="P36" s="31">
        <f>P34+P35</f>
        <v/>
      </c>
      <c r="Q36" s="31">
        <f>Q34+Q35</f>
        <v/>
      </c>
      <c r="R36" s="19">
        <f>R34+R35</f>
        <v/>
      </c>
      <c r="S36" s="19">
        <f>S34+S35</f>
        <v/>
      </c>
      <c r="T36" s="19">
        <f>T34+T35</f>
        <v/>
      </c>
      <c r="U36" s="19">
        <f>U34+U35</f>
        <v/>
      </c>
      <c r="V36" s="19">
        <f>V34+V35</f>
        <v/>
      </c>
      <c r="W36" s="19">
        <f>W34+W35</f>
        <v/>
      </c>
      <c r="X36" s="19">
        <f>X34+X35</f>
        <v/>
      </c>
      <c r="Y36" s="19">
        <f>Y34+Y35</f>
        <v/>
      </c>
    </row>
  </sheetData>
  <autoFilter ref="A3:Y36"/>
  <mergeCells count="1"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2026-06-03T03:56:55Z</dcterms:created>
  <dcterms:modified xsi:type="dcterms:W3CDTF">2026-06-03T03:56:56Z</dcterms:modified>
</cp:coreProperties>
</file>