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equity_model\output\"/>
    </mc:Choice>
  </mc:AlternateContent>
  <xr:revisionPtr revIDLastSave="0" documentId="13_ncr:1_{80F11800-C084-44BD-AE7A-264E365C3D84}" xr6:coauthVersionLast="47" xr6:coauthVersionMax="47" xr10:uidLastSave="{00000000-0000-0000-0000-000000000000}"/>
  <bookViews>
    <workbookView xWindow="300" yWindow="465" windowWidth="27840" windowHeight="14040" xr2:uid="{00000000-000D-0000-FFFF-FFFF00000000}"/>
  </bookViews>
  <sheets>
    <sheet name="Financials" sheetId="1" r:id="rId1"/>
    <sheet name="Assumptions" sheetId="2" r:id="rId2"/>
  </sheets>
  <definedNames>
    <definedName name="_xlnm._FilterDatabase" localSheetId="1" hidden="1">Assumptions!$A$3:$Y$36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2" l="1"/>
  <c r="X35" i="2"/>
  <c r="W35" i="2"/>
  <c r="V35" i="2"/>
  <c r="U35" i="2"/>
  <c r="T35" i="2"/>
  <c r="S35" i="2"/>
  <c r="R35" i="2"/>
  <c r="T53" i="2"/>
  <c r="Y51" i="2"/>
  <c r="X51" i="2"/>
  <c r="W51" i="2"/>
  <c r="V51" i="2"/>
  <c r="U51" i="2"/>
  <c r="T51" i="2"/>
  <c r="S51" i="2"/>
  <c r="R51" i="2"/>
  <c r="R45" i="2"/>
  <c r="Y44" i="2"/>
  <c r="X44" i="2"/>
  <c r="W44" i="2"/>
  <c r="V44" i="2"/>
  <c r="U44" i="2"/>
  <c r="T44" i="2"/>
  <c r="S44" i="2"/>
  <c r="R44" i="2"/>
  <c r="V36" i="2"/>
  <c r="S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Q7" i="2"/>
  <c r="P7" i="2"/>
  <c r="O7" i="2"/>
  <c r="N7" i="2"/>
  <c r="M7" i="2"/>
  <c r="L7" i="2"/>
  <c r="K7" i="2"/>
  <c r="J7" i="2"/>
  <c r="I7" i="2"/>
  <c r="H7" i="2"/>
  <c r="G7" i="2"/>
  <c r="F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X89" i="1"/>
  <c r="V89" i="1"/>
  <c r="S89" i="1"/>
  <c r="Y87" i="1"/>
  <c r="X87" i="1"/>
  <c r="W87" i="1"/>
  <c r="V87" i="1"/>
  <c r="U87" i="1"/>
  <c r="T87" i="1"/>
  <c r="S87" i="1"/>
  <c r="R87" i="1"/>
  <c r="Y81" i="1"/>
  <c r="X81" i="1"/>
  <c r="W81" i="1"/>
  <c r="V81" i="1"/>
  <c r="U81" i="1"/>
  <c r="T81" i="1"/>
  <c r="S81" i="1"/>
  <c r="R81" i="1"/>
  <c r="Y80" i="1"/>
  <c r="X80" i="1"/>
  <c r="W80" i="1"/>
  <c r="V80" i="1"/>
  <c r="U80" i="1"/>
  <c r="T80" i="1"/>
  <c r="S80" i="1"/>
  <c r="R80" i="1"/>
  <c r="R69" i="1"/>
  <c r="R65" i="1"/>
  <c r="R64" i="1"/>
  <c r="Y63" i="1"/>
  <c r="X63" i="1"/>
  <c r="W63" i="1"/>
  <c r="V63" i="1"/>
  <c r="U63" i="1"/>
  <c r="T63" i="1"/>
  <c r="S63" i="1"/>
  <c r="R63" i="1"/>
  <c r="R61" i="1"/>
  <c r="R60" i="1"/>
  <c r="Y59" i="1"/>
  <c r="X59" i="1"/>
  <c r="W59" i="1"/>
  <c r="V59" i="1"/>
  <c r="U59" i="1"/>
  <c r="T59" i="1"/>
  <c r="S59" i="1"/>
  <c r="R59" i="1"/>
  <c r="R58" i="1"/>
  <c r="R54" i="1"/>
  <c r="R53" i="1"/>
  <c r="R51" i="1"/>
  <c r="Y41" i="1"/>
  <c r="X41" i="1"/>
  <c r="W41" i="1"/>
  <c r="V41" i="1"/>
  <c r="U41" i="1"/>
  <c r="T41" i="1"/>
  <c r="S41" i="1"/>
  <c r="R41" i="1"/>
  <c r="Y37" i="1"/>
  <c r="X37" i="1"/>
  <c r="W37" i="1"/>
  <c r="V37" i="1"/>
  <c r="U37" i="1"/>
  <c r="T37" i="1"/>
  <c r="S37" i="1"/>
  <c r="R37" i="1"/>
  <c r="Y36" i="1"/>
  <c r="X36" i="1"/>
  <c r="W36" i="1"/>
  <c r="V36" i="1"/>
  <c r="U36" i="1"/>
  <c r="T36" i="1"/>
  <c r="S36" i="1"/>
  <c r="R36" i="1"/>
  <c r="Y32" i="1"/>
  <c r="X32" i="1"/>
  <c r="W32" i="1"/>
  <c r="V32" i="1"/>
  <c r="U32" i="1"/>
  <c r="T32" i="1"/>
  <c r="S32" i="1"/>
  <c r="R32" i="1"/>
  <c r="Y29" i="1"/>
  <c r="X29" i="1"/>
  <c r="W29" i="1"/>
  <c r="V29" i="1"/>
  <c r="U29" i="1"/>
  <c r="T29" i="1"/>
  <c r="S29" i="1"/>
  <c r="R29" i="1"/>
  <c r="Y27" i="1"/>
  <c r="X27" i="1"/>
  <c r="W27" i="1"/>
  <c r="V27" i="1"/>
  <c r="U27" i="1"/>
  <c r="T27" i="1"/>
  <c r="S27" i="1"/>
  <c r="R27" i="1"/>
  <c r="Y23" i="1"/>
  <c r="X23" i="1"/>
  <c r="W23" i="1"/>
  <c r="V23" i="1"/>
  <c r="U23" i="1"/>
  <c r="T23" i="1"/>
  <c r="S23" i="1"/>
  <c r="R23" i="1"/>
  <c r="Y22" i="1"/>
  <c r="X22" i="1"/>
  <c r="W22" i="1"/>
  <c r="V22" i="1"/>
  <c r="U22" i="1"/>
  <c r="T22" i="1"/>
  <c r="S22" i="1"/>
  <c r="R22" i="1"/>
  <c r="B14" i="1"/>
  <c r="B10" i="1"/>
  <c r="B8" i="1"/>
  <c r="B7" i="1"/>
  <c r="B6" i="1"/>
  <c r="T23" i="2" l="1"/>
  <c r="T28" i="1" s="1"/>
  <c r="W53" i="2"/>
  <c r="W23" i="2" s="1"/>
  <c r="W28" i="1" s="1"/>
  <c r="U53" i="2"/>
  <c r="U23" i="2" s="1"/>
  <c r="U28" i="1" s="1"/>
  <c r="W46" i="2"/>
  <c r="W5" i="2" s="1"/>
  <c r="S46" i="2"/>
  <c r="S5" i="2" s="1"/>
  <c r="R46" i="2"/>
  <c r="R5" i="2" s="1"/>
  <c r="U89" i="1"/>
  <c r="Y53" i="2"/>
  <c r="Y23" i="2" s="1"/>
  <c r="X53" i="2"/>
  <c r="X23" i="2" s="1"/>
  <c r="X28" i="1" s="1"/>
  <c r="V53" i="2"/>
  <c r="V23" i="2" s="1"/>
  <c r="V28" i="1" s="1"/>
  <c r="S53" i="2"/>
  <c r="S23" i="2" s="1"/>
  <c r="R53" i="2"/>
  <c r="R23" i="2" s="1"/>
  <c r="S45" i="2"/>
  <c r="T45" i="2" s="1"/>
  <c r="U45" i="2" s="1"/>
  <c r="V45" i="2" s="1"/>
  <c r="W45" i="2" s="1"/>
  <c r="X45" i="2" s="1"/>
  <c r="Y45" i="2" s="1"/>
  <c r="Y89" i="1"/>
  <c r="T89" i="1"/>
  <c r="Y36" i="2"/>
  <c r="X36" i="2"/>
  <c r="W36" i="2"/>
  <c r="U36" i="2"/>
  <c r="T36" i="2"/>
  <c r="S28" i="1"/>
  <c r="R36" i="2"/>
  <c r="R28" i="1"/>
  <c r="W89" i="1"/>
  <c r="R89" i="1"/>
  <c r="S69" i="1"/>
  <c r="T69" i="1" s="1"/>
  <c r="U69" i="1" s="1"/>
  <c r="V69" i="1" s="1"/>
  <c r="W69" i="1" s="1"/>
  <c r="X69" i="1" s="1"/>
  <c r="Y69" i="1" s="1"/>
  <c r="S65" i="1"/>
  <c r="T65" i="1" s="1"/>
  <c r="U65" i="1" s="1"/>
  <c r="V65" i="1" s="1"/>
  <c r="W65" i="1" s="1"/>
  <c r="X65" i="1" s="1"/>
  <c r="Y65" i="1" s="1"/>
  <c r="S64" i="1"/>
  <c r="T64" i="1" s="1"/>
  <c r="U64" i="1" s="1"/>
  <c r="V64" i="1" s="1"/>
  <c r="W64" i="1" s="1"/>
  <c r="X64" i="1" s="1"/>
  <c r="Y64" i="1" s="1"/>
  <c r="S61" i="1"/>
  <c r="T61" i="1" s="1"/>
  <c r="U61" i="1" s="1"/>
  <c r="V61" i="1" s="1"/>
  <c r="W61" i="1" s="1"/>
  <c r="X61" i="1" s="1"/>
  <c r="Y61" i="1" s="1"/>
  <c r="S60" i="1"/>
  <c r="T60" i="1" s="1"/>
  <c r="U60" i="1" s="1"/>
  <c r="V60" i="1" s="1"/>
  <c r="W60" i="1" s="1"/>
  <c r="X60" i="1" s="1"/>
  <c r="Y60" i="1" s="1"/>
  <c r="S54" i="1"/>
  <c r="T54" i="1" s="1"/>
  <c r="U54" i="1" s="1"/>
  <c r="V54" i="1" s="1"/>
  <c r="W54" i="1" s="1"/>
  <c r="X54" i="1" s="1"/>
  <c r="Y54" i="1" s="1"/>
  <c r="S53" i="1"/>
  <c r="T53" i="1" s="1"/>
  <c r="U53" i="1" s="1"/>
  <c r="V53" i="1" s="1"/>
  <c r="W53" i="1" s="1"/>
  <c r="X53" i="1" s="1"/>
  <c r="Y53" i="1" s="1"/>
  <c r="S51" i="1"/>
  <c r="T51" i="1" s="1"/>
  <c r="U51" i="1" s="1"/>
  <c r="V51" i="1" s="1"/>
  <c r="W51" i="1" s="1"/>
  <c r="X51" i="1" s="1"/>
  <c r="Y51" i="1" s="1"/>
  <c r="S58" i="1"/>
  <c r="T58" i="1" s="1"/>
  <c r="U58" i="1" s="1"/>
  <c r="V58" i="1" s="1"/>
  <c r="W58" i="1" s="1"/>
  <c r="X58" i="1" s="1"/>
  <c r="Y58" i="1" s="1"/>
  <c r="T24" i="1"/>
  <c r="Y24" i="1"/>
  <c r="W24" i="1"/>
  <c r="U24" i="1"/>
  <c r="R24" i="1"/>
  <c r="X24" i="1"/>
  <c r="V24" i="1"/>
  <c r="S24" i="1"/>
  <c r="B9" i="1"/>
  <c r="R18" i="1" l="1"/>
  <c r="R6" i="2"/>
  <c r="S6" i="2"/>
  <c r="X46" i="2"/>
  <c r="X5" i="2" s="1"/>
  <c r="X6" i="2" s="1"/>
  <c r="V46" i="2"/>
  <c r="V5" i="2" s="1"/>
  <c r="U46" i="2"/>
  <c r="U5" i="2" s="1"/>
  <c r="T46" i="2"/>
  <c r="T5" i="2" s="1"/>
  <c r="T6" i="2" s="1"/>
  <c r="Y46" i="2"/>
  <c r="Y5" i="2" s="1"/>
  <c r="Y28" i="1"/>
  <c r="R7" i="2"/>
  <c r="S7" i="2"/>
  <c r="S18" i="1"/>
  <c r="B12" i="1"/>
  <c r="B13" i="1"/>
  <c r="B11" i="1"/>
  <c r="R19" i="1" l="1"/>
  <c r="R49" i="1"/>
  <c r="R82" i="1" s="1"/>
  <c r="W6" i="2"/>
  <c r="V6" i="2"/>
  <c r="U6" i="2"/>
  <c r="Y6" i="2"/>
  <c r="R20" i="1"/>
  <c r="T7" i="2"/>
  <c r="T18" i="1"/>
  <c r="S19" i="1"/>
  <c r="S49" i="1"/>
  <c r="R57" i="1" l="1"/>
  <c r="R50" i="1"/>
  <c r="R83" i="1" s="1"/>
  <c r="R52" i="1"/>
  <c r="R55" i="1" s="1"/>
  <c r="R25" i="1"/>
  <c r="R21" i="1"/>
  <c r="S20" i="1"/>
  <c r="U7" i="2"/>
  <c r="U18" i="1"/>
  <c r="T19" i="1"/>
  <c r="T49" i="1"/>
  <c r="S57" i="1"/>
  <c r="S50" i="1"/>
  <c r="S82" i="1"/>
  <c r="R26" i="1"/>
  <c r="R30" i="1"/>
  <c r="R39" i="1"/>
  <c r="R62" i="1" l="1"/>
  <c r="R66" i="1" s="1"/>
  <c r="R84" i="1"/>
  <c r="R73" i="1"/>
  <c r="R74" i="1" s="1"/>
  <c r="S83" i="1"/>
  <c r="R71" i="1"/>
  <c r="R70" i="1"/>
  <c r="S21" i="1"/>
  <c r="S25" i="1"/>
  <c r="V7" i="2"/>
  <c r="V18" i="1"/>
  <c r="U19" i="1"/>
  <c r="U49" i="1"/>
  <c r="T57" i="1"/>
  <c r="T50" i="1"/>
  <c r="T83" i="1" s="1"/>
  <c r="T82" i="1"/>
  <c r="S62" i="1"/>
  <c r="S66" i="1" s="1"/>
  <c r="S84" i="1"/>
  <c r="R31" i="1"/>
  <c r="R40" i="1"/>
  <c r="S52" i="1"/>
  <c r="S55" i="1" s="1"/>
  <c r="S73" i="1"/>
  <c r="S74" i="1" s="1"/>
  <c r="T20" i="1"/>
  <c r="T52" i="1" l="1"/>
  <c r="T55" i="1" s="1"/>
  <c r="U20" i="1"/>
  <c r="S26" i="1"/>
  <c r="S39" i="1"/>
  <c r="S30" i="1"/>
  <c r="R42" i="1"/>
  <c r="R43" i="1" s="1"/>
  <c r="W7" i="2"/>
  <c r="W18" i="1"/>
  <c r="V49" i="1"/>
  <c r="V19" i="1"/>
  <c r="U57" i="1"/>
  <c r="U50" i="1"/>
  <c r="U83" i="1" s="1"/>
  <c r="U25" i="1"/>
  <c r="U21" i="1"/>
  <c r="U52" i="1"/>
  <c r="U55" i="1" s="1"/>
  <c r="U82" i="1"/>
  <c r="T62" i="1"/>
  <c r="T66" i="1" s="1"/>
  <c r="T84" i="1"/>
  <c r="S71" i="1"/>
  <c r="S70" i="1"/>
  <c r="T25" i="1"/>
  <c r="T21" i="1"/>
  <c r="T73" i="1"/>
  <c r="T74" i="1" s="1"/>
  <c r="R33" i="1"/>
  <c r="T71" i="1" l="1"/>
  <c r="S40" i="1"/>
  <c r="U73" i="1"/>
  <c r="U74" i="1" s="1"/>
  <c r="S31" i="1"/>
  <c r="X7" i="2"/>
  <c r="X18" i="1"/>
  <c r="W49" i="1"/>
  <c r="W19" i="1"/>
  <c r="V82" i="1"/>
  <c r="V57" i="1"/>
  <c r="V50" i="1"/>
  <c r="V83" i="1" s="1"/>
  <c r="U62" i="1"/>
  <c r="U66" i="1" s="1"/>
  <c r="U84" i="1"/>
  <c r="U26" i="1"/>
  <c r="U30" i="1"/>
  <c r="U39" i="1"/>
  <c r="U71" i="1"/>
  <c r="T26" i="1"/>
  <c r="T30" i="1"/>
  <c r="T39" i="1"/>
  <c r="R79" i="1"/>
  <c r="R85" i="1" s="1"/>
  <c r="R68" i="1"/>
  <c r="R35" i="1"/>
  <c r="R34" i="1"/>
  <c r="T70" i="1"/>
  <c r="V20" i="1"/>
  <c r="S33" i="1" l="1"/>
  <c r="S42" i="1"/>
  <c r="S43" i="1" s="1"/>
  <c r="W20" i="1"/>
  <c r="Y7" i="2"/>
  <c r="Y18" i="1"/>
  <c r="X19" i="1"/>
  <c r="X49" i="1"/>
  <c r="W82" i="1"/>
  <c r="W57" i="1"/>
  <c r="W50" i="1"/>
  <c r="W83" i="1" s="1"/>
  <c r="V62" i="1"/>
  <c r="V66" i="1" s="1"/>
  <c r="V84" i="1"/>
  <c r="U31" i="1"/>
  <c r="U40" i="1"/>
  <c r="T31" i="1"/>
  <c r="T40" i="1"/>
  <c r="R92" i="1"/>
  <c r="R94" i="1"/>
  <c r="V25" i="1"/>
  <c r="V21" i="1"/>
  <c r="V73" i="1"/>
  <c r="V74" i="1" s="1"/>
  <c r="V52" i="1"/>
  <c r="V55" i="1" s="1"/>
  <c r="U70" i="1"/>
  <c r="S68" i="1" l="1"/>
  <c r="S79" i="1"/>
  <c r="S85" i="1" s="1"/>
  <c r="S35" i="1"/>
  <c r="S34" i="1"/>
  <c r="W21" i="1"/>
  <c r="W25" i="1"/>
  <c r="U33" i="1"/>
  <c r="U42" i="1"/>
  <c r="U43" i="1" s="1"/>
  <c r="W52" i="1"/>
  <c r="W55" i="1" s="1"/>
  <c r="T33" i="1"/>
  <c r="T42" i="1"/>
  <c r="T43" i="1" s="1"/>
  <c r="X20" i="1"/>
  <c r="Y49" i="1"/>
  <c r="Y19" i="1"/>
  <c r="X57" i="1"/>
  <c r="X50" i="1"/>
  <c r="X83" i="1" s="1"/>
  <c r="X52" i="1"/>
  <c r="X55" i="1" s="1"/>
  <c r="X82" i="1"/>
  <c r="W62" i="1"/>
  <c r="W66" i="1" s="1"/>
  <c r="W84" i="1"/>
  <c r="W26" i="1"/>
  <c r="W30" i="1"/>
  <c r="V26" i="1"/>
  <c r="V30" i="1"/>
  <c r="V39" i="1"/>
  <c r="V71" i="1"/>
  <c r="V70" i="1"/>
  <c r="W73" i="1"/>
  <c r="W74" i="1" s="1"/>
  <c r="U79" i="1" l="1"/>
  <c r="U85" i="1" s="1"/>
  <c r="W39" i="1"/>
  <c r="U35" i="1"/>
  <c r="U34" i="1"/>
  <c r="T68" i="1"/>
  <c r="U68" i="1" s="1"/>
  <c r="S92" i="1"/>
  <c r="S94" i="1"/>
  <c r="W71" i="1"/>
  <c r="X21" i="1"/>
  <c r="X25" i="1"/>
  <c r="X73" i="1"/>
  <c r="X74" i="1" s="1"/>
  <c r="T34" i="1"/>
  <c r="T35" i="1"/>
  <c r="T79" i="1"/>
  <c r="T85" i="1" s="1"/>
  <c r="Y82" i="1"/>
  <c r="Y57" i="1"/>
  <c r="Y50" i="1"/>
  <c r="Y83" i="1" s="1"/>
  <c r="X62" i="1"/>
  <c r="X66" i="1" s="1"/>
  <c r="X84" i="1"/>
  <c r="X71" i="1"/>
  <c r="W31" i="1"/>
  <c r="V31" i="1"/>
  <c r="V40" i="1"/>
  <c r="Y20" i="1"/>
  <c r="W70" i="1"/>
  <c r="U92" i="1" l="1"/>
  <c r="U94" i="1"/>
  <c r="W40" i="1"/>
  <c r="X26" i="1"/>
  <c r="V33" i="1"/>
  <c r="V42" i="1"/>
  <c r="V43" i="1" s="1"/>
  <c r="X30" i="1"/>
  <c r="X39" i="1"/>
  <c r="T94" i="1"/>
  <c r="T92" i="1"/>
  <c r="Y62" i="1"/>
  <c r="Y66" i="1" s="1"/>
  <c r="Y84" i="1"/>
  <c r="Y25" i="1"/>
  <c r="Y21" i="1"/>
  <c r="W42" i="1"/>
  <c r="W43" i="1" s="1"/>
  <c r="Y52" i="1"/>
  <c r="Y55" i="1" s="1"/>
  <c r="X70" i="1"/>
  <c r="Y73" i="1"/>
  <c r="Y74" i="1" s="1"/>
  <c r="W33" i="1"/>
  <c r="V68" i="1" l="1"/>
  <c r="V34" i="1"/>
  <c r="V35" i="1"/>
  <c r="V79" i="1"/>
  <c r="V85" i="1" s="1"/>
  <c r="X31" i="1"/>
  <c r="X40" i="1"/>
  <c r="Y26" i="1"/>
  <c r="Y30" i="1"/>
  <c r="Y39" i="1"/>
  <c r="Y71" i="1"/>
  <c r="Y70" i="1"/>
  <c r="W79" i="1"/>
  <c r="W85" i="1" s="1"/>
  <c r="W35" i="1"/>
  <c r="W34" i="1"/>
  <c r="W68" i="1" l="1"/>
  <c r="X42" i="1"/>
  <c r="X43" i="1" s="1"/>
  <c r="X33" i="1"/>
  <c r="V92" i="1"/>
  <c r="V94" i="1"/>
  <c r="Y31" i="1"/>
  <c r="Y40" i="1"/>
  <c r="W92" i="1"/>
  <c r="W94" i="1"/>
  <c r="X34" i="1" l="1"/>
  <c r="X68" i="1"/>
  <c r="X79" i="1"/>
  <c r="X85" i="1" s="1"/>
  <c r="X35" i="1"/>
  <c r="Y33" i="1"/>
  <c r="Y42" i="1"/>
  <c r="Y43" i="1" s="1"/>
  <c r="X92" i="1" l="1"/>
  <c r="X94" i="1"/>
  <c r="Y79" i="1"/>
  <c r="Y85" i="1" s="1"/>
  <c r="Y35" i="1"/>
  <c r="Y34" i="1"/>
  <c r="Y68" i="1"/>
  <c r="Y92" i="1" l="1"/>
  <c r="Y94" i="1"/>
</calcChain>
</file>

<file path=xl/sharedStrings.xml><?xml version="1.0" encoding="utf-8"?>
<sst xmlns="http://schemas.openxmlformats.org/spreadsheetml/2006/main" count="269" uniqueCount="171">
  <si>
    <t>SMCI — Equity Research Model</t>
  </si>
  <si>
    <t>All figures in $mm unless noted  |  Blue = forecast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</si>
  <si>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</si>
  <si>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</si>
  <si>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</si>
  <si>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</si>
  <si>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</si>
  <si>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</si>
  <si>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</si>
  <si>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</si>
  <si>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</si>
  <si>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</si>
  <si>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</si>
  <si>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</si>
  <si>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</si>
  <si>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</si>
  <si>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</si>
  <si>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</si>
  <si>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Q4FY26E</t>
  </si>
  <si>
    <t>Q1FY27E</t>
  </si>
  <si>
    <t>Q2FY27E</t>
  </si>
  <si>
    <t>Q3FY27E</t>
  </si>
  <si>
    <t>Q4FY27E</t>
  </si>
  <si>
    <t>Q1FY28E</t>
  </si>
  <si>
    <t>Q2FY28E</t>
  </si>
  <si>
    <t>Q3FY28E</t>
  </si>
  <si>
    <t>Stock</t>
  </si>
  <si>
    <t>Current Stock Price</t>
  </si>
  <si>
    <t>Market Cap ($mm)</t>
  </si>
  <si>
    <t>Cash ($mm)</t>
  </si>
  <si>
    <t>Debt ($mm)</t>
  </si>
  <si>
    <t>Enterprise Value ($mm)</t>
  </si>
  <si>
    <t>Trailing P/E</t>
  </si>
  <si>
    <t>Trailing EV/EBIT</t>
  </si>
  <si>
    <t>Trailing EV/EBITDA</t>
  </si>
  <si>
    <t>Trailing EV/FCFE</t>
  </si>
  <si>
    <t>EPS Yield</t>
  </si>
  <si>
    <t>INCOME STATEMENT</t>
  </si>
  <si>
    <t>Total Revenue</t>
  </si>
  <si>
    <t>Cost of Revenue</t>
  </si>
  <si>
    <t>Gross Profit</t>
  </si>
  <si>
    <t>-- Gross Margin %</t>
  </si>
  <si>
    <t>Research &amp; Development</t>
  </si>
  <si>
    <t>Sales, General &amp; Administrative</t>
  </si>
  <si>
    <t>Total Operating Expenses</t>
  </si>
  <si>
    <t>Operating Income (EBIT)</t>
  </si>
  <si>
    <t>-- Operating Margin %</t>
  </si>
  <si>
    <t>Interest Income</t>
  </si>
  <si>
    <t>Interest Expense</t>
  </si>
  <si>
    <t>Other Income (Expense), net</t>
  </si>
  <si>
    <t>Pretax Income</t>
  </si>
  <si>
    <t>Income Tax Expense</t>
  </si>
  <si>
    <t>-- Effective Tax Rate %</t>
  </si>
  <si>
    <t>Net Income</t>
  </si>
  <si>
    <t>EPS (Basic)</t>
  </si>
  <si>
    <t>EPS (Diluted)</t>
  </si>
  <si>
    <t>Shares (Basic, mm)</t>
  </si>
  <si>
    <t>Shares (Diluted, mm)</t>
  </si>
  <si>
    <t>NON-GAAP KPIs</t>
  </si>
  <si>
    <t>Clean EBIT</t>
  </si>
  <si>
    <t>Clean EBITDA</t>
  </si>
  <si>
    <t>Depreciation &amp; Amortization</t>
  </si>
  <si>
    <t>Normalized Earnings</t>
  </si>
  <si>
    <t>Clean EPS</t>
  </si>
  <si>
    <t>BALANCE SHEET</t>
  </si>
  <si>
    <t>ASSETS</t>
  </si>
  <si>
    <t>Cash &amp; Equivalents</t>
  </si>
  <si>
    <t>Accounts Receivable, net</t>
  </si>
  <si>
    <t>Inventories</t>
  </si>
  <si>
    <t>Prepaid Expenses &amp; Other Current Assets</t>
  </si>
  <si>
    <t>Total Current Assets</t>
  </si>
  <si>
    <t>PP&amp;E, net</t>
  </si>
  <si>
    <t>Other Long-term Assets</t>
  </si>
  <si>
    <t>Total Assets</t>
  </si>
  <si>
    <t>LIABILITIES</t>
  </si>
  <si>
    <t>Accounts Payable</t>
  </si>
  <si>
    <t>Accrued Liabilities</t>
  </si>
  <si>
    <t>Short-term Debt</t>
  </si>
  <si>
    <t>Current Portion of LT Debt</t>
  </si>
  <si>
    <t>Deferred Revenue (Current)</t>
  </si>
  <si>
    <t>Total Current Liabilities</t>
  </si>
  <si>
    <t>Long-term Debt</t>
  </si>
  <si>
    <t>Long-term Deferred Revenue</t>
  </si>
  <si>
    <t>Other Long-term Liabilities</t>
  </si>
  <si>
    <t>Total Liabilities</t>
  </si>
  <si>
    <t>EQUITY</t>
  </si>
  <si>
    <t>Retained Earnings (Accumulated Deficit)</t>
  </si>
  <si>
    <t>Accumulated OCI</t>
  </si>
  <si>
    <t>Total Stockholders' Equity</t>
  </si>
  <si>
    <t>Total Liabilities &amp; Equity</t>
  </si>
  <si>
    <t>WORKING CAPITAL</t>
  </si>
  <si>
    <t>Net Operating Working Capital</t>
  </si>
  <si>
    <t>Change in NOWC</t>
  </si>
  <si>
    <t>CASH FLOW STATEMENT</t>
  </si>
  <si>
    <t>OPERATING ACTIVITIES</t>
  </si>
  <si>
    <t>Stock-Based Compensation</t>
  </si>
  <si>
    <t>Change in Accounts Receivable</t>
  </si>
  <si>
    <t>Change in Inventories</t>
  </si>
  <si>
    <t>Change in Accounts Payable</t>
  </si>
  <si>
    <t>Total Operating Cash Flow</t>
  </si>
  <si>
    <t>INVESTING ACTIVITIES</t>
  </si>
  <si>
    <t>Capital Expenditures</t>
  </si>
  <si>
    <t>Purchases of Investments</t>
  </si>
  <si>
    <t>Total Investing Cash Flow</t>
  </si>
  <si>
    <t>FINANCING ACTIVITIES</t>
  </si>
  <si>
    <t>Total Financing Cash Flow</t>
  </si>
  <si>
    <t>Net Change in Cash</t>
  </si>
  <si>
    <t>FREE CASH FLOW</t>
  </si>
  <si>
    <t>FCFE</t>
  </si>
  <si>
    <t>SMCI — Model Assumptions</t>
  </si>
  <si>
    <t>Yellow = editable forecast inputs  |  Blue shading = forecast period</t>
  </si>
  <si>
    <t>REVENUE DRIVERS</t>
  </si>
  <si>
    <t>Total Revenue ($mm)</t>
  </si>
  <si>
    <t xml:space="preserve">  Revenue Growth % (QoQ)</t>
  </si>
  <si>
    <t xml:space="preserve">  Revenue Growth % (YoY)</t>
  </si>
  <si>
    <t>MARGIN DRIVERS</t>
  </si>
  <si>
    <t>Gross Margin %</t>
  </si>
  <si>
    <t>OPEX DRIVERS</t>
  </si>
  <si>
    <t>R&amp;D ($mm)</t>
  </si>
  <si>
    <t xml:space="preserve">  R&amp;D % of Revenue</t>
  </si>
  <si>
    <t>SG&amp;A ($mm)</t>
  </si>
  <si>
    <t xml:space="preserve">  SG&amp;A % of Revenue</t>
  </si>
  <si>
    <t>D&amp;A &amp; CAPEX</t>
  </si>
  <si>
    <t>Depreciation &amp; Amortization ($mm)</t>
  </si>
  <si>
    <t>Capital Expenditures ($mm)</t>
  </si>
  <si>
    <t xml:space="preserve">  Capex % of Revenue</t>
  </si>
  <si>
    <t>OTHER</t>
  </si>
  <si>
    <t>Stock-Based Compensation ($mm)</t>
  </si>
  <si>
    <t xml:space="preserve">  SBC % of Revenue</t>
  </si>
  <si>
    <t>Interest Income ($mm)</t>
  </si>
  <si>
    <t>Interest Expense ($mm)</t>
  </si>
  <si>
    <t>Effective Tax Rate %</t>
  </si>
  <si>
    <t>SHARES</t>
  </si>
  <si>
    <t>Diluted Shares (mm)</t>
  </si>
  <si>
    <t xml:space="preserve">  QoQ Share Change (mm)</t>
  </si>
  <si>
    <t>Basic Shares (mm)</t>
  </si>
  <si>
    <t>WORKING CAPITAL DAYS</t>
  </si>
  <si>
    <t>Days Sales Outstanding</t>
  </si>
  <si>
    <t>Inventory Days</t>
  </si>
  <si>
    <t>Days Payable Outstanding</t>
  </si>
  <si>
    <t>DEBT SCHEDULE</t>
  </si>
  <si>
    <t>Short-term Debt ($mm)</t>
  </si>
  <si>
    <t>Long-term Debt ($mm)</t>
  </si>
  <si>
    <t>Total Debt ($mm)</t>
  </si>
  <si>
    <t>--- SMCI BOTTOM-UP REVENUE BUILD (assumptions-architect) ---</t>
  </si>
  <si>
    <t>Source: SMCI 10-K product disaggregation (Systems vs Subsystems &amp; Accessories). Units &amp; ASP are ANALYST ESTIMATES (SMCI discloses no units); AI-platform mix per company commentary.</t>
  </si>
  <si>
    <t>Server &amp; Storage Systems - Units (000s)</t>
  </si>
  <si>
    <t>EST units; +3% QoQ vol</t>
  </si>
  <si>
    <t>Server &amp; Storage Systems - ASP ($000s)</t>
  </si>
  <si>
    <t>EST blended ASP; +1% QoQ</t>
  </si>
  <si>
    <t xml:space="preserve">  AI/GPU-platform mix % of systems</t>
  </si>
  <si>
    <t>EST AI share of systems rev</t>
  </si>
  <si>
    <t>Server &amp; Storage Systems Revenue ($mm)</t>
  </si>
  <si>
    <t>= Units x ASP</t>
  </si>
  <si>
    <t>Subsystems &amp; Accessories Revenue ($mm)</t>
  </si>
  <si>
    <t>= prior x (1+-1.0%) QoQ</t>
  </si>
  <si>
    <t>Total Revenue - bottom-up ($mm)</t>
  </si>
  <si>
    <t>= Systems + Subsystems</t>
  </si>
  <si>
    <t>--- DEBT SCHEDULE (bottom-up, refined) ---</t>
  </si>
  <si>
    <t>Current Portion of LT Debt ($mm)</t>
  </si>
  <si>
    <t>EST hold latest maturities</t>
  </si>
  <si>
    <t>Long-term Debt balance ($mm)</t>
  </si>
  <si>
    <t>EST hold LT principal flat</t>
  </si>
  <si>
    <t>Total Debt - bottom-up ($mm)</t>
  </si>
  <si>
    <t>= Current + LT balance</t>
  </si>
  <si>
    <t>Blended interest rate (%/qtr)</t>
  </si>
  <si>
    <t>EST ~1.25%/qtr (~5% annualized)</t>
  </si>
  <si>
    <t>Interest Expense - modeled ($mm)</t>
  </si>
  <si>
    <t>= Total Debt x rate</t>
  </si>
  <si>
    <t>AI-mix GM: stabilize ~9.5%-&gt;10.0%</t>
  </si>
  <si>
    <t>EST ~$45mm/qtr tapering -4%/qtr as cash deployed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</si>
</sst>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\$0.00"/>
    <numFmt numFmtId="167" formatCode="0.0\x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8"/>
      <color rgb="FF595959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10"/>
      <color rgb="FF000000"/>
      <name val="Calibri"/>
    </font>
    <font>
      <b/>
      <sz val="9"/>
      <color rgb="FF404040"/>
      <name val="Calibri"/>
    </font>
    <font>
      <sz val="10"/>
      <color rgb="FF1F3864"/>
      <name val="Calibri"/>
    </font>
    <font>
      <i/>
      <sz val="9"/>
      <color rgb="FF404040"/>
      <name val="Calibri"/>
    </font>
    <font>
      <b/>
      <sz val="13"/>
      <color rgb="FFFFFFFF"/>
      <name val="Calibri"/>
    </font>
    <font>
      <b/>
      <sz val="9"/>
      <color rgb="FF1F3864"/>
      <name val="Calibri"/>
    </font>
    <font>
      <sz val="9"/>
      <color rgb="FF1F3864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1F3864"/>
      <name val="Calibri"/>
    </font>
    <font>
      <sz val="9"/>
      <color rgb="FF404040"/>
      <name val="Calibri"/>
    </font>
    <font>
      <i/>
      <sz val="9"/>
      <color rgb="FF5C5C5C"/>
      <name val="Calibri"/>
    </font>
    <font>
      <sz val="10"/>
      <color rgb="FF595959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2E5E8A"/>
      </patternFill>
    </fill>
    <fill>
      <patternFill patternType="solid">
        <fgColor rgb="FFFFFFFF"/>
      </patternFill>
    </fill>
    <fill>
      <patternFill patternType="solid">
        <fgColor rgb="FFEFF6FB"/>
      </patternFill>
    </fill>
    <fill>
      <patternFill patternType="solid">
        <fgColor rgb="FFFFFBE6"/>
      </patternFill>
    </fill>
    <fill>
      <patternFill patternType="solid">
        <fgColor rgb="FFF0F7FF"/>
      </patternFill>
    </fill>
    <fill>
      <patternFill patternType="solid">
        <fgColor rgb="FFF2F2F2"/>
      </patternFill>
    </fill>
    <fill>
      <patternFill patternType="solid">
        <fgColor rgb="FFE8E8E8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F1F5E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166" fontId="10" fillId="8" borderId="1" xfId="0" applyNumberFormat="1" applyFont="1" applyFill="1" applyBorder="1" applyAlignment="1">
      <alignment horizontal="right" vertical="center"/>
    </xf>
    <xf numFmtId="0" fontId="11" fillId="8" borderId="0" xfId="0" applyFont="1" applyFill="1" applyAlignment="1">
      <alignment horizontal="left" vertical="center"/>
    </xf>
    <xf numFmtId="166" fontId="11" fillId="8" borderId="1" xfId="0" applyNumberFormat="1" applyFont="1" applyFill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  <xf numFmtId="167" fontId="10" fillId="8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13" fillId="5" borderId="1" xfId="0" applyNumberFormat="1" applyFont="1" applyFill="1" applyBorder="1" applyAlignment="1">
      <alignment horizontal="right" vertical="center"/>
    </xf>
    <xf numFmtId="3" fontId="14" fillId="6" borderId="1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164" fontId="17" fillId="9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3" fontId="7" fillId="5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0" fillId="0" borderId="0" xfId="0"/>
    <xf numFmtId="0" fontId="9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10" borderId="0" xfId="0" applyFont="1" applyFill="1"/>
    <xf numFmtId="0" fontId="0" fillId="10" borderId="0" xfId="0" applyFill="1"/>
    <xf numFmtId="0" fontId="0" fillId="0" borderId="0" xfId="0" applyFont="1"/>
    <xf numFmtId="0" fontId="19" fillId="0" borderId="0" xfId="0" applyFont="1"/>
    <xf numFmtId="165" fontId="0" fillId="0" borderId="0" xfId="0" applyNumberFormat="1"/>
    <xf numFmtId="165" fontId="0" fillId="11" borderId="0" xfId="0" applyNumberFormat="1" applyFill="1"/>
    <xf numFmtId="3" fontId="0" fillId="0" borderId="0" xfId="0" applyNumberFormat="1"/>
    <xf numFmtId="3" fontId="0" fillId="11" borderId="0" xfId="0" applyNumberFormat="1" applyFill="1"/>
    <xf numFmtId="164" fontId="0" fillId="0" borderId="0" xfId="0" applyNumberFormat="1"/>
    <xf numFmtId="164" fontId="0" fillId="11" borderId="0" xfId="0" applyNumberFormat="1" applyFill="1"/>
    <xf numFmtId="0" fontId="19" fillId="0" borderId="0" xfId="0" quotePrefix="1" applyFont="1"/>
    <xf numFmtId="165" fontId="0" fillId="12" borderId="0" xfId="0" applyNumberFormat="1" applyFill="1"/>
    <xf numFmtId="165" fontId="7" fillId="12" borderId="1" xfId="0" applyNumberFormat="1" applyFont="1" applyFill="1" applyBorder="1" applyAlignment="1">
      <alignment horizontal="right" vertical="center"/>
    </xf>
    <xf numFmtId="164" fontId="5" fillId="12" borderId="1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165" fontId="5" fillId="11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sqref="A1:Y1"/>
    </sheetView>
  </sheetViews>
  <sheetFormatPr defaultRowHeight="15" x14ac:dyDescent="0.25"/>
  <cols>
    <col min="1" max="1" width="38" customWidth="1"/>
    <col min="2" max="25" width="11" customWidth="1"/>
  </cols>
  <sheetData>
    <row r="1" spans="1:25" ht="21.95" customHeight="1" x14ac:dyDescent="0.25">
      <c r="A1" s="36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x14ac:dyDescent="0.25">
      <c r="A2" s="1" t="s">
        <v>1</v>
      </c>
    </row>
    <row r="3" spans="1:25" ht="20.100000000000001" customHeight="1" x14ac:dyDescent="0.25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</row>
    <row r="4" spans="1:25" ht="15" customHeight="1" x14ac:dyDescent="0.25">
      <c r="A4" s="5" t="s">
        <v>26</v>
      </c>
      <c r="B4" s="6"/>
    </row>
    <row r="5" spans="1:25" ht="15" customHeight="1" x14ac:dyDescent="0.25">
      <c r="A5" s="7" t="s">
        <v>27</v>
      </c>
      <c r="B5" s="8">
        <v>47.16</v>
      </c>
    </row>
    <row r="6" spans="1:25" ht="15" customHeight="1" x14ac:dyDescent="0.25">
      <c r="A6" s="7" t="s">
        <v>28</v>
      </c>
      <c r="B6" s="9">
        <f>$B$5*$Q$37</f>
        <v>32643.633239999996</v>
      </c>
    </row>
    <row r="7" spans="1:25" ht="15" customHeight="1" x14ac:dyDescent="0.25">
      <c r="A7" s="7" t="s">
        <v>29</v>
      </c>
      <c r="B7" s="9">
        <f>Q48</f>
        <v>1290.3240000000001</v>
      </c>
    </row>
    <row r="8" spans="1:25" ht="15" customHeight="1" x14ac:dyDescent="0.25">
      <c r="A8" s="7" t="s">
        <v>30</v>
      </c>
      <c r="B8" s="9">
        <f>Q59+Q60+Q63</f>
        <v>8773.1010000000006</v>
      </c>
    </row>
    <row r="9" spans="1:25" ht="15" customHeight="1" x14ac:dyDescent="0.25">
      <c r="A9" s="7" t="s">
        <v>31</v>
      </c>
      <c r="B9" s="9">
        <f>$B$6+$B$8-$B$7</f>
        <v>40126.410239999997</v>
      </c>
    </row>
    <row r="10" spans="1:25" ht="15" customHeight="1" x14ac:dyDescent="0.25">
      <c r="A10" s="7" t="s">
        <v>32</v>
      </c>
      <c r="B10" s="10">
        <f>$B$5/($N$35+$O$35+$P$35+$Q$35)</f>
        <v>24.866860005272873</v>
      </c>
    </row>
    <row r="11" spans="1:25" ht="15" customHeight="1" x14ac:dyDescent="0.25">
      <c r="A11" s="7" t="s">
        <v>33</v>
      </c>
      <c r="B11" s="10">
        <f>$B$9/($N$39+$O$39+$P$39+$Q$39)</f>
        <v>26.55948170951666</v>
      </c>
    </row>
    <row r="12" spans="1:25" ht="15" customHeight="1" x14ac:dyDescent="0.25">
      <c r="A12" s="7" t="s">
        <v>34</v>
      </c>
      <c r="B12" s="10">
        <f>$B$9/($N$40+$O$40+$P$40+$Q$40)</f>
        <v>25.708659679282526</v>
      </c>
    </row>
    <row r="13" spans="1:25" ht="15" customHeight="1" x14ac:dyDescent="0.25">
      <c r="A13" s="7" t="s">
        <v>35</v>
      </c>
      <c r="B13" s="10">
        <f>$B$9/($N$94+$O$94+$P$94+$Q$94)</f>
        <v>-5.4691597580487858</v>
      </c>
    </row>
    <row r="14" spans="1:25" ht="15" customHeight="1" x14ac:dyDescent="0.25">
      <c r="A14" s="7" t="s">
        <v>36</v>
      </c>
      <c r="B14" s="11">
        <f>($N$35+$O$35+$P$35+$Q$35)/($B$5)</f>
        <v>4.0214164546225617E-2</v>
      </c>
    </row>
    <row r="16" spans="1:25" ht="18" customHeight="1" x14ac:dyDescent="0.25">
      <c r="A16" s="34" t="s">
        <v>37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spans="1:25" ht="20.100000000000001" customHeight="1" x14ac:dyDescent="0.25">
      <c r="A17" s="2"/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  <c r="I17" s="3" t="s">
        <v>9</v>
      </c>
      <c r="J17" s="3" t="s">
        <v>10</v>
      </c>
      <c r="K17" s="3" t="s">
        <v>11</v>
      </c>
      <c r="L17" s="3" t="s">
        <v>12</v>
      </c>
      <c r="M17" s="3" t="s">
        <v>13</v>
      </c>
      <c r="N17" s="3" t="s">
        <v>14</v>
      </c>
      <c r="O17" s="3" t="s">
        <v>15</v>
      </c>
      <c r="P17" s="3" t="s">
        <v>16</v>
      </c>
      <c r="Q17" s="3" t="s">
        <v>17</v>
      </c>
      <c r="R17" s="4" t="s">
        <v>18</v>
      </c>
      <c r="S17" s="4" t="s">
        <v>19</v>
      </c>
      <c r="T17" s="4" t="s">
        <v>20</v>
      </c>
      <c r="U17" s="4" t="s">
        <v>21</v>
      </c>
      <c r="V17" s="4" t="s">
        <v>22</v>
      </c>
      <c r="W17" s="4" t="s">
        <v>23</v>
      </c>
      <c r="X17" s="4" t="s">
        <v>24</v>
      </c>
      <c r="Y17" s="4" t="s">
        <v>25</v>
      </c>
    </row>
    <row r="18" spans="1:25" ht="14.1" customHeight="1" x14ac:dyDescent="0.25">
      <c r="A18" s="12" t="s">
        <v>38</v>
      </c>
      <c r="B18" s="13">
        <v>1635.46</v>
      </c>
      <c r="C18" s="13">
        <v>1852.13</v>
      </c>
      <c r="D18" s="13">
        <v>1803.1949999999999</v>
      </c>
      <c r="E18" s="13">
        <v>1283.296</v>
      </c>
      <c r="F18" s="13">
        <v>2184.8609999999999</v>
      </c>
      <c r="G18" s="13">
        <v>2119.672</v>
      </c>
      <c r="H18" s="13">
        <v>3664.924</v>
      </c>
      <c r="I18" s="13">
        <v>3850.0659999999998</v>
      </c>
      <c r="J18" s="13">
        <v>5354.5889999999999</v>
      </c>
      <c r="K18" s="13">
        <v>5937.2560000000003</v>
      </c>
      <c r="L18" s="13">
        <v>5677.9620000000004</v>
      </c>
      <c r="M18" s="13">
        <v>4599.9129999999996</v>
      </c>
      <c r="N18" s="13">
        <v>5756.9110000000001</v>
      </c>
      <c r="O18" s="13">
        <v>5017.79</v>
      </c>
      <c r="P18" s="13">
        <v>12682.491</v>
      </c>
      <c r="Q18" s="13">
        <v>10243.013999999999</v>
      </c>
      <c r="R18" s="14">
        <f>Assumptions!$R$5</f>
        <v>10634.216934</v>
      </c>
      <c r="S18" s="14">
        <f>Assumptions!$S$5</f>
        <v>11040.253488660001</v>
      </c>
      <c r="T18" s="14">
        <f>Assumptions!$T$5</f>
        <v>11464.350033773399</v>
      </c>
      <c r="U18" s="14">
        <f>Assumptions!$U$5</f>
        <v>11907.002643435664</v>
      </c>
      <c r="V18" s="14">
        <f>Assumptions!$V$5</f>
        <v>12364.011796001312</v>
      </c>
      <c r="W18" s="14">
        <f>Assumptions!$W$5</f>
        <v>12843.903974041297</v>
      </c>
      <c r="X18" s="14">
        <f>Assumptions!$X$5</f>
        <v>13338.768264300883</v>
      </c>
      <c r="Y18" s="14">
        <f>Assumptions!$Y$5</f>
        <v>13858.572357657873</v>
      </c>
    </row>
    <row r="19" spans="1:25" ht="14.1" customHeight="1" x14ac:dyDescent="0.25">
      <c r="A19" s="15" t="s">
        <v>39</v>
      </c>
      <c r="B19" s="16">
        <v>1348.116</v>
      </c>
      <c r="C19" s="16">
        <v>1504.595</v>
      </c>
      <c r="D19" s="16">
        <v>1465.7729999999999</v>
      </c>
      <c r="E19" s="16">
        <v>1056.9369999999999</v>
      </c>
      <c r="F19" s="16">
        <v>1813.165</v>
      </c>
      <c r="G19" s="16">
        <v>1765.981</v>
      </c>
      <c r="H19" s="16">
        <v>3100.6019999999999</v>
      </c>
      <c r="I19" s="16">
        <v>3252.6979999999999</v>
      </c>
      <c r="J19" s="16">
        <v>4808.5600000000004</v>
      </c>
      <c r="K19" s="16">
        <v>5161.6760000000004</v>
      </c>
      <c r="L19" s="16">
        <v>5007.9399999999996</v>
      </c>
      <c r="M19" s="16">
        <v>4159.6949999999997</v>
      </c>
      <c r="N19" s="16">
        <v>5212.8090000000002</v>
      </c>
      <c r="O19" s="16">
        <v>4550.4170000000004</v>
      </c>
      <c r="P19" s="16">
        <v>11883.924000000001</v>
      </c>
      <c r="Q19" s="16">
        <v>9224.3340000000007</v>
      </c>
      <c r="R19" s="17">
        <f>$R$18*(1-Assumptions!$R$9)</f>
        <v>9623.9663252700011</v>
      </c>
      <c r="S19" s="17">
        <f>$S$18*(1-Assumptions!$S$9)</f>
        <v>9985.9092804929696</v>
      </c>
      <c r="T19" s="17">
        <f>$T$18*(1-Assumptions!$T$9)</f>
        <v>10363.772430531153</v>
      </c>
      <c r="U19" s="17">
        <f>$U$18*(1-Assumptions!$U$9)</f>
        <v>10757.976888344123</v>
      </c>
      <c r="V19" s="17">
        <f>$V$18*(1-Assumptions!$V$9)</f>
        <v>11158.520645891183</v>
      </c>
      <c r="W19" s="17">
        <f>$W$18*(1-Assumptions!$W$9)</f>
        <v>11578.779432598229</v>
      </c>
      <c r="X19" s="17">
        <f>$X$18*(1-Assumptions!$X$9)</f>
        <v>12011.560822002944</v>
      </c>
      <c r="Y19" s="17">
        <f>$Y$18*(1-Assumptions!$Y$9)</f>
        <v>12472.715121892086</v>
      </c>
    </row>
    <row r="20" spans="1:25" ht="14.1" customHeight="1" x14ac:dyDescent="0.25">
      <c r="A20" s="12" t="s">
        <v>40</v>
      </c>
      <c r="B20" s="13">
        <v>287.34399999999999</v>
      </c>
      <c r="C20" s="13">
        <v>347.53500000000003</v>
      </c>
      <c r="D20" s="13">
        <v>337.42200000000003</v>
      </c>
      <c r="E20" s="13">
        <v>226.35900000000001</v>
      </c>
      <c r="F20" s="13">
        <v>371.69600000000003</v>
      </c>
      <c r="G20" s="13">
        <v>353.69099999999997</v>
      </c>
      <c r="H20" s="13">
        <v>564.322</v>
      </c>
      <c r="I20" s="13">
        <v>597.36800000000005</v>
      </c>
      <c r="J20" s="13">
        <v>546.029</v>
      </c>
      <c r="K20" s="13">
        <v>775.58</v>
      </c>
      <c r="L20" s="13">
        <v>670.02200000000005</v>
      </c>
      <c r="M20" s="13">
        <v>440.21800000000002</v>
      </c>
      <c r="N20" s="13">
        <v>544.10199999999998</v>
      </c>
      <c r="O20" s="13">
        <v>467.37299999999999</v>
      </c>
      <c r="P20" s="13">
        <v>798.56700000000001</v>
      </c>
      <c r="Q20" s="13">
        <v>1018.68</v>
      </c>
      <c r="R20" s="14">
        <f>$R$18-$R$19</f>
        <v>1010.2506087299989</v>
      </c>
      <c r="S20" s="14">
        <f>$S$18-$S$19</f>
        <v>1054.344208167031</v>
      </c>
      <c r="T20" s="14">
        <f>$T$18-$T$19</f>
        <v>1100.5776032422455</v>
      </c>
      <c r="U20" s="14">
        <f>$U$18-$U$19</f>
        <v>1149.0257550915412</v>
      </c>
      <c r="V20" s="14">
        <f>$V$18-$V$19</f>
        <v>1205.4911501101287</v>
      </c>
      <c r="W20" s="14">
        <f>$W$18-$W$19</f>
        <v>1265.1245414430687</v>
      </c>
      <c r="X20" s="14">
        <f>$X$18-$X$19</f>
        <v>1327.2074422979385</v>
      </c>
      <c r="Y20" s="14">
        <f>$Y$18-$Y$19</f>
        <v>1385.8572357657868</v>
      </c>
    </row>
    <row r="21" spans="1:25" ht="14.1" customHeight="1" x14ac:dyDescent="0.25">
      <c r="A21" s="18" t="s">
        <v>41</v>
      </c>
      <c r="B21" s="19">
        <v>0.1756961344208969</v>
      </c>
      <c r="C21" s="19">
        <v>0.1876407163644021</v>
      </c>
      <c r="D21" s="19">
        <v>0.18712452064252619</v>
      </c>
      <c r="E21" s="19">
        <v>0.17638876767324141</v>
      </c>
      <c r="F21" s="19">
        <v>0.17012340830835471</v>
      </c>
      <c r="G21" s="19">
        <v>0.1668611936186353</v>
      </c>
      <c r="H21" s="19">
        <v>0.15397918210582259</v>
      </c>
      <c r="I21" s="19">
        <v>0.15515785963149731</v>
      </c>
      <c r="J21" s="19">
        <v>0.1019740263911945</v>
      </c>
      <c r="K21" s="19">
        <v>0.13062936817950921</v>
      </c>
      <c r="L21" s="19">
        <v>0.11800395987151729</v>
      </c>
      <c r="M21" s="19">
        <v>9.5701375221661819E-2</v>
      </c>
      <c r="N21" s="19">
        <v>9.4512838569156266E-2</v>
      </c>
      <c r="O21" s="19">
        <v>9.3143196506828702E-2</v>
      </c>
      <c r="P21" s="19">
        <v>6.2966100271626455E-2</v>
      </c>
      <c r="Q21" s="19">
        <v>9.9451196688787116E-2</v>
      </c>
      <c r="R21" s="20">
        <f>$R$20/$R$18</f>
        <v>9.4999999999999904E-2</v>
      </c>
      <c r="S21" s="20">
        <f>$S$20/$S$18</f>
        <v>9.5500000000000085E-2</v>
      </c>
      <c r="T21" s="20">
        <f>$T$20/$T$18</f>
        <v>9.5999999999999933E-2</v>
      </c>
      <c r="U21" s="20">
        <f>$U$20/$U$18</f>
        <v>9.6499999999999975E-2</v>
      </c>
      <c r="V21" s="20">
        <f>$V$20/$V$18</f>
        <v>9.7500000000000059E-2</v>
      </c>
      <c r="W21" s="20">
        <f>$W$20/$W$18</f>
        <v>9.8500000000000074E-2</v>
      </c>
      <c r="X21" s="20">
        <f>$X$20/$X$18</f>
        <v>9.9500000000000047E-2</v>
      </c>
      <c r="Y21" s="20">
        <f>$Y$20/$Y$18</f>
        <v>9.9999999999999964E-2</v>
      </c>
    </row>
    <row r="22" spans="1:25" ht="14.1" customHeight="1" x14ac:dyDescent="0.25">
      <c r="A22" s="15" t="s">
        <v>42</v>
      </c>
      <c r="B22" s="16">
        <v>70.790000000000006</v>
      </c>
      <c r="C22" s="16">
        <v>74.242999999999995</v>
      </c>
      <c r="D22" s="16">
        <v>70.7</v>
      </c>
      <c r="E22" s="16">
        <v>77.515000000000001</v>
      </c>
      <c r="F22" s="16">
        <v>84.802000000000007</v>
      </c>
      <c r="G22" s="16">
        <v>111.027</v>
      </c>
      <c r="H22" s="16">
        <v>108.824</v>
      </c>
      <c r="I22" s="16">
        <v>116.226</v>
      </c>
      <c r="J22" s="16">
        <v>127.471</v>
      </c>
      <c r="K22" s="16">
        <v>132.24299999999999</v>
      </c>
      <c r="L22" s="16">
        <v>158.22900000000001</v>
      </c>
      <c r="M22" s="16">
        <v>162.857</v>
      </c>
      <c r="N22" s="16">
        <v>183.221</v>
      </c>
      <c r="O22" s="16">
        <v>173.31399999999999</v>
      </c>
      <c r="P22" s="16">
        <v>180.761</v>
      </c>
      <c r="Q22" s="16">
        <v>215.65899999999999</v>
      </c>
      <c r="R22" s="17">
        <f>Assumptions!$R$11</f>
        <v>215.7</v>
      </c>
      <c r="S22" s="17">
        <f>Assumptions!$S$11</f>
        <v>215.7</v>
      </c>
      <c r="T22" s="17">
        <f>Assumptions!$T$11</f>
        <v>215.7</v>
      </c>
      <c r="U22" s="17">
        <f>Assumptions!$U$11</f>
        <v>215.7</v>
      </c>
      <c r="V22" s="17">
        <f>Assumptions!$V$11</f>
        <v>215.7</v>
      </c>
      <c r="W22" s="17">
        <f>Assumptions!$W$11</f>
        <v>215.7</v>
      </c>
      <c r="X22" s="17">
        <f>Assumptions!$X$11</f>
        <v>215.7</v>
      </c>
      <c r="Y22" s="17">
        <f>Assumptions!$Y$11</f>
        <v>215.7</v>
      </c>
    </row>
    <row r="23" spans="1:25" ht="14.1" customHeight="1" x14ac:dyDescent="0.25">
      <c r="A23" s="15" t="s">
        <v>43</v>
      </c>
      <c r="B23" s="16">
        <v>51.341000000000001</v>
      </c>
      <c r="C23" s="16">
        <v>53.168999999999997</v>
      </c>
      <c r="D23" s="16">
        <v>51.54</v>
      </c>
      <c r="E23" s="16">
        <v>49.762</v>
      </c>
      <c r="F23" s="16">
        <v>60.139000000000003</v>
      </c>
      <c r="G23" s="16">
        <v>70.153999999999996</v>
      </c>
      <c r="H23" s="16">
        <v>84.034000000000006</v>
      </c>
      <c r="I23" s="16">
        <v>102.828</v>
      </c>
      <c r="J23" s="16">
        <v>130.072</v>
      </c>
      <c r="K23" s="16">
        <v>134.13800000000001</v>
      </c>
      <c r="L23" s="16">
        <v>143.16900000000001</v>
      </c>
      <c r="M23" s="16">
        <v>130.58099999999999</v>
      </c>
      <c r="N23" s="16">
        <v>132.49</v>
      </c>
      <c r="O23" s="16">
        <v>111.803</v>
      </c>
      <c r="P23" s="16">
        <v>143.50800000000001</v>
      </c>
      <c r="Q23" s="16">
        <v>177.15299999999999</v>
      </c>
      <c r="R23" s="17">
        <f>Assumptions!$R$13</f>
        <v>177.2</v>
      </c>
      <c r="S23" s="17">
        <f>Assumptions!$S$13</f>
        <v>177.2</v>
      </c>
      <c r="T23" s="17">
        <f>Assumptions!$T$13</f>
        <v>177.2</v>
      </c>
      <c r="U23" s="17">
        <f>Assumptions!$U$13</f>
        <v>177.2</v>
      </c>
      <c r="V23" s="17">
        <f>Assumptions!$V$13</f>
        <v>177.2</v>
      </c>
      <c r="W23" s="17">
        <f>Assumptions!$W$13</f>
        <v>177.2</v>
      </c>
      <c r="X23" s="17">
        <f>Assumptions!$X$13</f>
        <v>177.2</v>
      </c>
      <c r="Y23" s="17">
        <f>Assumptions!$Y$13</f>
        <v>177.2</v>
      </c>
    </row>
    <row r="24" spans="1:25" ht="14.1" customHeight="1" x14ac:dyDescent="0.25">
      <c r="A24" s="12" t="s">
        <v>44</v>
      </c>
      <c r="B24" s="13">
        <v>122.131</v>
      </c>
      <c r="C24" s="13">
        <v>127.41200000000001</v>
      </c>
      <c r="D24" s="13">
        <v>122.24</v>
      </c>
      <c r="E24" s="13">
        <v>127.277</v>
      </c>
      <c r="F24" s="13">
        <v>144.941</v>
      </c>
      <c r="G24" s="13">
        <v>181.18100000000001</v>
      </c>
      <c r="H24" s="13">
        <v>192.858</v>
      </c>
      <c r="I24" s="13">
        <v>219.054</v>
      </c>
      <c r="J24" s="13">
        <v>257.54300000000001</v>
      </c>
      <c r="K24" s="13">
        <v>266.38099999999997</v>
      </c>
      <c r="L24" s="13">
        <v>301.39800000000002</v>
      </c>
      <c r="M24" s="13">
        <v>293.43799999999999</v>
      </c>
      <c r="N24" s="13">
        <v>315.71100000000001</v>
      </c>
      <c r="O24" s="13">
        <v>285.11700000000002</v>
      </c>
      <c r="P24" s="13">
        <v>324.26900000000001</v>
      </c>
      <c r="Q24" s="13">
        <v>392.81200000000001</v>
      </c>
      <c r="R24" s="14">
        <f>$R$22+$R$23</f>
        <v>392.9</v>
      </c>
      <c r="S24" s="14">
        <f>$S$22+$S$23</f>
        <v>392.9</v>
      </c>
      <c r="T24" s="14">
        <f>$T$22+$T$23</f>
        <v>392.9</v>
      </c>
      <c r="U24" s="14">
        <f>$U$22+$U$23</f>
        <v>392.9</v>
      </c>
      <c r="V24" s="14">
        <f>$V$22+$V$23</f>
        <v>392.9</v>
      </c>
      <c r="W24" s="14">
        <f>$W$22+$W$23</f>
        <v>392.9</v>
      </c>
      <c r="X24" s="14">
        <f>$X$22+$X$23</f>
        <v>392.9</v>
      </c>
      <c r="Y24" s="14">
        <f>$Y$22+$Y$23</f>
        <v>392.9</v>
      </c>
    </row>
    <row r="25" spans="1:25" ht="14.1" customHeight="1" x14ac:dyDescent="0.25">
      <c r="A25" s="12" t="s">
        <v>45</v>
      </c>
      <c r="B25" s="13">
        <v>165.21299999999999</v>
      </c>
      <c r="C25" s="13">
        <v>220.12299999999999</v>
      </c>
      <c r="D25" s="13">
        <v>215.18199999999999</v>
      </c>
      <c r="E25" s="13">
        <v>99.081999999999994</v>
      </c>
      <c r="F25" s="13">
        <v>226.755</v>
      </c>
      <c r="G25" s="13">
        <v>172.51</v>
      </c>
      <c r="H25" s="13">
        <v>371.464</v>
      </c>
      <c r="I25" s="13">
        <v>378.31400000000002</v>
      </c>
      <c r="J25" s="13">
        <v>288.48599999999999</v>
      </c>
      <c r="K25" s="13">
        <v>509.19900000000001</v>
      </c>
      <c r="L25" s="13">
        <v>368.62400000000002</v>
      </c>
      <c r="M25" s="13">
        <v>146.78</v>
      </c>
      <c r="N25" s="13">
        <v>228.39099999999999</v>
      </c>
      <c r="O25" s="13">
        <v>182.256</v>
      </c>
      <c r="P25" s="13">
        <v>474.298</v>
      </c>
      <c r="Q25" s="13">
        <v>625.86800000000005</v>
      </c>
      <c r="R25" s="14">
        <f>$R$20-$R$24</f>
        <v>617.35060872999895</v>
      </c>
      <c r="S25" s="14">
        <f>$S$20-$S$24</f>
        <v>661.44420816703098</v>
      </c>
      <c r="T25" s="14">
        <f>$T$20-$T$24</f>
        <v>707.67760324224548</v>
      </c>
      <c r="U25" s="14">
        <f>$U$20-$U$24</f>
        <v>756.12575509154124</v>
      </c>
      <c r="V25" s="14">
        <f>$V$20-$V$24</f>
        <v>812.59115011012875</v>
      </c>
      <c r="W25" s="14">
        <f>$W$20-$W$24</f>
        <v>872.22454144306869</v>
      </c>
      <c r="X25" s="14">
        <f>$X$20-$X$24</f>
        <v>934.30744229793856</v>
      </c>
      <c r="Y25" s="14">
        <f>$Y$20-$Y$24</f>
        <v>992.95723576578678</v>
      </c>
    </row>
    <row r="26" spans="1:25" ht="14.1" customHeight="1" x14ac:dyDescent="0.25">
      <c r="A26" s="18" t="s">
        <v>46</v>
      </c>
      <c r="B26" s="19">
        <v>0.101019285094102</v>
      </c>
      <c r="C26" s="19">
        <v>0.1188485689449445</v>
      </c>
      <c r="D26" s="19">
        <v>0.11933373817030329</v>
      </c>
      <c r="E26" s="19">
        <v>7.7208999326733654E-2</v>
      </c>
      <c r="F26" s="19">
        <v>0.10378463435431361</v>
      </c>
      <c r="G26" s="19">
        <v>8.1385233187021386E-2</v>
      </c>
      <c r="H26" s="19">
        <v>0.1013565356334811</v>
      </c>
      <c r="I26" s="19">
        <v>9.8261692137225715E-2</v>
      </c>
      <c r="J26" s="19">
        <v>5.3876403959295473E-2</v>
      </c>
      <c r="K26" s="19">
        <v>8.5763356001492944E-2</v>
      </c>
      <c r="L26" s="19">
        <v>6.4921885704765189E-2</v>
      </c>
      <c r="M26" s="19">
        <v>3.1909299154136178E-2</v>
      </c>
      <c r="N26" s="19">
        <v>3.9672491028608918E-2</v>
      </c>
      <c r="O26" s="19">
        <v>3.6321966443394402E-2</v>
      </c>
      <c r="P26" s="19">
        <v>3.7397858196784838E-2</v>
      </c>
      <c r="Q26" s="19">
        <v>6.1101937378978503E-2</v>
      </c>
      <c r="R26" s="20">
        <f>$R$25/$R$18</f>
        <v>5.8053226914733067E-2</v>
      </c>
      <c r="S26" s="20">
        <f>$S$25/$S$18</f>
        <v>5.9912049016486224E-2</v>
      </c>
      <c r="T26" s="20">
        <f>$T$25/$T$18</f>
        <v>6.1728541187024373E-2</v>
      </c>
      <c r="U26" s="20">
        <f>$U$25/$U$18</f>
        <v>6.350261083618669E-2</v>
      </c>
      <c r="V26" s="20">
        <f>$V$25/$V$18</f>
        <v>6.5722288486729827E-2</v>
      </c>
      <c r="W26" s="20">
        <f>$W$25/$W$18</f>
        <v>6.7909612467199551E-2</v>
      </c>
      <c r="X26" s="20">
        <f>$X$25/$X$18</f>
        <v>7.0044506642975846E-2</v>
      </c>
      <c r="Y26" s="20">
        <f>$Y$25/$Y$18</f>
        <v>7.1649316404305191E-2</v>
      </c>
    </row>
    <row r="27" spans="1:25" ht="14.1" customHeight="1" x14ac:dyDescent="0.25">
      <c r="A27" s="15" t="s">
        <v>47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>
        <v>8.7759999999999998</v>
      </c>
      <c r="M27" s="16">
        <v>14.654</v>
      </c>
      <c r="N27" s="16"/>
      <c r="O27" s="16"/>
      <c r="P27" s="16">
        <v>51.042000000000002</v>
      </c>
      <c r="Q27" s="16">
        <v>45.436999999999998</v>
      </c>
      <c r="R27" s="17">
        <f>Assumptions!$R$22</f>
        <v>43.6</v>
      </c>
      <c r="S27" s="17">
        <f>Assumptions!$S$22</f>
        <v>41.9</v>
      </c>
      <c r="T27" s="17">
        <f>Assumptions!$T$22</f>
        <v>40.200000000000003</v>
      </c>
      <c r="U27" s="17">
        <f>Assumptions!$U$22</f>
        <v>38.6</v>
      </c>
      <c r="V27" s="17">
        <f>Assumptions!$V$22</f>
        <v>37</v>
      </c>
      <c r="W27" s="17">
        <f>Assumptions!$W$22</f>
        <v>35.6</v>
      </c>
      <c r="X27" s="17">
        <f>Assumptions!$X$22</f>
        <v>34.1</v>
      </c>
      <c r="Y27" s="17">
        <f>Assumptions!$Y$22</f>
        <v>32.799999999999997</v>
      </c>
    </row>
    <row r="28" spans="1:25" ht="14.1" customHeight="1" x14ac:dyDescent="0.25">
      <c r="A28" s="15" t="s">
        <v>48</v>
      </c>
      <c r="B28" s="16">
        <v>2.9279999999999999</v>
      </c>
      <c r="C28" s="16">
        <v>3.9380000000000002</v>
      </c>
      <c r="D28" s="16">
        <v>1.756</v>
      </c>
      <c r="E28" s="16">
        <v>1.288</v>
      </c>
      <c r="F28" s="16">
        <v>3.5089999999999999</v>
      </c>
      <c r="G28" s="16">
        <v>1.863</v>
      </c>
      <c r="H28" s="16">
        <v>8.1310000000000002</v>
      </c>
      <c r="I28" s="16">
        <v>6.2460000000000004</v>
      </c>
      <c r="J28" s="16"/>
      <c r="K28" s="16"/>
      <c r="L28" s="16"/>
      <c r="M28" s="16"/>
      <c r="N28" s="16"/>
      <c r="O28" s="16"/>
      <c r="P28" s="16"/>
      <c r="Q28" s="16"/>
      <c r="R28" s="17">
        <f>Assumptions!$R$23</f>
        <v>109.66375000000001</v>
      </c>
      <c r="S28" s="17">
        <f>Assumptions!$S$23</f>
        <v>109.66375000000001</v>
      </c>
      <c r="T28" s="17">
        <f>Assumptions!$T$23</f>
        <v>109.66375000000001</v>
      </c>
      <c r="U28" s="17">
        <f>Assumptions!$U$23</f>
        <v>109.66375000000001</v>
      </c>
      <c r="V28" s="17">
        <f>Assumptions!$V$23</f>
        <v>109.66375000000001</v>
      </c>
      <c r="W28" s="17">
        <f>Assumptions!$W$23</f>
        <v>109.66375000000001</v>
      </c>
      <c r="X28" s="17">
        <f>Assumptions!$X$23</f>
        <v>109.66375000000001</v>
      </c>
      <c r="Y28" s="17">
        <f>Assumptions!$Y$23</f>
        <v>109.66375000000001</v>
      </c>
    </row>
    <row r="29" spans="1:25" ht="14.1" customHeight="1" x14ac:dyDescent="0.25">
      <c r="A29" s="15" t="s">
        <v>49</v>
      </c>
      <c r="B29" s="16">
        <v>3.9729999999999999</v>
      </c>
      <c r="C29" s="16">
        <v>8.0540000000000003</v>
      </c>
      <c r="D29" s="16">
        <v>-6.335</v>
      </c>
      <c r="E29" s="16">
        <v>-7.8E-2</v>
      </c>
      <c r="F29" s="16">
        <v>2.0049999999999999</v>
      </c>
      <c r="G29" s="16">
        <v>6.6130000000000004</v>
      </c>
      <c r="H29" s="16">
        <v>-7.8860000000000001</v>
      </c>
      <c r="I29" s="16">
        <v>10.035</v>
      </c>
      <c r="J29" s="16">
        <v>13.955</v>
      </c>
      <c r="K29" s="16">
        <v>7.2329999999999997</v>
      </c>
      <c r="L29" s="16">
        <v>12.959</v>
      </c>
      <c r="M29" s="16">
        <v>-18.312999999999999</v>
      </c>
      <c r="N29" s="16">
        <v>16.616</v>
      </c>
      <c r="O29" s="16">
        <v>51.226999999999997</v>
      </c>
      <c r="P29" s="16"/>
      <c r="Q29" s="16"/>
      <c r="R29" s="17">
        <f>0</f>
        <v>0</v>
      </c>
      <c r="S29" s="17">
        <f>0</f>
        <v>0</v>
      </c>
      <c r="T29" s="17">
        <f>0</f>
        <v>0</v>
      </c>
      <c r="U29" s="17">
        <f>0</f>
        <v>0</v>
      </c>
      <c r="V29" s="17">
        <f>0</f>
        <v>0</v>
      </c>
      <c r="W29" s="17">
        <f>0</f>
        <v>0</v>
      </c>
      <c r="X29" s="17">
        <f>0</f>
        <v>0</v>
      </c>
      <c r="Y29" s="17">
        <f>0</f>
        <v>0</v>
      </c>
    </row>
    <row r="30" spans="1:25" ht="14.1" customHeight="1" x14ac:dyDescent="0.25">
      <c r="A30" s="15" t="s">
        <v>50</v>
      </c>
      <c r="B30" s="16">
        <v>166.58199999999999</v>
      </c>
      <c r="C30" s="16">
        <v>223.35</v>
      </c>
      <c r="D30" s="16">
        <v>205.74</v>
      </c>
      <c r="E30" s="16">
        <v>96.703000000000003</v>
      </c>
      <c r="F30" s="16">
        <v>224.87100000000001</v>
      </c>
      <c r="G30" s="16">
        <v>177.21</v>
      </c>
      <c r="H30" s="16">
        <v>357.471</v>
      </c>
      <c r="I30" s="16">
        <v>382.476</v>
      </c>
      <c r="J30" s="16">
        <v>298.803</v>
      </c>
      <c r="K30" s="16">
        <v>499.05900000000003</v>
      </c>
      <c r="L30" s="16">
        <v>377.565</v>
      </c>
      <c r="M30" s="16">
        <v>114.62</v>
      </c>
      <c r="N30" s="16">
        <v>214.46100000000001</v>
      </c>
      <c r="O30" s="16">
        <v>208.446</v>
      </c>
      <c r="P30" s="16">
        <v>499.71499999999997</v>
      </c>
      <c r="Q30" s="16">
        <v>610.274</v>
      </c>
      <c r="R30" s="17">
        <f>$R$25+$R$27-$R$28+$R$29</f>
        <v>551.28685872999893</v>
      </c>
      <c r="S30" s="17">
        <f>$S$25+$S$27-$S$28+$S$29</f>
        <v>593.68045816703091</v>
      </c>
      <c r="T30" s="17">
        <f>$T$25+$T$27-$T$28+$T$29</f>
        <v>638.21385324224548</v>
      </c>
      <c r="U30" s="17">
        <f>$U$25+$U$27-$U$28+$U$29</f>
        <v>685.06200509154121</v>
      </c>
      <c r="V30" s="17">
        <f>$V$25+$V$27-$V$28+$V$29</f>
        <v>739.9274001101287</v>
      </c>
      <c r="W30" s="17">
        <f>$W$25+$W$27-$W$28+$W$29</f>
        <v>798.16079144306866</v>
      </c>
      <c r="X30" s="17">
        <f>$X$25+$X$27-$X$28+$X$29</f>
        <v>858.74369229793854</v>
      </c>
      <c r="Y30" s="17">
        <f>$Y$25+$Y$27-$Y$28+$Y$29</f>
        <v>916.0934857657868</v>
      </c>
    </row>
    <row r="31" spans="1:25" ht="14.1" customHeight="1" x14ac:dyDescent="0.25">
      <c r="A31" s="15" t="s">
        <v>51</v>
      </c>
      <c r="B31" s="16">
        <v>25.76</v>
      </c>
      <c r="C31" s="16">
        <v>38.933999999999997</v>
      </c>
      <c r="D31" s="16">
        <v>29.573</v>
      </c>
      <c r="E31" s="16">
        <v>10.856999999999999</v>
      </c>
      <c r="F31" s="16">
        <v>31.302</v>
      </c>
      <c r="G31" s="16">
        <v>20.215</v>
      </c>
      <c r="H31" s="16">
        <v>61.503</v>
      </c>
      <c r="I31" s="16">
        <v>-19.983000000000001</v>
      </c>
      <c r="J31" s="16">
        <v>1.5589999999999999</v>
      </c>
      <c r="K31" s="16">
        <v>74.731999999999999</v>
      </c>
      <c r="L31" s="16">
        <v>56.969000000000001</v>
      </c>
      <c r="M31" s="16">
        <v>5.843</v>
      </c>
      <c r="N31" s="16">
        <v>19.306999999999999</v>
      </c>
      <c r="O31" s="16">
        <v>40.161000000000001</v>
      </c>
      <c r="P31" s="16">
        <v>99.150999999999996</v>
      </c>
      <c r="Q31" s="16">
        <v>126.887</v>
      </c>
      <c r="R31" s="17">
        <f>$R$30*Assumptions!$R$24</f>
        <v>114.61253792996678</v>
      </c>
      <c r="S31" s="17">
        <f>$S$30*Assumptions!$S$24</f>
        <v>123.42616725292572</v>
      </c>
      <c r="T31" s="17">
        <f>$T$30*Assumptions!$T$24</f>
        <v>132.68466008906285</v>
      </c>
      <c r="U31" s="17">
        <f>$U$30*Assumptions!$U$24</f>
        <v>142.42439085853141</v>
      </c>
      <c r="V31" s="17">
        <f>$V$30*Assumptions!$V$24</f>
        <v>153.83090648289576</v>
      </c>
      <c r="W31" s="17">
        <f>$W$30*Assumptions!$W$24</f>
        <v>165.93762854101396</v>
      </c>
      <c r="X31" s="17">
        <f>$X$30*Assumptions!$X$24</f>
        <v>178.53281362874142</v>
      </c>
      <c r="Y31" s="17">
        <f>$Y$30*Assumptions!$Y$24</f>
        <v>190.45583569070709</v>
      </c>
    </row>
    <row r="32" spans="1:25" ht="14.1" customHeight="1" x14ac:dyDescent="0.25">
      <c r="A32" s="18" t="s">
        <v>52</v>
      </c>
      <c r="B32" s="19">
        <v>0.15463855638664439</v>
      </c>
      <c r="C32" s="19">
        <v>0.1743183344526528</v>
      </c>
      <c r="D32" s="19">
        <v>0.14373967142996011</v>
      </c>
      <c r="E32" s="19">
        <v>0.1122715944696648</v>
      </c>
      <c r="F32" s="19">
        <v>0.13919980788985681</v>
      </c>
      <c r="G32" s="19">
        <v>0.11407369787258061</v>
      </c>
      <c r="H32" s="19">
        <v>0.17205032016583161</v>
      </c>
      <c r="I32" s="19">
        <v>-5.2246415461362293E-2</v>
      </c>
      <c r="J32" s="19">
        <v>5.217484429540533E-3</v>
      </c>
      <c r="K32" s="19">
        <v>0.14974582163631961</v>
      </c>
      <c r="L32" s="19">
        <v>0.15088527803159721</v>
      </c>
      <c r="M32" s="19">
        <v>5.0977141860059333E-2</v>
      </c>
      <c r="N32" s="19">
        <v>9.0025692317018E-2</v>
      </c>
      <c r="O32" s="19">
        <v>0.19266860481851419</v>
      </c>
      <c r="P32" s="19">
        <v>0.1984150966050649</v>
      </c>
      <c r="Q32" s="19">
        <v>0.20791808269728021</v>
      </c>
      <c r="R32" s="20">
        <f>Assumptions!$R$24</f>
        <v>0.2079</v>
      </c>
      <c r="S32" s="20">
        <f>Assumptions!$S$24</f>
        <v>0.2079</v>
      </c>
      <c r="T32" s="20">
        <f>Assumptions!$T$24</f>
        <v>0.2079</v>
      </c>
      <c r="U32" s="20">
        <f>Assumptions!$U$24</f>
        <v>0.2079</v>
      </c>
      <c r="V32" s="20">
        <f>Assumptions!$V$24</f>
        <v>0.2079</v>
      </c>
      <c r="W32" s="20">
        <f>Assumptions!$W$24</f>
        <v>0.2079</v>
      </c>
      <c r="X32" s="20">
        <f>Assumptions!$X$24</f>
        <v>0.2079</v>
      </c>
      <c r="Y32" s="20">
        <f>Assumptions!$Y$24</f>
        <v>0.2079</v>
      </c>
    </row>
    <row r="33" spans="1:25" ht="14.1" customHeight="1" x14ac:dyDescent="0.25">
      <c r="A33" s="12" t="s">
        <v>53</v>
      </c>
      <c r="B33" s="13">
        <v>140.822</v>
      </c>
      <c r="C33" s="13">
        <v>184.416</v>
      </c>
      <c r="D33" s="13">
        <v>176.167</v>
      </c>
      <c r="E33" s="13">
        <v>85.846000000000004</v>
      </c>
      <c r="F33" s="13">
        <v>193.56899999999999</v>
      </c>
      <c r="G33" s="13">
        <v>156.995</v>
      </c>
      <c r="H33" s="13">
        <v>295.96800000000002</v>
      </c>
      <c r="I33" s="13">
        <v>402.459</v>
      </c>
      <c r="J33" s="13">
        <v>297.24400000000003</v>
      </c>
      <c r="K33" s="13">
        <v>424.327</v>
      </c>
      <c r="L33" s="13">
        <v>320.596</v>
      </c>
      <c r="M33" s="13">
        <v>108.777</v>
      </c>
      <c r="N33" s="13">
        <v>195.154</v>
      </c>
      <c r="O33" s="13">
        <v>168.285</v>
      </c>
      <c r="P33" s="13">
        <v>400.56400000000002</v>
      </c>
      <c r="Q33" s="13">
        <v>483.387</v>
      </c>
      <c r="R33" s="14">
        <f>$R$30-$R$31</f>
        <v>436.67432080003215</v>
      </c>
      <c r="S33" s="14">
        <f>$S$30-$S$31</f>
        <v>470.25429091410518</v>
      </c>
      <c r="T33" s="14">
        <f>$T$30-$T$31</f>
        <v>505.52919315318263</v>
      </c>
      <c r="U33" s="14">
        <f>$U$30-$U$31</f>
        <v>542.6376142330098</v>
      </c>
      <c r="V33" s="14">
        <f>$V$30-$V$31</f>
        <v>586.09649362723292</v>
      </c>
      <c r="W33" s="14">
        <f>$W$30-$W$31</f>
        <v>632.2231629020547</v>
      </c>
      <c r="X33" s="14">
        <f>$X$30-$X$31</f>
        <v>680.21087866919709</v>
      </c>
      <c r="Y33" s="14">
        <f>$Y$30-$Y$31</f>
        <v>725.6376500750797</v>
      </c>
    </row>
    <row r="34" spans="1:25" ht="14.1" customHeight="1" x14ac:dyDescent="0.25">
      <c r="A34" s="15" t="s">
        <v>54</v>
      </c>
      <c r="B34" s="21">
        <v>0.2772</v>
      </c>
      <c r="C34" s="21">
        <v>0.35099999999999998</v>
      </c>
      <c r="D34" s="21">
        <v>0.33100000000000002</v>
      </c>
      <c r="E34" s="21">
        <v>0.161</v>
      </c>
      <c r="F34" s="21">
        <v>0.36799999999999999</v>
      </c>
      <c r="G34" s="21">
        <v>0.3</v>
      </c>
      <c r="H34" s="21">
        <v>0.55000000000000004</v>
      </c>
      <c r="I34" s="21">
        <v>0.71</v>
      </c>
      <c r="J34" s="21">
        <v>0.50690000000000002</v>
      </c>
      <c r="K34" s="21">
        <v>0.72</v>
      </c>
      <c r="L34" s="21">
        <v>0.54</v>
      </c>
      <c r="M34" s="21">
        <v>0.18</v>
      </c>
      <c r="N34" s="21">
        <v>0.3266</v>
      </c>
      <c r="O34" s="21">
        <v>0.28000000000000003</v>
      </c>
      <c r="P34" s="21">
        <v>0.67</v>
      </c>
      <c r="Q34" s="21">
        <v>0.81</v>
      </c>
      <c r="R34" s="22">
        <f>$R$33/$R$36</f>
        <v>0.72754801866050001</v>
      </c>
      <c r="S34" s="22">
        <f>$S$33/$S$36</f>
        <v>0.78349598619477701</v>
      </c>
      <c r="T34" s="22">
        <f>$T$33/$T$36</f>
        <v>0.84226789928887469</v>
      </c>
      <c r="U34" s="22">
        <f>$U$33/$U$36</f>
        <v>0.90409465883540441</v>
      </c>
      <c r="V34" s="22">
        <f>$V$33/$V$36</f>
        <v>0.97650198871581617</v>
      </c>
      <c r="W34" s="22">
        <f>$W$33/$W$36</f>
        <v>1.0533541534522737</v>
      </c>
      <c r="X34" s="22">
        <f>$X$33/$X$36</f>
        <v>1.1333070287724043</v>
      </c>
      <c r="Y34" s="22">
        <f>$Y$33/$Y$36</f>
        <v>1.2089930857632116</v>
      </c>
    </row>
    <row r="35" spans="1:25" ht="14.1" customHeight="1" x14ac:dyDescent="0.25">
      <c r="A35" s="15" t="s">
        <v>55</v>
      </c>
      <c r="B35" s="21">
        <v>0.2661</v>
      </c>
      <c r="C35" s="21">
        <v>0.33500000000000002</v>
      </c>
      <c r="D35" s="21">
        <v>0.314</v>
      </c>
      <c r="E35" s="21">
        <v>0.153</v>
      </c>
      <c r="F35" s="21">
        <v>0.3518</v>
      </c>
      <c r="G35" s="21">
        <v>0.27</v>
      </c>
      <c r="H35" s="21">
        <v>0.51</v>
      </c>
      <c r="I35" s="21">
        <v>0.66</v>
      </c>
      <c r="J35" s="21">
        <v>0.46329999999999999</v>
      </c>
      <c r="K35" s="21">
        <v>0.67</v>
      </c>
      <c r="L35" s="21">
        <v>0.51</v>
      </c>
      <c r="M35" s="21">
        <v>0.17</v>
      </c>
      <c r="N35" s="21">
        <v>0.3165</v>
      </c>
      <c r="O35" s="21">
        <v>0.26</v>
      </c>
      <c r="P35" s="21">
        <v>0.6</v>
      </c>
      <c r="Q35" s="21">
        <v>0.72</v>
      </c>
      <c r="R35" s="22">
        <f>$R$33/$R$37</f>
        <v>0.63084992892232317</v>
      </c>
      <c r="S35" s="22">
        <f>$S$33/$S$37</f>
        <v>0.6793618765011632</v>
      </c>
      <c r="T35" s="22">
        <f>$T$33/$T$37</f>
        <v>0.73032244026752757</v>
      </c>
      <c r="U35" s="22">
        <f>$U$33/$U$37</f>
        <v>0.78393183217713058</v>
      </c>
      <c r="V35" s="22">
        <f>$V$33/$V$37</f>
        <v>0.84671553543373723</v>
      </c>
      <c r="W35" s="22">
        <f>$W$33/$W$37</f>
        <v>0.91335331248490992</v>
      </c>
      <c r="X35" s="22">
        <f>$X$33/$X$37</f>
        <v>0.98267968602888911</v>
      </c>
      <c r="Y35" s="22">
        <f>$Y$33/$Y$37</f>
        <v>1.048306342206125</v>
      </c>
    </row>
    <row r="36" spans="1:25" ht="14.1" customHeight="1" x14ac:dyDescent="0.25">
      <c r="A36" s="15" t="s">
        <v>56</v>
      </c>
      <c r="B36" s="23">
        <v>507.96</v>
      </c>
      <c r="C36" s="23">
        <v>525.98</v>
      </c>
      <c r="D36" s="23">
        <v>531.6</v>
      </c>
      <c r="E36" s="23">
        <v>532.79999999999995</v>
      </c>
      <c r="F36" s="23">
        <v>525.98</v>
      </c>
      <c r="G36" s="23">
        <v>530.928</v>
      </c>
      <c r="H36" s="23">
        <v>541.35400000000004</v>
      </c>
      <c r="I36" s="23">
        <v>564.78</v>
      </c>
      <c r="J36" s="23">
        <v>586.45000000000005</v>
      </c>
      <c r="K36" s="23">
        <v>589.55799999999999</v>
      </c>
      <c r="L36" s="23">
        <v>592.50699999999995</v>
      </c>
      <c r="M36" s="23">
        <v>595.04100000000005</v>
      </c>
      <c r="N36" s="23">
        <v>597.55399999999997</v>
      </c>
      <c r="O36" s="23">
        <v>595.62400000000002</v>
      </c>
      <c r="P36" s="23">
        <v>598.00400000000002</v>
      </c>
      <c r="Q36" s="23">
        <v>600.20500000000004</v>
      </c>
      <c r="R36" s="24">
        <f>Assumptions!$R$28</f>
        <v>600.20000000000005</v>
      </c>
      <c r="S36" s="24">
        <f>Assumptions!$S$28</f>
        <v>600.20000000000005</v>
      </c>
      <c r="T36" s="24">
        <f>Assumptions!$T$28</f>
        <v>600.20000000000005</v>
      </c>
      <c r="U36" s="24">
        <f>Assumptions!$U$28</f>
        <v>600.20000000000005</v>
      </c>
      <c r="V36" s="24">
        <f>Assumptions!$V$28</f>
        <v>600.20000000000005</v>
      </c>
      <c r="W36" s="24">
        <f>Assumptions!$W$28</f>
        <v>600.20000000000005</v>
      </c>
      <c r="X36" s="24">
        <f>Assumptions!$X$28</f>
        <v>600.20000000000005</v>
      </c>
      <c r="Y36" s="24">
        <f>Assumptions!$Y$28</f>
        <v>600.20000000000005</v>
      </c>
    </row>
    <row r="37" spans="1:25" ht="14.1" customHeight="1" x14ac:dyDescent="0.25">
      <c r="A37" s="15" t="s">
        <v>57</v>
      </c>
      <c r="B37" s="23">
        <v>529.16</v>
      </c>
      <c r="C37" s="23">
        <v>550.16999999999996</v>
      </c>
      <c r="D37" s="23">
        <v>561.44000000000005</v>
      </c>
      <c r="E37" s="23">
        <v>562.33000000000004</v>
      </c>
      <c r="F37" s="23">
        <v>550.16999999999996</v>
      </c>
      <c r="G37" s="23">
        <v>571.85299999999995</v>
      </c>
      <c r="H37" s="23">
        <v>580.77700000000004</v>
      </c>
      <c r="I37" s="23">
        <v>614.30999999999995</v>
      </c>
      <c r="J37" s="23">
        <v>641.64400000000001</v>
      </c>
      <c r="K37" s="23">
        <v>639.14800000000002</v>
      </c>
      <c r="L37" s="23">
        <v>636.04700000000003</v>
      </c>
      <c r="M37" s="23">
        <v>621.80899999999997</v>
      </c>
      <c r="N37" s="23">
        <v>616.60400000000004</v>
      </c>
      <c r="O37" s="23">
        <v>663.23500000000001</v>
      </c>
      <c r="P37" s="23">
        <v>693.98900000000003</v>
      </c>
      <c r="Q37" s="23">
        <v>692.18899999999996</v>
      </c>
      <c r="R37" s="24">
        <f>Assumptions!$R$26</f>
        <v>692.2</v>
      </c>
      <c r="S37" s="24">
        <f>Assumptions!$S$26</f>
        <v>692.2</v>
      </c>
      <c r="T37" s="24">
        <f>Assumptions!$T$26</f>
        <v>692.2</v>
      </c>
      <c r="U37" s="24">
        <f>Assumptions!$U$26</f>
        <v>692.2</v>
      </c>
      <c r="V37" s="24">
        <f>Assumptions!$V$26</f>
        <v>692.2</v>
      </c>
      <c r="W37" s="24">
        <f>Assumptions!$W$26</f>
        <v>692.2</v>
      </c>
      <c r="X37" s="24">
        <f>Assumptions!$X$26</f>
        <v>692.2</v>
      </c>
      <c r="Y37" s="24">
        <f>Assumptions!$Y$26</f>
        <v>692.2</v>
      </c>
    </row>
    <row r="38" spans="1:25" ht="14.1" customHeight="1" x14ac:dyDescent="0.25">
      <c r="A38" s="25" t="s">
        <v>58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4.1" customHeight="1" x14ac:dyDescent="0.25">
      <c r="A39" s="12" t="s">
        <v>59</v>
      </c>
      <c r="B39" s="13">
        <v>165.21299999999999</v>
      </c>
      <c r="C39" s="13">
        <v>220.12299999999999</v>
      </c>
      <c r="D39" s="13">
        <v>215.18199999999999</v>
      </c>
      <c r="E39" s="13">
        <v>99.081999999999994</v>
      </c>
      <c r="F39" s="13">
        <v>226.755</v>
      </c>
      <c r="G39" s="13">
        <v>172.51</v>
      </c>
      <c r="H39" s="13">
        <v>371.464</v>
      </c>
      <c r="I39" s="13">
        <v>378.31400000000002</v>
      </c>
      <c r="J39" s="13">
        <v>288.48599999999999</v>
      </c>
      <c r="K39" s="13">
        <v>509.19900000000001</v>
      </c>
      <c r="L39" s="13">
        <v>368.62400000000002</v>
      </c>
      <c r="M39" s="13">
        <v>146.78</v>
      </c>
      <c r="N39" s="13">
        <v>228.39099999999999</v>
      </c>
      <c r="O39" s="13">
        <v>182.256</v>
      </c>
      <c r="P39" s="13">
        <v>474.298</v>
      </c>
      <c r="Q39" s="13">
        <v>625.86800000000005</v>
      </c>
      <c r="R39" s="14">
        <f>$R$25</f>
        <v>617.35060872999895</v>
      </c>
      <c r="S39" s="14">
        <f>$S$25</f>
        <v>661.44420816703098</v>
      </c>
      <c r="T39" s="14">
        <f>$T$25</f>
        <v>707.67760324224548</v>
      </c>
      <c r="U39" s="14">
        <f>$U$25</f>
        <v>756.12575509154124</v>
      </c>
      <c r="V39" s="14">
        <f>$V$25</f>
        <v>812.59115011012875</v>
      </c>
      <c r="W39" s="14">
        <f>$W$25</f>
        <v>872.22454144306869</v>
      </c>
      <c r="X39" s="14">
        <f>$X$25</f>
        <v>934.30744229793856</v>
      </c>
      <c r="Y39" s="14">
        <f>$Y$25</f>
        <v>992.95723576578678</v>
      </c>
    </row>
    <row r="40" spans="1:25" ht="14.1" customHeight="1" x14ac:dyDescent="0.25">
      <c r="A40" s="12" t="s">
        <v>60</v>
      </c>
      <c r="B40" s="13">
        <v>165.964</v>
      </c>
      <c r="C40" s="13">
        <v>228.67</v>
      </c>
      <c r="D40" s="13">
        <v>223.83099999999999</v>
      </c>
      <c r="E40" s="13">
        <v>107.818</v>
      </c>
      <c r="F40" s="13">
        <v>227.72300000000001</v>
      </c>
      <c r="G40" s="13">
        <v>179.51</v>
      </c>
      <c r="H40" s="13">
        <v>378.76400000000001</v>
      </c>
      <c r="I40" s="13">
        <v>385.91399999999999</v>
      </c>
      <c r="J40" s="13">
        <v>296.68599999999998</v>
      </c>
      <c r="K40" s="13">
        <v>518.19900000000007</v>
      </c>
      <c r="L40" s="13">
        <v>378.12400000000002</v>
      </c>
      <c r="M40" s="13">
        <v>157.68</v>
      </c>
      <c r="N40" s="13">
        <v>239.99100000000001</v>
      </c>
      <c r="O40" s="13">
        <v>194.35599999999999</v>
      </c>
      <c r="P40" s="13">
        <v>487.09800000000001</v>
      </c>
      <c r="Q40" s="13">
        <v>639.36800000000005</v>
      </c>
      <c r="R40" s="14">
        <f>$R$39+$R$41</f>
        <v>630.85060872999895</v>
      </c>
      <c r="S40" s="14">
        <f>$S$39+$S$41</f>
        <v>674.94420816703098</v>
      </c>
      <c r="T40" s="14">
        <f>$T$39+$T$41</f>
        <v>721.17760324224548</v>
      </c>
      <c r="U40" s="14">
        <f>$U$39+$U$41</f>
        <v>769.62575509154124</v>
      </c>
      <c r="V40" s="14">
        <f>$V$39+$V$41</f>
        <v>826.09115011012875</v>
      </c>
      <c r="W40" s="14">
        <f>$W$39+$W$41</f>
        <v>885.72454144306869</v>
      </c>
      <c r="X40" s="14">
        <f>$X$39+$X$41</f>
        <v>947.80744229793856</v>
      </c>
      <c r="Y40" s="14">
        <f>$Y$39+$Y$41</f>
        <v>1006.4572357657868</v>
      </c>
    </row>
    <row r="41" spans="1:25" ht="14.1" customHeight="1" x14ac:dyDescent="0.25">
      <c r="A41" s="15" t="s">
        <v>61</v>
      </c>
      <c r="B41" s="16">
        <v>0.751</v>
      </c>
      <c r="C41" s="16">
        <v>8.5470000000000006</v>
      </c>
      <c r="D41" s="16">
        <v>8.6489999999999991</v>
      </c>
      <c r="E41" s="16">
        <v>8.7360000000000007</v>
      </c>
      <c r="F41" s="16">
        <v>0.96799999999999997</v>
      </c>
      <c r="G41" s="16">
        <v>7</v>
      </c>
      <c r="H41" s="16">
        <v>7.3</v>
      </c>
      <c r="I41" s="16">
        <v>7.6</v>
      </c>
      <c r="J41" s="16">
        <v>8.1999999999999993</v>
      </c>
      <c r="K41" s="16">
        <v>9</v>
      </c>
      <c r="L41" s="16">
        <v>9.5</v>
      </c>
      <c r="M41" s="16">
        <v>10.9</v>
      </c>
      <c r="N41" s="16">
        <v>11.6</v>
      </c>
      <c r="O41" s="16">
        <v>12.1</v>
      </c>
      <c r="P41" s="16">
        <v>12.8</v>
      </c>
      <c r="Q41" s="16">
        <v>13.5</v>
      </c>
      <c r="R41" s="17">
        <f>Assumptions!$R$16</f>
        <v>13.5</v>
      </c>
      <c r="S41" s="17">
        <f>Assumptions!$S$16</f>
        <v>13.5</v>
      </c>
      <c r="T41" s="17">
        <f>Assumptions!$T$16</f>
        <v>13.5</v>
      </c>
      <c r="U41" s="17">
        <f>Assumptions!$U$16</f>
        <v>13.5</v>
      </c>
      <c r="V41" s="17">
        <f>Assumptions!$V$16</f>
        <v>13.5</v>
      </c>
      <c r="W41" s="17">
        <f>Assumptions!$W$16</f>
        <v>13.5</v>
      </c>
      <c r="X41" s="17">
        <f>Assumptions!$X$16</f>
        <v>13.5</v>
      </c>
      <c r="Y41" s="17">
        <f>Assumptions!$Y$16</f>
        <v>13.5</v>
      </c>
    </row>
    <row r="42" spans="1:25" ht="14.1" customHeight="1" x14ac:dyDescent="0.25">
      <c r="A42" s="12" t="s">
        <v>62</v>
      </c>
      <c r="B42" s="13">
        <v>136.52500000000001</v>
      </c>
      <c r="C42" s="13">
        <v>177.251</v>
      </c>
      <c r="D42" s="13">
        <v>183.85300000000001</v>
      </c>
      <c r="E42" s="13">
        <v>86.936999999999998</v>
      </c>
      <c r="F42" s="13">
        <v>191.94399999999999</v>
      </c>
      <c r="G42" s="13">
        <v>150.43199999999999</v>
      </c>
      <c r="H42" s="13">
        <v>301.83</v>
      </c>
      <c r="I42" s="13">
        <v>392.05099999999999</v>
      </c>
      <c r="J42" s="13">
        <v>286.92700000000002</v>
      </c>
      <c r="K42" s="13">
        <v>434.46699999999998</v>
      </c>
      <c r="L42" s="13">
        <v>311.65499999999997</v>
      </c>
      <c r="M42" s="13">
        <v>140.93700000000001</v>
      </c>
      <c r="N42" s="13">
        <v>209.084</v>
      </c>
      <c r="O42" s="13">
        <v>142.095</v>
      </c>
      <c r="P42" s="13">
        <v>375.14699999999999</v>
      </c>
      <c r="Q42" s="13">
        <v>498.98100000000011</v>
      </c>
      <c r="R42" s="14">
        <f>$R$39-$R$28-$R$31</f>
        <v>393.07432080003218</v>
      </c>
      <c r="S42" s="14">
        <f>$S$39-$S$28-$S$31</f>
        <v>428.35429091410521</v>
      </c>
      <c r="T42" s="14">
        <f>$T$39-$T$28-$T$31</f>
        <v>465.32919315318259</v>
      </c>
      <c r="U42" s="14">
        <f>$U$39-$U$28-$U$31</f>
        <v>504.03761423300978</v>
      </c>
      <c r="V42" s="14">
        <f>$V$39-$V$28-$V$31</f>
        <v>549.09649362723292</v>
      </c>
      <c r="W42" s="14">
        <f>$W$39-$W$28-$W$31</f>
        <v>596.62316290205467</v>
      </c>
      <c r="X42" s="14">
        <f>$X$39-$X$28-$X$31</f>
        <v>646.11087866919706</v>
      </c>
      <c r="Y42" s="14">
        <f>$Y$39-$Y$28-$Y$31</f>
        <v>692.83765007507964</v>
      </c>
    </row>
    <row r="43" spans="1:25" ht="14.1" customHeight="1" x14ac:dyDescent="0.25">
      <c r="A43" s="15" t="s">
        <v>63</v>
      </c>
      <c r="B43" s="21">
        <v>0.25800325043465122</v>
      </c>
      <c r="C43" s="21">
        <v>0.32217496410200491</v>
      </c>
      <c r="D43" s="21">
        <v>0.32746687090339122</v>
      </c>
      <c r="E43" s="21">
        <v>0.1546013906425053</v>
      </c>
      <c r="F43" s="21">
        <v>0.34888125488485378</v>
      </c>
      <c r="G43" s="21">
        <v>0.26306061173063711</v>
      </c>
      <c r="H43" s="21">
        <v>0.51970033248561831</v>
      </c>
      <c r="I43" s="21">
        <v>0.63819732708241783</v>
      </c>
      <c r="J43" s="21">
        <v>0.44717475734207751</v>
      </c>
      <c r="K43" s="21">
        <v>0.67975961749078451</v>
      </c>
      <c r="L43" s="21">
        <v>0.48998737514680518</v>
      </c>
      <c r="M43" s="21">
        <v>0.22665641700264871</v>
      </c>
      <c r="N43" s="21">
        <v>0.3390895939695493</v>
      </c>
      <c r="O43" s="21">
        <v>0.2142453278249791</v>
      </c>
      <c r="P43" s="21">
        <v>0.54056620493984775</v>
      </c>
      <c r="Q43" s="21">
        <v>0.72087392316260457</v>
      </c>
      <c r="R43" s="22">
        <f>$R$42/$R$37</f>
        <v>0.56786235307719179</v>
      </c>
      <c r="S43" s="22">
        <f>$S$42/$S$37</f>
        <v>0.61883023824632355</v>
      </c>
      <c r="T43" s="22">
        <f>$T$42/$T$37</f>
        <v>0.67224673960297976</v>
      </c>
      <c r="U43" s="22">
        <f>$U$42/$U$37</f>
        <v>0.72816760218579857</v>
      </c>
      <c r="V43" s="22">
        <f>$V$42/$V$37</f>
        <v>0.79326277611562102</v>
      </c>
      <c r="W43" s="22">
        <f>$W$42/$W$37</f>
        <v>0.86192309000585765</v>
      </c>
      <c r="X43" s="22">
        <f>$X$42/$X$37</f>
        <v>0.9334164673059766</v>
      </c>
      <c r="Y43" s="22">
        <f>$Y$42/$Y$37</f>
        <v>1.0009211934052002</v>
      </c>
    </row>
    <row r="45" spans="1:25" ht="18" customHeight="1" x14ac:dyDescent="0.25">
      <c r="A45" s="34" t="s">
        <v>64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spans="1:25" ht="20.100000000000001" customHeight="1" x14ac:dyDescent="0.25">
      <c r="A46" s="2"/>
      <c r="B46" s="3" t="s">
        <v>2</v>
      </c>
      <c r="C46" s="3" t="s">
        <v>3</v>
      </c>
      <c r="D46" s="3" t="s">
        <v>4</v>
      </c>
      <c r="E46" s="3" t="s">
        <v>5</v>
      </c>
      <c r="F46" s="3" t="s">
        <v>6</v>
      </c>
      <c r="G46" s="3" t="s">
        <v>7</v>
      </c>
      <c r="H46" s="3" t="s">
        <v>8</v>
      </c>
      <c r="I46" s="3" t="s">
        <v>9</v>
      </c>
      <c r="J46" s="3" t="s">
        <v>10</v>
      </c>
      <c r="K46" s="3" t="s">
        <v>11</v>
      </c>
      <c r="L46" s="3" t="s">
        <v>12</v>
      </c>
      <c r="M46" s="3" t="s">
        <v>13</v>
      </c>
      <c r="N46" s="3" t="s">
        <v>14</v>
      </c>
      <c r="O46" s="3" t="s">
        <v>15</v>
      </c>
      <c r="P46" s="3" t="s">
        <v>16</v>
      </c>
      <c r="Q46" s="3" t="s">
        <v>17</v>
      </c>
      <c r="R46" s="4" t="s">
        <v>18</v>
      </c>
      <c r="S46" s="4" t="s">
        <v>19</v>
      </c>
      <c r="T46" s="4" t="s">
        <v>20</v>
      </c>
      <c r="U46" s="4" t="s">
        <v>21</v>
      </c>
      <c r="V46" s="4" t="s">
        <v>22</v>
      </c>
      <c r="W46" s="4" t="s">
        <v>23</v>
      </c>
      <c r="X46" s="4" t="s">
        <v>24</v>
      </c>
      <c r="Y46" s="4" t="s">
        <v>25</v>
      </c>
    </row>
    <row r="47" spans="1:25" ht="14.1" customHeight="1" x14ac:dyDescent="0.25">
      <c r="A47" s="25" t="s">
        <v>65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4.1" customHeight="1" x14ac:dyDescent="0.25">
      <c r="A48" s="15" t="s">
        <v>66</v>
      </c>
      <c r="B48" s="16">
        <v>267.39699999999999</v>
      </c>
      <c r="C48" s="16">
        <v>238.268</v>
      </c>
      <c r="D48" s="16">
        <v>304.59500000000003</v>
      </c>
      <c r="E48" s="16">
        <v>362.80099999999999</v>
      </c>
      <c r="F48" s="16">
        <v>440.459</v>
      </c>
      <c r="G48" s="16">
        <v>543.15599999999995</v>
      </c>
      <c r="H48" s="16">
        <v>725.66</v>
      </c>
      <c r="I48" s="16">
        <v>2115.4760000000001</v>
      </c>
      <c r="J48" s="16">
        <v>1669.7660000000001</v>
      </c>
      <c r="K48" s="16">
        <v>2088.7179999999998</v>
      </c>
      <c r="L48" s="16">
        <v>1430.002</v>
      </c>
      <c r="M48" s="16">
        <v>2536.1010000000001</v>
      </c>
      <c r="N48" s="16">
        <v>5169.9110000000001</v>
      </c>
      <c r="O48" s="16">
        <v>4196.8670000000002</v>
      </c>
      <c r="P48" s="16">
        <v>4091.0830000000001</v>
      </c>
      <c r="Q48" s="16">
        <v>1290.3240000000001</v>
      </c>
      <c r="R48" s="17"/>
      <c r="S48" s="17"/>
      <c r="T48" s="17"/>
      <c r="U48" s="17"/>
      <c r="V48" s="17"/>
      <c r="W48" s="17"/>
      <c r="X48" s="17"/>
      <c r="Y48" s="17"/>
    </row>
    <row r="49" spans="1:25" ht="14.1" customHeight="1" x14ac:dyDescent="0.25">
      <c r="A49" s="15" t="s">
        <v>67</v>
      </c>
      <c r="B49" s="16">
        <v>834.51300000000003</v>
      </c>
      <c r="C49" s="16">
        <v>736.31200000000001</v>
      </c>
      <c r="D49" s="16">
        <v>768.16700000000003</v>
      </c>
      <c r="E49" s="16">
        <v>672.05499999999995</v>
      </c>
      <c r="F49" s="16">
        <v>1148.259</v>
      </c>
      <c r="G49" s="16">
        <v>845.72900000000004</v>
      </c>
      <c r="H49" s="16">
        <v>1502.971</v>
      </c>
      <c r="I49" s="16">
        <v>1650.153</v>
      </c>
      <c r="J49" s="16">
        <v>2737.3310000000001</v>
      </c>
      <c r="K49" s="16">
        <v>2731.74</v>
      </c>
      <c r="L49" s="16">
        <v>3059.51</v>
      </c>
      <c r="M49" s="16">
        <v>2642.556</v>
      </c>
      <c r="N49" s="16">
        <v>2203.942</v>
      </c>
      <c r="O49" s="16">
        <v>2525.0390000000002</v>
      </c>
      <c r="P49" s="16">
        <v>11004.121999999999</v>
      </c>
      <c r="Q49" s="16">
        <v>8413.3960000000006</v>
      </c>
      <c r="R49" s="17">
        <f>$R$18/91*Assumptions!$R$30</f>
        <v>6847.9682673890111</v>
      </c>
      <c r="S49" s="17">
        <f>$S$18/91*Assumptions!$S$30</f>
        <v>7109.4379608294066</v>
      </c>
      <c r="T49" s="17">
        <f>$T$18/91*Assumptions!$T$30</f>
        <v>7382.5374942760563</v>
      </c>
      <c r="U49" s="17">
        <f>$U$18/91*Assumptions!$U$30</f>
        <v>7667.5863176409875</v>
      </c>
      <c r="V49" s="17">
        <f>$V$18/91*Assumptions!$V$30</f>
        <v>7961.8801235788669</v>
      </c>
      <c r="W49" s="17">
        <f>$W$18/91*Assumptions!$W$30</f>
        <v>8270.909592074946</v>
      </c>
      <c r="X49" s="17">
        <f>$X$18/91*Assumptions!$X$30</f>
        <v>8589.5804427256226</v>
      </c>
      <c r="Y49" s="17">
        <f>$Y$18/91*Assumptions!$Y$30</f>
        <v>8924.3114303159491</v>
      </c>
    </row>
    <row r="50" spans="1:25" ht="14.1" customHeight="1" x14ac:dyDescent="0.25">
      <c r="A50" s="15" t="s">
        <v>68</v>
      </c>
      <c r="B50" s="16">
        <v>1545.606</v>
      </c>
      <c r="C50" s="16">
        <v>1736.0550000000001</v>
      </c>
      <c r="D50" s="16">
        <v>1421.817</v>
      </c>
      <c r="E50" s="16">
        <v>1540.4190000000001</v>
      </c>
      <c r="F50" s="16">
        <v>1445.5640000000001</v>
      </c>
      <c r="G50" s="16">
        <v>2052.8049999999998</v>
      </c>
      <c r="H50" s="16">
        <v>2466.9969999999998</v>
      </c>
      <c r="I50" s="16">
        <v>4124.5870000000004</v>
      </c>
      <c r="J50" s="16">
        <v>4333.0290000000005</v>
      </c>
      <c r="K50" s="16">
        <v>4930.6229999999996</v>
      </c>
      <c r="L50" s="16">
        <v>3596.145</v>
      </c>
      <c r="M50" s="16">
        <v>3870.2429999999999</v>
      </c>
      <c r="N50" s="16">
        <v>4680.375</v>
      </c>
      <c r="O50" s="16">
        <v>5730.0020000000004</v>
      </c>
      <c r="P50" s="16">
        <v>10595.448</v>
      </c>
      <c r="Q50" s="16">
        <v>11103.376</v>
      </c>
      <c r="R50" s="17">
        <f>$R$19/91*Assumptions!$R$31</f>
        <v>10226.786193995704</v>
      </c>
      <c r="S50" s="17">
        <f>$S$19/91*Assumptions!$S$31</f>
        <v>10611.400301359014</v>
      </c>
      <c r="T50" s="17">
        <f>$T$19/91*Assumptions!$T$31</f>
        <v>11012.931802553434</v>
      </c>
      <c r="U50" s="17">
        <f>$U$19/91*Assumptions!$U$31</f>
        <v>11431.8281879437</v>
      </c>
      <c r="V50" s="17">
        <f>$V$19/91*Assumptions!$V$31</f>
        <v>11857.460950084367</v>
      </c>
      <c r="W50" s="17">
        <f>$W$19/91*Assumptions!$W$31</f>
        <v>12304.04363881592</v>
      </c>
      <c r="X50" s="17">
        <f>$X$19/91*Assumptions!$X$31</f>
        <v>12763.933313051481</v>
      </c>
      <c r="Y50" s="17">
        <f>$Y$19/91*Assumptions!$Y$31</f>
        <v>13253.973102054557</v>
      </c>
    </row>
    <row r="51" spans="1:25" ht="14.1" customHeight="1" x14ac:dyDescent="0.25">
      <c r="A51" s="15" t="s">
        <v>69</v>
      </c>
      <c r="B51" s="16">
        <v>158.79900000000001</v>
      </c>
      <c r="C51" s="16">
        <v>169.245</v>
      </c>
      <c r="D51" s="16">
        <v>154.92400000000001</v>
      </c>
      <c r="E51" s="16">
        <v>139.9</v>
      </c>
      <c r="F51" s="16">
        <v>145.14400000000001</v>
      </c>
      <c r="G51" s="16">
        <v>129.14400000000001</v>
      </c>
      <c r="H51" s="16">
        <v>146.727</v>
      </c>
      <c r="I51" s="16">
        <v>173.71600000000001</v>
      </c>
      <c r="J51" s="16">
        <v>191.834</v>
      </c>
      <c r="K51" s="16">
        <v>100.503</v>
      </c>
      <c r="L51" s="16">
        <v>581.41300000000001</v>
      </c>
      <c r="M51" s="16">
        <v>464.68900000000002</v>
      </c>
      <c r="N51" s="16">
        <v>247.42599999999999</v>
      </c>
      <c r="O51" s="16">
        <v>209.42599999999999</v>
      </c>
      <c r="P51" s="16">
        <v>433.94400000000002</v>
      </c>
      <c r="Q51" s="16">
        <v>761.19</v>
      </c>
      <c r="R51" s="17">
        <f>$Q$51</f>
        <v>761.19</v>
      </c>
      <c r="S51" s="17">
        <f>$R$51</f>
        <v>761.19</v>
      </c>
      <c r="T51" s="17">
        <f>$S$51</f>
        <v>761.19</v>
      </c>
      <c r="U51" s="17">
        <f>$T$51</f>
        <v>761.19</v>
      </c>
      <c r="V51" s="17">
        <f>$U$51</f>
        <v>761.19</v>
      </c>
      <c r="W51" s="17">
        <f>$V$51</f>
        <v>761.19</v>
      </c>
      <c r="X51" s="17">
        <f>$W$51</f>
        <v>761.19</v>
      </c>
      <c r="Y51" s="17">
        <f>$X$51</f>
        <v>761.19</v>
      </c>
    </row>
    <row r="52" spans="1:25" ht="14.1" customHeight="1" x14ac:dyDescent="0.25">
      <c r="A52" s="12" t="s">
        <v>70</v>
      </c>
      <c r="B52" s="13">
        <v>2806.3150000000001</v>
      </c>
      <c r="C52" s="13">
        <v>2879.88</v>
      </c>
      <c r="D52" s="13">
        <v>2649.5030000000002</v>
      </c>
      <c r="E52" s="13">
        <v>2715.1750000000002</v>
      </c>
      <c r="F52" s="13">
        <v>3179.4259999999999</v>
      </c>
      <c r="G52" s="13">
        <v>3570.8339999999998</v>
      </c>
      <c r="H52" s="13">
        <v>4842.3549999999996</v>
      </c>
      <c r="I52" s="13">
        <v>8063.9319999999998</v>
      </c>
      <c r="J52" s="13">
        <v>8931.9599999999991</v>
      </c>
      <c r="K52" s="13">
        <v>9851.5840000000007</v>
      </c>
      <c r="L52" s="13">
        <v>8667.07</v>
      </c>
      <c r="M52" s="13">
        <v>9513.5889999999999</v>
      </c>
      <c r="N52" s="13">
        <v>12301.654</v>
      </c>
      <c r="O52" s="13">
        <v>12661.334000000001</v>
      </c>
      <c r="P52" s="13">
        <v>26124.597000000002</v>
      </c>
      <c r="Q52" s="13">
        <v>21568.286</v>
      </c>
      <c r="R52" s="14">
        <f>SUM($R$48,$R$49,$R$50,$R$51)</f>
        <v>17835.944461384712</v>
      </c>
      <c r="S52" s="14">
        <f>SUM($S$48,$S$49,$S$50,$S$51)</f>
        <v>18482.028262188418</v>
      </c>
      <c r="T52" s="14">
        <f>SUM($T$48,$T$49,$T$50,$T$51)</f>
        <v>19156.65929682949</v>
      </c>
      <c r="U52" s="14">
        <f>SUM($U$48,$U$49,$U$50,$U$51)</f>
        <v>19860.604505584688</v>
      </c>
      <c r="V52" s="14">
        <f>SUM($V$48,$V$49,$V$50,$V$51)</f>
        <v>20580.531073663235</v>
      </c>
      <c r="W52" s="14">
        <f>SUM($W$48,$W$49,$W$50,$W$51)</f>
        <v>21336.143230890866</v>
      </c>
      <c r="X52" s="14">
        <f>SUM($X$48,$X$49,$X$50,$X$51)</f>
        <v>22114.7037557771</v>
      </c>
      <c r="Y52" s="14">
        <f>SUM($Y$48,$Y$49,$Y$50,$Y$51)</f>
        <v>22939.474532370503</v>
      </c>
    </row>
    <row r="53" spans="1:25" ht="14.1" customHeight="1" x14ac:dyDescent="0.25">
      <c r="A53" s="15" t="s">
        <v>71</v>
      </c>
      <c r="B53" s="16">
        <v>285.97199999999998</v>
      </c>
      <c r="C53" s="16">
        <v>290.75200000000001</v>
      </c>
      <c r="D53" s="16">
        <v>289.255</v>
      </c>
      <c r="E53" s="16">
        <v>290.03800000000001</v>
      </c>
      <c r="F53" s="16">
        <v>290.24</v>
      </c>
      <c r="G53" s="16">
        <v>291.66899999999998</v>
      </c>
      <c r="H53" s="16">
        <v>297.10199999999998</v>
      </c>
      <c r="I53" s="16">
        <v>385.56599999999997</v>
      </c>
      <c r="J53" s="16">
        <v>414.00799999999998</v>
      </c>
      <c r="K53" s="16">
        <v>451.06</v>
      </c>
      <c r="L53" s="16">
        <v>477.49200000000002</v>
      </c>
      <c r="M53" s="16">
        <v>492.565</v>
      </c>
      <c r="N53" s="16">
        <v>504.488</v>
      </c>
      <c r="O53" s="16">
        <v>520.71199999999999</v>
      </c>
      <c r="P53" s="16">
        <v>538.58399999999995</v>
      </c>
      <c r="Q53" s="16">
        <v>607.65899999999999</v>
      </c>
      <c r="R53" s="17">
        <f>$Q$53+Assumptions!$R$17-Assumptions!$R$16</f>
        <v>513.85900000000004</v>
      </c>
      <c r="S53" s="17">
        <f>$R$53+Assumptions!$S$17-Assumptions!$S$16</f>
        <v>420.05900000000003</v>
      </c>
      <c r="T53" s="17">
        <f>$S$53+Assumptions!$T$17-Assumptions!$T$16</f>
        <v>326.25900000000001</v>
      </c>
      <c r="U53" s="17">
        <f>$T$53+Assumptions!$U$17-Assumptions!$U$16</f>
        <v>232.459</v>
      </c>
      <c r="V53" s="17">
        <f>$U$53+Assumptions!$V$17-Assumptions!$V$16</f>
        <v>138.65899999999999</v>
      </c>
      <c r="W53" s="17">
        <f>$V$53+Assumptions!$W$17-Assumptions!$W$16</f>
        <v>44.858999999999995</v>
      </c>
      <c r="X53" s="17">
        <f>$W$53+Assumptions!$X$17-Assumptions!$X$16</f>
        <v>-48.941000000000003</v>
      </c>
      <c r="Y53" s="17">
        <f>$X$53+Assumptions!$Y$17-Assumptions!$Y$16</f>
        <v>-142.74099999999999</v>
      </c>
    </row>
    <row r="54" spans="1:25" ht="14.1" customHeight="1" x14ac:dyDescent="0.25">
      <c r="A54" s="15" t="s">
        <v>72</v>
      </c>
      <c r="B54" s="16">
        <v>42.860999999999997</v>
      </c>
      <c r="C54" s="16">
        <v>37.143999999999998</v>
      </c>
      <c r="D54" s="16">
        <v>37.246000000000002</v>
      </c>
      <c r="E54" s="16">
        <v>38.832999999999998</v>
      </c>
      <c r="F54" s="16">
        <v>42.408999999999999</v>
      </c>
      <c r="G54" s="16">
        <v>47.786000000000001</v>
      </c>
      <c r="H54" s="16">
        <v>47.268999999999998</v>
      </c>
      <c r="I54" s="16">
        <v>83.034999999999997</v>
      </c>
      <c r="J54" s="16">
        <v>114.952</v>
      </c>
      <c r="K54" s="16">
        <v>137.01599999999999</v>
      </c>
      <c r="L54" s="16">
        <v>142.536</v>
      </c>
      <c r="M54" s="16">
        <v>251.155</v>
      </c>
      <c r="N54" s="16">
        <v>604.87099999999998</v>
      </c>
      <c r="O54" s="16">
        <v>586.73400000000004</v>
      </c>
      <c r="P54" s="16">
        <v>683.06200000000001</v>
      </c>
      <c r="Q54" s="16">
        <v>643.36900000000003</v>
      </c>
      <c r="R54" s="17">
        <f>$Q$54</f>
        <v>643.36900000000003</v>
      </c>
      <c r="S54" s="17">
        <f>$R$54</f>
        <v>643.36900000000003</v>
      </c>
      <c r="T54" s="17">
        <f>$S$54</f>
        <v>643.36900000000003</v>
      </c>
      <c r="U54" s="17">
        <f>$T$54</f>
        <v>643.36900000000003</v>
      </c>
      <c r="V54" s="17">
        <f>$U$54</f>
        <v>643.36900000000003</v>
      </c>
      <c r="W54" s="17">
        <f>$V$54</f>
        <v>643.36900000000003</v>
      </c>
      <c r="X54" s="17">
        <f>$W$54</f>
        <v>643.36900000000003</v>
      </c>
      <c r="Y54" s="17">
        <f>$X$54</f>
        <v>643.36900000000003</v>
      </c>
    </row>
    <row r="55" spans="1:25" ht="14.1" customHeight="1" x14ac:dyDescent="0.25">
      <c r="A55" s="12" t="s">
        <v>73</v>
      </c>
      <c r="B55" s="13">
        <v>3205.0770000000002</v>
      </c>
      <c r="C55" s="13">
        <v>3301.2829999999999</v>
      </c>
      <c r="D55" s="13">
        <v>3074.942</v>
      </c>
      <c r="E55" s="13">
        <v>3192.6039999999998</v>
      </c>
      <c r="F55" s="13">
        <v>3674.7289999999998</v>
      </c>
      <c r="G55" s="13">
        <v>4095.9639999999999</v>
      </c>
      <c r="H55" s="13">
        <v>5405</v>
      </c>
      <c r="I55" s="13">
        <v>8862.7810000000009</v>
      </c>
      <c r="J55" s="13">
        <v>9826.0920000000006</v>
      </c>
      <c r="K55" s="13">
        <v>10851.383</v>
      </c>
      <c r="L55" s="13">
        <v>9728.348</v>
      </c>
      <c r="M55" s="13">
        <v>10738.525</v>
      </c>
      <c r="N55" s="13">
        <v>14018.429</v>
      </c>
      <c r="O55" s="13">
        <v>14386.037</v>
      </c>
      <c r="P55" s="13">
        <v>28001.61</v>
      </c>
      <c r="Q55" s="13">
        <v>23452.028999999999</v>
      </c>
      <c r="R55" s="14">
        <f>SUM($R$52,$R$53,$R$54)</f>
        <v>18993.172461384711</v>
      </c>
      <c r="S55" s="14">
        <f>SUM($S$52,$S$53,$S$54)</f>
        <v>19545.456262188418</v>
      </c>
      <c r="T55" s="14">
        <f>SUM($T$52,$T$53,$T$54)</f>
        <v>20126.287296829491</v>
      </c>
      <c r="U55" s="14">
        <f>SUM($U$52,$U$53,$U$54)</f>
        <v>20736.432505584686</v>
      </c>
      <c r="V55" s="14">
        <f>SUM($V$52,$V$53,$V$54)</f>
        <v>21362.559073663233</v>
      </c>
      <c r="W55" s="14">
        <f>SUM($W$52,$W$53,$W$54)</f>
        <v>22024.371230890865</v>
      </c>
      <c r="X55" s="14">
        <f>SUM($X$52,$X$53,$X$54)</f>
        <v>22709.1317557771</v>
      </c>
      <c r="Y55" s="14">
        <f>SUM($Y$52,$Y$53,$Y$54)</f>
        <v>23440.102532370503</v>
      </c>
    </row>
    <row r="56" spans="1:25" ht="14.1" customHeight="1" x14ac:dyDescent="0.25">
      <c r="A56" s="25" t="s">
        <v>74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4.1" customHeight="1" x14ac:dyDescent="0.25">
      <c r="A57" s="15" t="s">
        <v>75</v>
      </c>
      <c r="B57" s="16">
        <v>655.40300000000002</v>
      </c>
      <c r="C57" s="16">
        <v>785.02499999999998</v>
      </c>
      <c r="D57" s="16">
        <v>559.96199999999999</v>
      </c>
      <c r="E57" s="16">
        <v>641.83900000000006</v>
      </c>
      <c r="F57" s="16">
        <v>776.83100000000002</v>
      </c>
      <c r="G57" s="16">
        <v>1084.058</v>
      </c>
      <c r="H57" s="16">
        <v>1261.5329999999999</v>
      </c>
      <c r="I57" s="16">
        <v>1092.4449999999999</v>
      </c>
      <c r="J57" s="16">
        <v>1472.3810000000001</v>
      </c>
      <c r="K57" s="16">
        <v>1682.9680000000001</v>
      </c>
      <c r="L57" s="16">
        <v>549.32299999999998</v>
      </c>
      <c r="M57" s="16">
        <v>643.04999999999995</v>
      </c>
      <c r="N57" s="16">
        <v>1281.9770000000001</v>
      </c>
      <c r="O57" s="16">
        <v>1279.6669999999999</v>
      </c>
      <c r="P57" s="16">
        <v>13753.207</v>
      </c>
      <c r="Q57" s="16">
        <v>3686.991</v>
      </c>
      <c r="R57" s="17">
        <f>$R$19/91*Assumptions!$R$32</f>
        <v>5012.9231188769008</v>
      </c>
      <c r="S57" s="17">
        <f>$S$19/91*Assumptions!$S$32</f>
        <v>5201.4516472018322</v>
      </c>
      <c r="T57" s="17">
        <f>$T$19/91*Assumptions!$T$32</f>
        <v>5398.2726726063365</v>
      </c>
      <c r="U57" s="17">
        <f>$U$19/91*Assumptions!$U$32</f>
        <v>5603.6055440385871</v>
      </c>
      <c r="V57" s="17">
        <f>$V$19/91*Assumptions!$V$32</f>
        <v>5812.2404243433193</v>
      </c>
      <c r="W57" s="17">
        <f>$W$19/91*Assumptions!$W$32</f>
        <v>6031.1444517050113</v>
      </c>
      <c r="X57" s="17">
        <f>$X$19/91*Assumptions!$X$32</f>
        <v>6256.5712413509837</v>
      </c>
      <c r="Y57" s="17">
        <f>$Y$19/91*Assumptions!$Y$32</f>
        <v>6496.776887666867</v>
      </c>
    </row>
    <row r="58" spans="1:25" ht="14.1" customHeight="1" x14ac:dyDescent="0.25">
      <c r="A58" s="15" t="s">
        <v>76</v>
      </c>
      <c r="B58" s="16">
        <v>212.41900000000001</v>
      </c>
      <c r="C58" s="16">
        <v>213.52099999999999</v>
      </c>
      <c r="D58" s="16">
        <v>169.86600000000001</v>
      </c>
      <c r="E58" s="16">
        <v>155.22399999999999</v>
      </c>
      <c r="F58" s="16">
        <v>163.86500000000001</v>
      </c>
      <c r="G58" s="16">
        <v>152.5</v>
      </c>
      <c r="H58" s="16">
        <v>214.46199999999999</v>
      </c>
      <c r="I58" s="16">
        <v>290.37</v>
      </c>
      <c r="J58" s="16">
        <v>259.67399999999998</v>
      </c>
      <c r="K58" s="16">
        <v>308.77699999999999</v>
      </c>
      <c r="L58" s="16">
        <v>229.14699999999999</v>
      </c>
      <c r="M58" s="16">
        <v>344.67899999999997</v>
      </c>
      <c r="N58" s="16">
        <v>565.63699999999994</v>
      </c>
      <c r="O58" s="16">
        <v>313.39299999999997</v>
      </c>
      <c r="P58" s="16">
        <v>548.17899999999997</v>
      </c>
      <c r="Q58" s="16">
        <v>830.00699999999995</v>
      </c>
      <c r="R58" s="17">
        <f>$Q$58</f>
        <v>830.00699999999995</v>
      </c>
      <c r="S58" s="17">
        <f>$R$58</f>
        <v>830.00699999999995</v>
      </c>
      <c r="T58" s="17">
        <f>$S$58</f>
        <v>830.00699999999995</v>
      </c>
      <c r="U58" s="17">
        <f>$T$58</f>
        <v>830.00699999999995</v>
      </c>
      <c r="V58" s="17">
        <f>$U$58</f>
        <v>830.00699999999995</v>
      </c>
      <c r="W58" s="17">
        <f>$V$58</f>
        <v>830.00699999999995</v>
      </c>
      <c r="X58" s="17">
        <f>$W$58</f>
        <v>830.00699999999995</v>
      </c>
      <c r="Y58" s="17">
        <f>$X$58</f>
        <v>830.00699999999995</v>
      </c>
    </row>
    <row r="59" spans="1:25" ht="14.1" customHeight="1" x14ac:dyDescent="0.25">
      <c r="A59" s="15" t="s">
        <v>77</v>
      </c>
      <c r="B59" s="16">
        <v>449.14600000000002</v>
      </c>
      <c r="C59" s="16">
        <v>101.173</v>
      </c>
      <c r="D59" s="16"/>
      <c r="E59" s="16"/>
      <c r="F59" s="16">
        <v>170.12299999999999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7">
        <f>Assumptions!$R$34</f>
        <v>0</v>
      </c>
      <c r="S59" s="17">
        <f>Assumptions!$S$34</f>
        <v>0</v>
      </c>
      <c r="T59" s="17">
        <f>Assumptions!$T$34</f>
        <v>0</v>
      </c>
      <c r="U59" s="17">
        <f>Assumptions!$U$34</f>
        <v>0</v>
      </c>
      <c r="V59" s="17">
        <f>Assumptions!$V$34</f>
        <v>0</v>
      </c>
      <c r="W59" s="17">
        <f>Assumptions!$W$34</f>
        <v>0</v>
      </c>
      <c r="X59" s="17">
        <f>Assumptions!$X$34</f>
        <v>0</v>
      </c>
      <c r="Y59" s="17">
        <f>Assumptions!$Y$34</f>
        <v>0</v>
      </c>
    </row>
    <row r="60" spans="1:25" ht="14.1" customHeight="1" x14ac:dyDescent="0.25">
      <c r="A60" s="15" t="s">
        <v>78</v>
      </c>
      <c r="B60" s="16">
        <v>449.14600000000002</v>
      </c>
      <c r="C60" s="16">
        <v>37.659999999999997</v>
      </c>
      <c r="D60" s="16">
        <v>38.776000000000003</v>
      </c>
      <c r="E60" s="16">
        <v>39.26</v>
      </c>
      <c r="F60" s="16">
        <v>170.12299999999999</v>
      </c>
      <c r="G60" s="16">
        <v>40.843000000000004</v>
      </c>
      <c r="H60" s="16">
        <v>42.621000000000002</v>
      </c>
      <c r="I60" s="16">
        <v>41.168999999999997</v>
      </c>
      <c r="J60" s="16">
        <v>402.346</v>
      </c>
      <c r="K60" s="16">
        <v>41.594000000000001</v>
      </c>
      <c r="L60" s="16">
        <v>40.146999999999998</v>
      </c>
      <c r="M60" s="16">
        <v>39.805</v>
      </c>
      <c r="N60" s="16">
        <v>75.06</v>
      </c>
      <c r="O60" s="16">
        <v>18.77</v>
      </c>
      <c r="P60" s="16">
        <v>18.251999999999999</v>
      </c>
      <c r="Q60" s="16">
        <v>1805.8820000000001</v>
      </c>
      <c r="R60" s="17">
        <f>$Q$60</f>
        <v>1805.8820000000001</v>
      </c>
      <c r="S60" s="17">
        <f>$R$60</f>
        <v>1805.8820000000001</v>
      </c>
      <c r="T60" s="17">
        <f>$S$60</f>
        <v>1805.8820000000001</v>
      </c>
      <c r="U60" s="17">
        <f>$T$60</f>
        <v>1805.8820000000001</v>
      </c>
      <c r="V60" s="17">
        <f>$U$60</f>
        <v>1805.8820000000001</v>
      </c>
      <c r="W60" s="17">
        <f>$V$60</f>
        <v>1805.8820000000001</v>
      </c>
      <c r="X60" s="17">
        <f>$W$60</f>
        <v>1805.8820000000001</v>
      </c>
      <c r="Y60" s="17">
        <f>$X$60</f>
        <v>1805.8820000000001</v>
      </c>
    </row>
    <row r="61" spans="1:25" ht="14.1" customHeight="1" x14ac:dyDescent="0.25">
      <c r="A61" s="15" t="s">
        <v>79</v>
      </c>
      <c r="B61" s="16">
        <v>111.313</v>
      </c>
      <c r="C61" s="16">
        <v>185.22499999999999</v>
      </c>
      <c r="D61" s="16">
        <v>120.53</v>
      </c>
      <c r="E61" s="16">
        <v>148.74700000000001</v>
      </c>
      <c r="F61" s="16">
        <v>134.667</v>
      </c>
      <c r="G61" s="16">
        <v>166.02500000000001</v>
      </c>
      <c r="H61" s="16">
        <v>193.334</v>
      </c>
      <c r="I61" s="16">
        <v>233.29300000000001</v>
      </c>
      <c r="J61" s="16">
        <v>193.05199999999999</v>
      </c>
      <c r="K61" s="16">
        <v>305.83999999999997</v>
      </c>
      <c r="L61" s="16">
        <v>309.238</v>
      </c>
      <c r="M61" s="16">
        <v>352.803</v>
      </c>
      <c r="N61" s="16">
        <v>368.73700000000002</v>
      </c>
      <c r="O61" s="16">
        <v>597.322</v>
      </c>
      <c r="P61" s="16">
        <v>774.846</v>
      </c>
      <c r="Q61" s="16">
        <v>1472.2349999999999</v>
      </c>
      <c r="R61" s="17">
        <f>$Q$61</f>
        <v>1472.2349999999999</v>
      </c>
      <c r="S61" s="17">
        <f>$R$61</f>
        <v>1472.2349999999999</v>
      </c>
      <c r="T61" s="17">
        <f>$S$61</f>
        <v>1472.2349999999999</v>
      </c>
      <c r="U61" s="17">
        <f>$T$61</f>
        <v>1472.2349999999999</v>
      </c>
      <c r="V61" s="17">
        <f>$U$61</f>
        <v>1472.2349999999999</v>
      </c>
      <c r="W61" s="17">
        <f>$V$61</f>
        <v>1472.2349999999999</v>
      </c>
      <c r="X61" s="17">
        <f>$W$61</f>
        <v>1472.2349999999999</v>
      </c>
      <c r="Y61" s="17">
        <f>$X$61</f>
        <v>1472.2349999999999</v>
      </c>
    </row>
    <row r="62" spans="1:25" ht="14.1" customHeight="1" x14ac:dyDescent="0.25">
      <c r="A62" s="12" t="s">
        <v>80</v>
      </c>
      <c r="B62" s="13">
        <v>1470.0239999999999</v>
      </c>
      <c r="C62" s="13">
        <v>1353.355</v>
      </c>
      <c r="D62" s="13">
        <v>916.94</v>
      </c>
      <c r="E62" s="13">
        <v>1092.3800000000001</v>
      </c>
      <c r="F62" s="13">
        <v>1374.652</v>
      </c>
      <c r="G62" s="13">
        <v>1604.8209999999999</v>
      </c>
      <c r="H62" s="13">
        <v>1992.0889999999999</v>
      </c>
      <c r="I62" s="13">
        <v>1717.6949999999999</v>
      </c>
      <c r="J62" s="13">
        <v>2345.721</v>
      </c>
      <c r="K62" s="13">
        <v>2871.1010000000001</v>
      </c>
      <c r="L62" s="13">
        <v>1357.81</v>
      </c>
      <c r="M62" s="13">
        <v>1428.136</v>
      </c>
      <c r="N62" s="13">
        <v>2344.7919999999999</v>
      </c>
      <c r="O62" s="13">
        <v>2347.2350000000001</v>
      </c>
      <c r="P62" s="13">
        <v>15396.708000000001</v>
      </c>
      <c r="Q62" s="13">
        <v>8122.6350000000002</v>
      </c>
      <c r="R62" s="14">
        <f>SUM($R$57,$R$58,$R$59,$R$60,$R$61)</f>
        <v>9121.0471188769006</v>
      </c>
      <c r="S62" s="14">
        <f>SUM($S$57,$S$58,$S$59,$S$60,$S$61)</f>
        <v>9309.5756472018329</v>
      </c>
      <c r="T62" s="14">
        <f>SUM($T$57,$T$58,$T$59,$T$60,$T$61)</f>
        <v>9506.3966726063372</v>
      </c>
      <c r="U62" s="14">
        <f>SUM($U$57,$U$58,$U$59,$U$60,$U$61)</f>
        <v>9711.7295440385878</v>
      </c>
      <c r="V62" s="14">
        <f>SUM($V$57,$V$58,$V$59,$V$60,$V$61)</f>
        <v>9920.3644243433191</v>
      </c>
      <c r="W62" s="14">
        <f>SUM($W$57,$W$58,$W$59,$W$60,$W$61)</f>
        <v>10139.268451705011</v>
      </c>
      <c r="X62" s="14">
        <f>SUM($X$57,$X$58,$X$59,$X$60,$X$61)</f>
        <v>10364.695241350984</v>
      </c>
      <c r="Y62" s="14">
        <f>SUM($Y$57,$Y$58,$Y$59,$Y$60,$Y$61)</f>
        <v>10604.900887666867</v>
      </c>
    </row>
    <row r="63" spans="1:25" ht="14.1" customHeight="1" x14ac:dyDescent="0.25">
      <c r="A63" s="15" t="s">
        <v>81</v>
      </c>
      <c r="B63" s="16">
        <v>147.61799999999999</v>
      </c>
      <c r="C63" s="16">
        <v>212.06399999999999</v>
      </c>
      <c r="D63" s="16">
        <v>131.36600000000001</v>
      </c>
      <c r="E63" s="16">
        <v>147.947</v>
      </c>
      <c r="F63" s="16">
        <v>120.179</v>
      </c>
      <c r="G63" s="16">
        <v>105.389</v>
      </c>
      <c r="H63" s="16">
        <v>333.00799999999998</v>
      </c>
      <c r="I63" s="16">
        <v>126.04300000000001</v>
      </c>
      <c r="J63" s="16">
        <v>1771.799</v>
      </c>
      <c r="K63" s="16">
        <v>2217.1239999999998</v>
      </c>
      <c r="L63" s="16">
        <v>1868.8879999999999</v>
      </c>
      <c r="M63" s="16">
        <v>2452.489</v>
      </c>
      <c r="N63" s="16">
        <v>4682.5929999999998</v>
      </c>
      <c r="O63" s="16">
        <v>4756.9359999999997</v>
      </c>
      <c r="P63" s="16">
        <v>4859.5839999999998</v>
      </c>
      <c r="Q63" s="16">
        <v>6967.2190000000001</v>
      </c>
      <c r="R63" s="17">
        <f>Assumptions!$R$35</f>
        <v>8773.1</v>
      </c>
      <c r="S63" s="17">
        <f>Assumptions!$S$35</f>
        <v>8773.1</v>
      </c>
      <c r="T63" s="17">
        <f>Assumptions!$T$35</f>
        <v>8773.1</v>
      </c>
      <c r="U63" s="17">
        <f>Assumptions!$U$35</f>
        <v>8773.1</v>
      </c>
      <c r="V63" s="17">
        <f>Assumptions!$V$35</f>
        <v>8773.1</v>
      </c>
      <c r="W63" s="17">
        <f>Assumptions!$W$35</f>
        <v>8773.1</v>
      </c>
      <c r="X63" s="17">
        <f>Assumptions!$X$35</f>
        <v>8773.1</v>
      </c>
      <c r="Y63" s="17">
        <f>Assumptions!$Y$35</f>
        <v>8773.1</v>
      </c>
    </row>
    <row r="64" spans="1:25" ht="14.1" customHeight="1" x14ac:dyDescent="0.25">
      <c r="A64" s="15" t="s">
        <v>82</v>
      </c>
      <c r="B64" s="16">
        <v>122.548</v>
      </c>
      <c r="C64" s="16">
        <v>134.625</v>
      </c>
      <c r="D64" s="16">
        <v>159.57400000000001</v>
      </c>
      <c r="E64" s="16">
        <v>161.17599999999999</v>
      </c>
      <c r="F64" s="16">
        <v>169.78100000000001</v>
      </c>
      <c r="G64" s="16">
        <v>174.47800000000001</v>
      </c>
      <c r="H64" s="16">
        <v>190.34200000000001</v>
      </c>
      <c r="I64" s="16">
        <v>203.19800000000001</v>
      </c>
      <c r="J64" s="16">
        <v>223.32400000000001</v>
      </c>
      <c r="K64" s="16">
        <v>252.34200000000001</v>
      </c>
      <c r="L64" s="16">
        <v>289.41399999999999</v>
      </c>
      <c r="M64" s="16">
        <v>312.99400000000003</v>
      </c>
      <c r="N64" s="16">
        <v>362.64499999999998</v>
      </c>
      <c r="O64" s="16">
        <v>430.68200000000002</v>
      </c>
      <c r="P64" s="16">
        <v>527.90899999999999</v>
      </c>
      <c r="Q64" s="16">
        <v>663.41</v>
      </c>
      <c r="R64" s="17">
        <f>$Q$64</f>
        <v>663.41</v>
      </c>
      <c r="S64" s="17">
        <f>$R$64</f>
        <v>663.41</v>
      </c>
      <c r="T64" s="17">
        <f>$S$64</f>
        <v>663.41</v>
      </c>
      <c r="U64" s="17">
        <f>$T$64</f>
        <v>663.41</v>
      </c>
      <c r="V64" s="17">
        <f>$U$64</f>
        <v>663.41</v>
      </c>
      <c r="W64" s="17">
        <f>$V$64</f>
        <v>663.41</v>
      </c>
      <c r="X64" s="17">
        <f>$W$64</f>
        <v>663.41</v>
      </c>
      <c r="Y64" s="17">
        <f>$X$64</f>
        <v>663.41</v>
      </c>
    </row>
    <row r="65" spans="1:25" ht="14.1" customHeight="1" x14ac:dyDescent="0.25">
      <c r="A65" s="15" t="s">
        <v>83</v>
      </c>
      <c r="B65" s="16">
        <v>39.14</v>
      </c>
      <c r="C65" s="16">
        <v>39.548999999999999</v>
      </c>
      <c r="D65" s="16">
        <v>37.313000000000002</v>
      </c>
      <c r="E65" s="16">
        <v>37.24</v>
      </c>
      <c r="F65" s="16">
        <v>37.947000000000003</v>
      </c>
      <c r="G65" s="16">
        <v>45.737000000000002</v>
      </c>
      <c r="H65" s="16">
        <v>46.173000000000002</v>
      </c>
      <c r="I65" s="16">
        <v>65.831000000000003</v>
      </c>
      <c r="J65" s="16">
        <v>67.878</v>
      </c>
      <c r="K65" s="16">
        <v>86.113</v>
      </c>
      <c r="L65" s="16">
        <v>88.611000000000004</v>
      </c>
      <c r="M65" s="16">
        <v>189.59299999999999</v>
      </c>
      <c r="N65" s="16">
        <v>326.52800000000002</v>
      </c>
      <c r="O65" s="16">
        <v>409.47199999999998</v>
      </c>
      <c r="P65" s="16">
        <v>408.75599999999997</v>
      </c>
      <c r="Q65" s="16">
        <v>412.36099999999999</v>
      </c>
      <c r="R65" s="17">
        <f>$Q$65</f>
        <v>412.36099999999999</v>
      </c>
      <c r="S65" s="17">
        <f>$R$65</f>
        <v>412.36099999999999</v>
      </c>
      <c r="T65" s="17">
        <f>$S$65</f>
        <v>412.36099999999999</v>
      </c>
      <c r="U65" s="17">
        <f>$T$65</f>
        <v>412.36099999999999</v>
      </c>
      <c r="V65" s="17">
        <f>$U$65</f>
        <v>412.36099999999999</v>
      </c>
      <c r="W65" s="17">
        <f>$V$65</f>
        <v>412.36099999999999</v>
      </c>
      <c r="X65" s="17">
        <f>$W$65</f>
        <v>412.36099999999999</v>
      </c>
      <c r="Y65" s="17">
        <f>$X$65</f>
        <v>412.36099999999999</v>
      </c>
    </row>
    <row r="66" spans="1:25" ht="14.1" customHeight="1" x14ac:dyDescent="0.25">
      <c r="A66" s="12" t="s">
        <v>84</v>
      </c>
      <c r="B66" s="13">
        <v>1779.33</v>
      </c>
      <c r="C66" s="13">
        <v>1676.08</v>
      </c>
      <c r="D66" s="13">
        <v>1256.0999999999999</v>
      </c>
      <c r="E66" s="13">
        <v>1424.0309999999999</v>
      </c>
      <c r="F66" s="13">
        <v>1702.559</v>
      </c>
      <c r="G66" s="13">
        <v>1930.425</v>
      </c>
      <c r="H66" s="13">
        <v>2327.9259999999999</v>
      </c>
      <c r="I66" s="13">
        <v>3768.625</v>
      </c>
      <c r="J66" s="13">
        <v>4408.7219999999998</v>
      </c>
      <c r="K66" s="13">
        <v>4974.4660000000003</v>
      </c>
      <c r="L66" s="13">
        <v>3489.8820000000001</v>
      </c>
      <c r="M66" s="13">
        <v>4359.0460000000003</v>
      </c>
      <c r="N66" s="13">
        <v>7716.558</v>
      </c>
      <c r="O66" s="13">
        <v>7862.4769999999999</v>
      </c>
      <c r="P66" s="13">
        <v>21009.433000000001</v>
      </c>
      <c r="Q66" s="13">
        <v>15876.438</v>
      </c>
      <c r="R66" s="14">
        <f>SUM($R$62,$R$63,$R$64,$R$65)</f>
        <v>18969.9181188769</v>
      </c>
      <c r="S66" s="14">
        <f>SUM($S$62,$S$63,$S$64,$S$65)</f>
        <v>19158.446647201832</v>
      </c>
      <c r="T66" s="14">
        <f>SUM($T$62,$T$63,$T$64,$T$65)</f>
        <v>19355.267672606336</v>
      </c>
      <c r="U66" s="14">
        <f>SUM($U$62,$U$63,$U$64,$U$65)</f>
        <v>19560.600544038589</v>
      </c>
      <c r="V66" s="14">
        <f>SUM($V$62,$V$63,$V$64,$V$65)</f>
        <v>19769.235424343322</v>
      </c>
      <c r="W66" s="14">
        <f>SUM($W$62,$W$63,$W$64,$W$65)</f>
        <v>19988.139451705014</v>
      </c>
      <c r="X66" s="14">
        <f>SUM($X$62,$X$63,$X$64,$X$65)</f>
        <v>20213.566241350985</v>
      </c>
      <c r="Y66" s="14">
        <f>SUM($Y$62,$Y$63,$Y$64,$Y$65)</f>
        <v>20453.771887666866</v>
      </c>
    </row>
    <row r="67" spans="1:25" ht="14.1" customHeight="1" x14ac:dyDescent="0.25">
      <c r="A67" s="25" t="s">
        <v>85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4.1" customHeight="1" x14ac:dyDescent="0.25">
      <c r="A68" s="15" t="s">
        <v>86</v>
      </c>
      <c r="B68" s="16">
        <v>942.923</v>
      </c>
      <c r="C68" s="16">
        <v>1127.3389999999999</v>
      </c>
      <c r="D68" s="16">
        <v>1303.5060000000001</v>
      </c>
      <c r="E68" s="16">
        <v>1239.4449999999999</v>
      </c>
      <c r="F68" s="16">
        <v>1433.0139999999999</v>
      </c>
      <c r="G68" s="16">
        <v>1590.009</v>
      </c>
      <c r="H68" s="16">
        <v>1885.9770000000001</v>
      </c>
      <c r="I68" s="16">
        <v>2288.4360000000001</v>
      </c>
      <c r="J68" s="16">
        <v>2585.6799999999998</v>
      </c>
      <c r="K68" s="16">
        <v>3010.0070000000001</v>
      </c>
      <c r="L68" s="16">
        <v>3330.6030000000001</v>
      </c>
      <c r="M68" s="16">
        <v>3439.38</v>
      </c>
      <c r="N68" s="16">
        <v>3434.5390000000002</v>
      </c>
      <c r="O68" s="16">
        <v>3602.8240000000001</v>
      </c>
      <c r="P68" s="16">
        <v>4003.3879999999999</v>
      </c>
      <c r="Q68" s="16">
        <v>4486.7749999999996</v>
      </c>
      <c r="R68" s="17">
        <f>$Q$68+$R$33</f>
        <v>4923.4493208000322</v>
      </c>
      <c r="S68" s="17">
        <f>$R$68+$S$33</f>
        <v>5393.703611714137</v>
      </c>
      <c r="T68" s="17">
        <f>$S$68+$T$33</f>
        <v>5899.2328048673198</v>
      </c>
      <c r="U68" s="17">
        <f>$T$68+$U$33</f>
        <v>6441.8704191003299</v>
      </c>
      <c r="V68" s="17">
        <f>$U$68+$V$33</f>
        <v>7027.9669127275629</v>
      </c>
      <c r="W68" s="17">
        <f>$V$68+$W$33</f>
        <v>7660.1900756296172</v>
      </c>
      <c r="X68" s="17">
        <f>$W$68+$X$33</f>
        <v>8340.4009542988151</v>
      </c>
      <c r="Y68" s="17">
        <f>$X$68+$Y$33</f>
        <v>9066.0386043738945</v>
      </c>
    </row>
    <row r="69" spans="1:25" ht="14.1" customHeight="1" x14ac:dyDescent="0.25">
      <c r="A69" s="15" t="s">
        <v>87</v>
      </c>
      <c r="B69" s="16">
        <v>0.91100000000000003</v>
      </c>
      <c r="C69" s="16">
        <v>0.51400000000000001</v>
      </c>
      <c r="D69" s="16">
        <v>0.61199999999999999</v>
      </c>
      <c r="E69" s="16">
        <v>0.68300000000000005</v>
      </c>
      <c r="F69" s="16">
        <v>0.63900000000000001</v>
      </c>
      <c r="G69" s="16">
        <v>0.65100000000000002</v>
      </c>
      <c r="H69" s="16">
        <v>0.65700000000000003</v>
      </c>
      <c r="I69" s="16">
        <v>0.54900000000000004</v>
      </c>
      <c r="J69" s="16">
        <v>0.70599999999999996</v>
      </c>
      <c r="K69" s="16">
        <v>0.8</v>
      </c>
      <c r="L69" s="16">
        <v>0.65200000000000002</v>
      </c>
      <c r="M69" s="16">
        <v>0.66300000000000003</v>
      </c>
      <c r="N69" s="16">
        <v>0.70499999999999996</v>
      </c>
      <c r="O69" s="16">
        <v>0.69799999999999995</v>
      </c>
      <c r="P69" s="16">
        <v>0.69499999999999995</v>
      </c>
      <c r="Q69" s="16">
        <v>0.69199999999999995</v>
      </c>
      <c r="R69" s="17">
        <f>$Q$69</f>
        <v>0.69199999999999995</v>
      </c>
      <c r="S69" s="17">
        <f>$R$69</f>
        <v>0.69199999999999995</v>
      </c>
      <c r="T69" s="17">
        <f>$S$69</f>
        <v>0.69199999999999995</v>
      </c>
      <c r="U69" s="17">
        <f>$T$69</f>
        <v>0.69199999999999995</v>
      </c>
      <c r="V69" s="17">
        <f>$U$69</f>
        <v>0.69199999999999995</v>
      </c>
      <c r="W69" s="17">
        <f>$V$69</f>
        <v>0.69199999999999995</v>
      </c>
      <c r="X69" s="17">
        <f>$W$69</f>
        <v>0.69199999999999995</v>
      </c>
      <c r="Y69" s="17">
        <f>$X$69</f>
        <v>0.69199999999999995</v>
      </c>
    </row>
    <row r="70" spans="1:25" ht="14.1" customHeight="1" x14ac:dyDescent="0.25">
      <c r="A70" s="12" t="s">
        <v>88</v>
      </c>
      <c r="B70" s="13">
        <v>1425.575</v>
      </c>
      <c r="C70" s="13">
        <v>1625.0360000000001</v>
      </c>
      <c r="D70" s="13">
        <v>1818.6769999999999</v>
      </c>
      <c r="E70" s="13">
        <v>1768.4069999999999</v>
      </c>
      <c r="F70" s="13">
        <v>1972.0050000000001</v>
      </c>
      <c r="G70" s="13">
        <v>2165.3780000000002</v>
      </c>
      <c r="H70" s="13">
        <v>3076.91</v>
      </c>
      <c r="I70" s="13">
        <v>5093.9930000000004</v>
      </c>
      <c r="J70" s="13">
        <v>5417.2060000000001</v>
      </c>
      <c r="K70" s="13">
        <v>5876.7539999999999</v>
      </c>
      <c r="L70" s="13">
        <v>6238.3069999999998</v>
      </c>
      <c r="M70" s="13">
        <v>6379.3190000000004</v>
      </c>
      <c r="N70" s="13">
        <v>6301.6930000000002</v>
      </c>
      <c r="O70" s="13">
        <v>6523.39</v>
      </c>
      <c r="P70" s="13">
        <v>6992.0150000000003</v>
      </c>
      <c r="Q70" s="13">
        <v>7575.43</v>
      </c>
      <c r="R70" s="14">
        <f>$R$55-$R$66</f>
        <v>23.254342507811089</v>
      </c>
      <c r="S70" s="14">
        <f>$S$55-$S$66</f>
        <v>387.0096149865858</v>
      </c>
      <c r="T70" s="14">
        <f>$T$55-$T$66</f>
        <v>771.0196242231541</v>
      </c>
      <c r="U70" s="14">
        <f>$U$55-$U$66</f>
        <v>1175.8319615460969</v>
      </c>
      <c r="V70" s="14">
        <f>$V$55-$V$66</f>
        <v>1593.3236493199111</v>
      </c>
      <c r="W70" s="14">
        <f>$W$55-$W$66</f>
        <v>2036.2317791858513</v>
      </c>
      <c r="X70" s="14">
        <f>$X$55-$X$66</f>
        <v>2495.5655144261145</v>
      </c>
      <c r="Y70" s="14">
        <f>$Y$55-$Y$66</f>
        <v>2986.3306447036375</v>
      </c>
    </row>
    <row r="71" spans="1:25" ht="14.1" customHeight="1" x14ac:dyDescent="0.25">
      <c r="A71" s="12" t="s">
        <v>89</v>
      </c>
      <c r="B71" s="13">
        <v>3205.0770000000002</v>
      </c>
      <c r="C71" s="13">
        <v>3301.2829999999999</v>
      </c>
      <c r="D71" s="13">
        <v>3074.942</v>
      </c>
      <c r="E71" s="13">
        <v>3192.6039999999998</v>
      </c>
      <c r="F71" s="13">
        <v>3674.7289999999998</v>
      </c>
      <c r="G71" s="13">
        <v>4095.9639999999999</v>
      </c>
      <c r="H71" s="13">
        <v>5405</v>
      </c>
      <c r="I71" s="13">
        <v>8862.7810000000009</v>
      </c>
      <c r="J71" s="13">
        <v>9826.0920000000006</v>
      </c>
      <c r="K71" s="13">
        <v>10851.383</v>
      </c>
      <c r="L71" s="13">
        <v>9728.348</v>
      </c>
      <c r="M71" s="13">
        <v>10738.525</v>
      </c>
      <c r="N71" s="13">
        <v>14018.429</v>
      </c>
      <c r="O71" s="13">
        <v>14386.037</v>
      </c>
      <c r="P71" s="13">
        <v>28001.61</v>
      </c>
      <c r="Q71" s="13">
        <v>23452.028999999999</v>
      </c>
      <c r="R71" s="14">
        <f>$R$55</f>
        <v>18993.172461384711</v>
      </c>
      <c r="S71" s="14">
        <f>$S$55</f>
        <v>19545.456262188418</v>
      </c>
      <c r="T71" s="14">
        <f>$T$55</f>
        <v>20126.287296829491</v>
      </c>
      <c r="U71" s="14">
        <f>$U$55</f>
        <v>20736.432505584686</v>
      </c>
      <c r="V71" s="14">
        <f>$V$55</f>
        <v>21362.559073663233</v>
      </c>
      <c r="W71" s="14">
        <f>$W$55</f>
        <v>22024.371230890865</v>
      </c>
      <c r="X71" s="14">
        <f>$X$55</f>
        <v>22709.1317557771</v>
      </c>
      <c r="Y71" s="14">
        <f>$Y$55</f>
        <v>23440.102532370503</v>
      </c>
    </row>
    <row r="72" spans="1:25" ht="14.1" customHeight="1" x14ac:dyDescent="0.25">
      <c r="A72" s="25" t="s">
        <v>90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4.1" customHeight="1" x14ac:dyDescent="0.25">
      <c r="A73" s="15" t="s">
        <v>91</v>
      </c>
      <c r="B73" s="16">
        <v>1559.7829999999999</v>
      </c>
      <c r="C73" s="16">
        <v>1457.8409999999999</v>
      </c>
      <c r="D73" s="16">
        <v>1494.55</v>
      </c>
      <c r="E73" s="16">
        <v>1406.5640000000001</v>
      </c>
      <c r="F73" s="16">
        <v>1663.604</v>
      </c>
      <c r="G73" s="16">
        <v>1625.095</v>
      </c>
      <c r="H73" s="16">
        <v>2447.366</v>
      </c>
      <c r="I73" s="16">
        <v>4332.348</v>
      </c>
      <c r="J73" s="16">
        <v>5337.0870000000004</v>
      </c>
      <c r="K73" s="16">
        <v>5465.280999999999</v>
      </c>
      <c r="L73" s="16">
        <v>6149.3600000000006</v>
      </c>
      <c r="M73" s="16">
        <v>5636.9560000000001</v>
      </c>
      <c r="N73" s="16">
        <v>4915.3919999999998</v>
      </c>
      <c r="O73" s="16">
        <v>6274.0850000000009</v>
      </c>
      <c r="P73" s="16">
        <v>6957.2819999999992</v>
      </c>
      <c r="Q73" s="16">
        <v>14288.728999999999</v>
      </c>
      <c r="R73" s="17">
        <f>($R$49+$R$50+$R$51)-($R$57+$R$58+$R$61)</f>
        <v>10520.779342507813</v>
      </c>
      <c r="S73" s="17">
        <f>($S$49+$S$50+$S$51)-($S$57+$S$58+$S$61)</f>
        <v>10978.334614986587</v>
      </c>
      <c r="T73" s="17">
        <f>($T$49+$T$50+$T$51)-($T$57+$T$58+$T$61)</f>
        <v>11456.144624223154</v>
      </c>
      <c r="U73" s="17">
        <f>($U$49+$U$50+$U$51)-($U$57+$U$58+$U$61)</f>
        <v>11954.756961546102</v>
      </c>
      <c r="V73" s="17">
        <f>($V$49+$V$50+$V$51)-($V$57+$V$58+$V$61)</f>
        <v>12466.048649319917</v>
      </c>
      <c r="W73" s="17">
        <f>($W$49+$W$50+$W$51)-($W$57+$W$58+$W$61)</f>
        <v>13002.756779185855</v>
      </c>
      <c r="X73" s="17">
        <f>($X$49+$X$50+$X$51)-($X$57+$X$58+$X$61)</f>
        <v>13555.890514426117</v>
      </c>
      <c r="Y73" s="17">
        <f>($Y$49+$Y$50+$Y$51)-($Y$57+$Y$58+$Y$61)</f>
        <v>14140.455644703636</v>
      </c>
    </row>
    <row r="74" spans="1:25" ht="14.1" customHeight="1" x14ac:dyDescent="0.25">
      <c r="A74" s="15" t="s">
        <v>92</v>
      </c>
      <c r="B74" s="16"/>
      <c r="C74" s="16">
        <v>-101.94199999999999</v>
      </c>
      <c r="D74" s="16">
        <v>36.708999999999833</v>
      </c>
      <c r="E74" s="16">
        <v>-87.985999999999649</v>
      </c>
      <c r="F74" s="16">
        <v>257.03999999999968</v>
      </c>
      <c r="G74" s="16">
        <v>-38.509000000000242</v>
      </c>
      <c r="H74" s="16">
        <v>822.27100000000019</v>
      </c>
      <c r="I74" s="16">
        <v>1884.982</v>
      </c>
      <c r="J74" s="16">
        <v>1004.739</v>
      </c>
      <c r="K74" s="16">
        <v>128.1939999999986</v>
      </c>
      <c r="L74" s="16">
        <v>684.07900000000154</v>
      </c>
      <c r="M74" s="16">
        <v>-512.40400000000045</v>
      </c>
      <c r="N74" s="16">
        <v>-721.56400000000031</v>
      </c>
      <c r="O74" s="16">
        <v>1358.6930000000009</v>
      </c>
      <c r="P74" s="16">
        <v>683.1969999999983</v>
      </c>
      <c r="Q74" s="16">
        <v>7331.4470000000001</v>
      </c>
      <c r="R74" s="17">
        <f>$R$73-$Q$73</f>
        <v>-3767.9496574921868</v>
      </c>
      <c r="S74" s="17">
        <f>$S$73-$R$73</f>
        <v>457.55527247877399</v>
      </c>
      <c r="T74" s="17">
        <f>$T$73-$S$73</f>
        <v>477.81000923656757</v>
      </c>
      <c r="U74" s="17">
        <f>$U$73-$T$73</f>
        <v>498.6123373229475</v>
      </c>
      <c r="V74" s="17">
        <f>$V$73-$U$73</f>
        <v>511.29168777381528</v>
      </c>
      <c r="W74" s="17">
        <f>$W$73-$V$73</f>
        <v>536.70812986593774</v>
      </c>
      <c r="X74" s="17">
        <f>$X$73-$W$73</f>
        <v>553.13373524026247</v>
      </c>
      <c r="Y74" s="17">
        <f>$Y$73-$X$73</f>
        <v>584.56513027751862</v>
      </c>
    </row>
    <row r="76" spans="1:25" ht="18" customHeight="1" x14ac:dyDescent="0.25">
      <c r="A76" s="34" t="s">
        <v>93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spans="1:25" ht="20.100000000000001" customHeight="1" x14ac:dyDescent="0.25">
      <c r="A77" s="2"/>
      <c r="B77" s="3" t="s">
        <v>2</v>
      </c>
      <c r="C77" s="3" t="s">
        <v>3</v>
      </c>
      <c r="D77" s="3" t="s">
        <v>4</v>
      </c>
      <c r="E77" s="3" t="s">
        <v>5</v>
      </c>
      <c r="F77" s="3" t="s">
        <v>6</v>
      </c>
      <c r="G77" s="3" t="s">
        <v>7</v>
      </c>
      <c r="H77" s="3" t="s">
        <v>8</v>
      </c>
      <c r="I77" s="3" t="s">
        <v>9</v>
      </c>
      <c r="J77" s="3" t="s">
        <v>10</v>
      </c>
      <c r="K77" s="3" t="s">
        <v>11</v>
      </c>
      <c r="L77" s="3" t="s">
        <v>12</v>
      </c>
      <c r="M77" s="3" t="s">
        <v>13</v>
      </c>
      <c r="N77" s="3" t="s">
        <v>14</v>
      </c>
      <c r="O77" s="3" t="s">
        <v>15</v>
      </c>
      <c r="P77" s="3" t="s">
        <v>16</v>
      </c>
      <c r="Q77" s="3" t="s">
        <v>17</v>
      </c>
      <c r="R77" s="4" t="s">
        <v>18</v>
      </c>
      <c r="S77" s="4" t="s">
        <v>19</v>
      </c>
      <c r="T77" s="4" t="s">
        <v>20</v>
      </c>
      <c r="U77" s="4" t="s">
        <v>21</v>
      </c>
      <c r="V77" s="4" t="s">
        <v>22</v>
      </c>
      <c r="W77" s="4" t="s">
        <v>23</v>
      </c>
      <c r="X77" s="4" t="s">
        <v>24</v>
      </c>
      <c r="Y77" s="4" t="s">
        <v>25</v>
      </c>
    </row>
    <row r="78" spans="1:25" ht="14.1" customHeight="1" x14ac:dyDescent="0.25">
      <c r="A78" s="25" t="s">
        <v>94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4.1" customHeight="1" x14ac:dyDescent="0.25">
      <c r="A79" s="12" t="s">
        <v>53</v>
      </c>
      <c r="B79" s="13">
        <v>140.822</v>
      </c>
      <c r="C79" s="13">
        <v>184.416</v>
      </c>
      <c r="D79" s="13">
        <v>176.167</v>
      </c>
      <c r="E79" s="13">
        <v>85.846000000000004</v>
      </c>
      <c r="F79" s="13">
        <v>193.56899999999999</v>
      </c>
      <c r="G79" s="13">
        <v>156.995</v>
      </c>
      <c r="H79" s="13">
        <v>295.96800000000002</v>
      </c>
      <c r="I79" s="13">
        <v>402.459</v>
      </c>
      <c r="J79" s="13">
        <v>297.24400000000003</v>
      </c>
      <c r="K79" s="13">
        <v>424.327</v>
      </c>
      <c r="L79" s="13">
        <v>320.596</v>
      </c>
      <c r="M79" s="13">
        <v>108.777</v>
      </c>
      <c r="N79" s="13">
        <v>195.154</v>
      </c>
      <c r="O79" s="13">
        <v>168.285</v>
      </c>
      <c r="P79" s="13">
        <v>400.56400000000002</v>
      </c>
      <c r="Q79" s="13">
        <v>483.387</v>
      </c>
      <c r="R79" s="14">
        <f>$R$33</f>
        <v>436.67432080003215</v>
      </c>
      <c r="S79" s="14">
        <f>$S$33</f>
        <v>470.25429091410518</v>
      </c>
      <c r="T79" s="14">
        <f>$T$33</f>
        <v>505.52919315318263</v>
      </c>
      <c r="U79" s="14">
        <f>$U$33</f>
        <v>542.6376142330098</v>
      </c>
      <c r="V79" s="14">
        <f>$V$33</f>
        <v>586.09649362723292</v>
      </c>
      <c r="W79" s="14">
        <f>$W$33</f>
        <v>632.2231629020547</v>
      </c>
      <c r="X79" s="14">
        <f>$X$33</f>
        <v>680.21087866919709</v>
      </c>
      <c r="Y79" s="14">
        <f>$Y$33</f>
        <v>725.6376500750797</v>
      </c>
    </row>
    <row r="80" spans="1:25" ht="14.1" customHeight="1" x14ac:dyDescent="0.25">
      <c r="A80" s="15" t="s">
        <v>61</v>
      </c>
      <c r="B80" s="16">
        <v>0.751</v>
      </c>
      <c r="C80" s="16">
        <v>8.5470000000000006</v>
      </c>
      <c r="D80" s="16">
        <v>8.6489999999999991</v>
      </c>
      <c r="E80" s="16">
        <v>8.7360000000000007</v>
      </c>
      <c r="F80" s="16">
        <v>0.96799999999999997</v>
      </c>
      <c r="G80" s="16">
        <v>7</v>
      </c>
      <c r="H80" s="16">
        <v>7.3</v>
      </c>
      <c r="I80" s="16">
        <v>7.6</v>
      </c>
      <c r="J80" s="16">
        <v>8.1999999999999993</v>
      </c>
      <c r="K80" s="16">
        <v>9</v>
      </c>
      <c r="L80" s="16">
        <v>9.5</v>
      </c>
      <c r="M80" s="16">
        <v>10.9</v>
      </c>
      <c r="N80" s="16">
        <v>11.6</v>
      </c>
      <c r="O80" s="16">
        <v>12.1</v>
      </c>
      <c r="P80" s="16">
        <v>12.8</v>
      </c>
      <c r="Q80" s="16">
        <v>13.5</v>
      </c>
      <c r="R80" s="17">
        <f>Assumptions!$R$16</f>
        <v>13.5</v>
      </c>
      <c r="S80" s="17">
        <f>Assumptions!$S$16</f>
        <v>13.5</v>
      </c>
      <c r="T80" s="17">
        <f>Assumptions!$T$16</f>
        <v>13.5</v>
      </c>
      <c r="U80" s="17">
        <f>Assumptions!$U$16</f>
        <v>13.5</v>
      </c>
      <c r="V80" s="17">
        <f>Assumptions!$V$16</f>
        <v>13.5</v>
      </c>
      <c r="W80" s="17">
        <f>Assumptions!$W$16</f>
        <v>13.5</v>
      </c>
      <c r="X80" s="17">
        <f>Assumptions!$X$16</f>
        <v>13.5</v>
      </c>
      <c r="Y80" s="17">
        <f>Assumptions!$Y$16</f>
        <v>13.5</v>
      </c>
    </row>
    <row r="81" spans="1:25" ht="14.1" customHeight="1" x14ac:dyDescent="0.25">
      <c r="A81" s="15" t="s">
        <v>95</v>
      </c>
      <c r="B81" s="16">
        <v>8.8840000000000003</v>
      </c>
      <c r="C81" s="16">
        <v>11.013999999999999</v>
      </c>
      <c r="D81" s="16">
        <v>16.981000000000002</v>
      </c>
      <c r="E81" s="16">
        <v>13.651999999999999</v>
      </c>
      <c r="F81" s="16">
        <v>12.786</v>
      </c>
      <c r="G81" s="16">
        <v>57.378999999999998</v>
      </c>
      <c r="H81" s="16">
        <v>43.061</v>
      </c>
      <c r="I81" s="16">
        <v>56.106999999999999</v>
      </c>
      <c r="J81" s="16">
        <v>74.959999999999994</v>
      </c>
      <c r="K81" s="16">
        <v>64.013999999999996</v>
      </c>
      <c r="L81" s="16">
        <v>82.122</v>
      </c>
      <c r="M81" s="16">
        <v>84.703999999999994</v>
      </c>
      <c r="N81" s="16">
        <v>83.611999999999995</v>
      </c>
      <c r="O81" s="16">
        <v>89.138999999999996</v>
      </c>
      <c r="P81" s="16">
        <v>90.484999999999999</v>
      </c>
      <c r="Q81" s="16">
        <v>125.934</v>
      </c>
      <c r="R81" s="17">
        <f>Assumptions!$R$20</f>
        <v>125.9</v>
      </c>
      <c r="S81" s="17">
        <f>Assumptions!$S$20</f>
        <v>125.9</v>
      </c>
      <c r="T81" s="17">
        <f>Assumptions!$T$20</f>
        <v>125.9</v>
      </c>
      <c r="U81" s="17">
        <f>Assumptions!$U$20</f>
        <v>125.9</v>
      </c>
      <c r="V81" s="17">
        <f>Assumptions!$V$20</f>
        <v>125.9</v>
      </c>
      <c r="W81" s="17">
        <f>Assumptions!$W$20</f>
        <v>125.9</v>
      </c>
      <c r="X81" s="17">
        <f>Assumptions!$X$20</f>
        <v>125.9</v>
      </c>
      <c r="Y81" s="17">
        <f>Assumptions!$Y$20</f>
        <v>125.9</v>
      </c>
    </row>
    <row r="82" spans="1:25" ht="14.1" customHeight="1" x14ac:dyDescent="0.25">
      <c r="A82" s="15" t="s">
        <v>96</v>
      </c>
      <c r="B82" s="16">
        <v>-155.97399999999999</v>
      </c>
      <c r="C82" s="16">
        <v>95.087999999999994</v>
      </c>
      <c r="D82" s="16">
        <v>-27.052</v>
      </c>
      <c r="E82" s="16">
        <v>97.846999999999994</v>
      </c>
      <c r="F82" s="16">
        <v>-477.78</v>
      </c>
      <c r="G82" s="16">
        <v>302.50099999999998</v>
      </c>
      <c r="H82" s="16">
        <v>-657.18600000000004</v>
      </c>
      <c r="I82" s="16">
        <v>-147.185</v>
      </c>
      <c r="J82" s="16">
        <v>-1087.317</v>
      </c>
      <c r="K82" s="16">
        <v>15.288</v>
      </c>
      <c r="L82" s="16">
        <v>-334.66199999999998</v>
      </c>
      <c r="M82" s="16">
        <v>414.15600000000001</v>
      </c>
      <c r="N82" s="16">
        <v>438.55900000000003</v>
      </c>
      <c r="O82" s="16">
        <v>-321.24400000000003</v>
      </c>
      <c r="P82" s="16">
        <v>-8471.5840000000007</v>
      </c>
      <c r="Q82" s="16">
        <v>2582.9969999999998</v>
      </c>
      <c r="R82" s="17">
        <f>-($R$49-$Q$49)</f>
        <v>1565.4277326109896</v>
      </c>
      <c r="S82" s="17">
        <f>-($S$49-$R$49)</f>
        <v>-261.46969344039553</v>
      </c>
      <c r="T82" s="17">
        <f>-($T$49-$S$49)</f>
        <v>-273.09953344664973</v>
      </c>
      <c r="U82" s="17">
        <f>-($U$49-$T$49)</f>
        <v>-285.0488233649312</v>
      </c>
      <c r="V82" s="17">
        <f>-($V$49-$U$49)</f>
        <v>-294.29380593787937</v>
      </c>
      <c r="W82" s="17">
        <f>-($W$49-$V$49)</f>
        <v>-309.02946849607906</v>
      </c>
      <c r="X82" s="17">
        <f>-($X$49-$W$49)</f>
        <v>-318.67085065067658</v>
      </c>
      <c r="Y82" s="17">
        <f>-($Y$49-$X$49)</f>
        <v>-334.73098759032655</v>
      </c>
    </row>
    <row r="83" spans="1:25" ht="14.1" customHeight="1" x14ac:dyDescent="0.25">
      <c r="A83" s="15" t="s">
        <v>97</v>
      </c>
      <c r="B83" s="16">
        <v>56.811</v>
      </c>
      <c r="C83" s="16">
        <v>-190.44900000000001</v>
      </c>
      <c r="D83" s="16">
        <v>314.238</v>
      </c>
      <c r="E83" s="16">
        <v>-118.602</v>
      </c>
      <c r="F83" s="16">
        <v>94.855000000000004</v>
      </c>
      <c r="G83" s="16">
        <v>-607.24099999999999</v>
      </c>
      <c r="H83" s="16">
        <v>-414.19200000000001</v>
      </c>
      <c r="I83" s="16">
        <v>-1657.59</v>
      </c>
      <c r="J83" s="16">
        <v>-220.97300000000001</v>
      </c>
      <c r="K83" s="16">
        <v>-606.87300000000005</v>
      </c>
      <c r="L83" s="16">
        <v>1306.4860000000001</v>
      </c>
      <c r="M83" s="16">
        <v>-400.76600000000002</v>
      </c>
      <c r="N83" s="16">
        <v>-654.45299999999997</v>
      </c>
      <c r="O83" s="16">
        <v>-1087.01</v>
      </c>
      <c r="P83" s="16">
        <v>-5001.8090000000002</v>
      </c>
      <c r="Q83" s="16">
        <v>-580.74099999999999</v>
      </c>
      <c r="R83" s="17">
        <f>-($R$50-$Q$50)</f>
        <v>876.58980600429641</v>
      </c>
      <c r="S83" s="17">
        <f>-($S$50-$R$50)</f>
        <v>-384.61410736330981</v>
      </c>
      <c r="T83" s="17">
        <f>-($T$50-$S$50)</f>
        <v>-401.53150119442034</v>
      </c>
      <c r="U83" s="17">
        <f>-($U$50-$T$50)</f>
        <v>-418.896385390266</v>
      </c>
      <c r="V83" s="17">
        <f>-($V$50-$U$50)</f>
        <v>-425.63276214066718</v>
      </c>
      <c r="W83" s="17">
        <f>-($W$50-$V$50)</f>
        <v>-446.58268873155248</v>
      </c>
      <c r="X83" s="17">
        <f>-($X$50-$W$50)</f>
        <v>-459.88967423556096</v>
      </c>
      <c r="Y83" s="17">
        <f>-($Y$50-$X$50)</f>
        <v>-490.03978900307629</v>
      </c>
    </row>
    <row r="84" spans="1:25" ht="14.1" customHeight="1" x14ac:dyDescent="0.25">
      <c r="A84" s="15" t="s">
        <v>98</v>
      </c>
      <c r="B84" s="16">
        <v>-122.886</v>
      </c>
      <c r="C84" s="16">
        <v>132.30199999999999</v>
      </c>
      <c r="D84" s="16">
        <v>-223.21</v>
      </c>
      <c r="E84" s="16">
        <v>81.787999999999997</v>
      </c>
      <c r="F84" s="16">
        <v>136.255</v>
      </c>
      <c r="G84" s="16">
        <v>302.97300000000001</v>
      </c>
      <c r="H84" s="16">
        <v>176.64</v>
      </c>
      <c r="I84" s="16">
        <v>-170</v>
      </c>
      <c r="J84" s="16">
        <v>369.577</v>
      </c>
      <c r="K84" s="16">
        <v>220.35300000000001</v>
      </c>
      <c r="L84" s="16">
        <v>-1127.269</v>
      </c>
      <c r="M84" s="16">
        <v>95.225999999999999</v>
      </c>
      <c r="N84" s="16">
        <v>630.72199999999998</v>
      </c>
      <c r="O84" s="16">
        <v>0.90100000000000002</v>
      </c>
      <c r="P84" s="16">
        <v>12465.867</v>
      </c>
      <c r="Q84" s="16">
        <v>-10059.838</v>
      </c>
      <c r="R84" s="17">
        <f>$R$57-$Q$57</f>
        <v>1325.9321188769009</v>
      </c>
      <c r="S84" s="17">
        <f>$S$57-$R$57</f>
        <v>188.52852832493136</v>
      </c>
      <c r="T84" s="17">
        <f>$T$57-$S$57</f>
        <v>196.82102540450433</v>
      </c>
      <c r="U84" s="17">
        <f>$U$57-$T$57</f>
        <v>205.33287143225061</v>
      </c>
      <c r="V84" s="17">
        <f>$V$57-$U$57</f>
        <v>208.63488030473218</v>
      </c>
      <c r="W84" s="17">
        <f>$W$57-$V$57</f>
        <v>218.90402736169199</v>
      </c>
      <c r="X84" s="17">
        <f>$X$57-$W$57</f>
        <v>225.42678964597235</v>
      </c>
      <c r="Y84" s="17">
        <f>$Y$57-$X$57</f>
        <v>240.20564631588331</v>
      </c>
    </row>
    <row r="85" spans="1:25" ht="14.1" customHeight="1" x14ac:dyDescent="0.25">
      <c r="A85" s="12" t="s">
        <v>99</v>
      </c>
      <c r="B85" s="13">
        <v>-25.143000000000001</v>
      </c>
      <c r="C85" s="13">
        <v>313.58699999999999</v>
      </c>
      <c r="D85" s="13">
        <v>161.08699999999999</v>
      </c>
      <c r="E85" s="13">
        <v>198.245</v>
      </c>
      <c r="F85" s="13">
        <v>-9.3390000000000004</v>
      </c>
      <c r="G85" s="13">
        <v>270.46499999999997</v>
      </c>
      <c r="H85" s="13">
        <v>-595.08500000000004</v>
      </c>
      <c r="I85" s="13">
        <v>-1513.538</v>
      </c>
      <c r="J85" s="13">
        <v>-647.81399999999996</v>
      </c>
      <c r="K85" s="13">
        <v>408.904</v>
      </c>
      <c r="L85" s="13">
        <v>-239.75700000000001</v>
      </c>
      <c r="M85" s="13">
        <v>626.76400000000001</v>
      </c>
      <c r="N85" s="13">
        <v>863.61300000000006</v>
      </c>
      <c r="O85" s="13">
        <v>-917.52300000000002</v>
      </c>
      <c r="P85" s="13">
        <v>-23.898</v>
      </c>
      <c r="Q85" s="13">
        <v>-6615.4260000000004</v>
      </c>
      <c r="R85" s="14">
        <f>SUM($R$79,$R$80,$R$81,$R$82,$R$83,$R$84)</f>
        <v>4344.023978292219</v>
      </c>
      <c r="S85" s="14">
        <f>SUM($S$79,$S$80,$S$81,$S$82,$S$83,$S$84)</f>
        <v>152.09901843533123</v>
      </c>
      <c r="T85" s="14">
        <f>SUM($T$79,$T$80,$T$81,$T$82,$T$83,$T$84)</f>
        <v>167.11918391661686</v>
      </c>
      <c r="U85" s="14">
        <f>SUM($U$79,$U$80,$U$81,$U$82,$U$83,$U$84)</f>
        <v>183.42527691006319</v>
      </c>
      <c r="V85" s="14">
        <f>SUM($V$79,$V$80,$V$81,$V$82,$V$83,$V$84)</f>
        <v>214.20480585341852</v>
      </c>
      <c r="W85" s="14">
        <f>SUM($W$79,$W$80,$W$81,$W$82,$W$83,$W$84)</f>
        <v>234.91503303611512</v>
      </c>
      <c r="X85" s="14">
        <f>SUM($X$79,$X$80,$X$81,$X$82,$X$83,$X$84)</f>
        <v>266.47714342893187</v>
      </c>
      <c r="Y85" s="14">
        <f>SUM($Y$79,$Y$80,$Y$81,$Y$82,$Y$83,$Y$84)</f>
        <v>280.47251979756015</v>
      </c>
    </row>
    <row r="86" spans="1:25" ht="14.1" customHeight="1" x14ac:dyDescent="0.25">
      <c r="A86" s="25" t="s">
        <v>100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4.1" customHeight="1" x14ac:dyDescent="0.25">
      <c r="A87" s="15" t="s">
        <v>101</v>
      </c>
      <c r="B87" s="16">
        <v>-11.025</v>
      </c>
      <c r="C87" s="16">
        <v>-10.746</v>
      </c>
      <c r="D87" s="16">
        <v>-9.8849999999999998</v>
      </c>
      <c r="E87" s="16">
        <v>-7.9870000000000001</v>
      </c>
      <c r="F87" s="16">
        <v>-8.1750000000000007</v>
      </c>
      <c r="G87" s="16">
        <v>-2.6309999999999998</v>
      </c>
      <c r="H87" s="16">
        <v>-14.72</v>
      </c>
      <c r="I87" s="16">
        <v>-92.944999999999993</v>
      </c>
      <c r="J87" s="16">
        <v>-13.983000000000001</v>
      </c>
      <c r="K87" s="16">
        <v>-44.3</v>
      </c>
      <c r="L87" s="16">
        <v>-27.536000000000001</v>
      </c>
      <c r="M87" s="16">
        <v>-32.700000000000003</v>
      </c>
      <c r="N87" s="16">
        <v>-22.678000000000001</v>
      </c>
      <c r="O87" s="16">
        <v>-32.270000000000003</v>
      </c>
      <c r="P87" s="16">
        <v>-21.221</v>
      </c>
      <c r="Q87" s="16">
        <v>-80.278000000000006</v>
      </c>
      <c r="R87" s="17">
        <f>-Assumptions!$R$17</f>
        <v>80.3</v>
      </c>
      <c r="S87" s="17">
        <f>-Assumptions!$S$17</f>
        <v>80.3</v>
      </c>
      <c r="T87" s="17">
        <f>-Assumptions!$T$17</f>
        <v>80.3</v>
      </c>
      <c r="U87" s="17">
        <f>-Assumptions!$U$17</f>
        <v>80.3</v>
      </c>
      <c r="V87" s="17">
        <f>-Assumptions!$V$17</f>
        <v>80.3</v>
      </c>
      <c r="W87" s="17">
        <f>-Assumptions!$W$17</f>
        <v>80.3</v>
      </c>
      <c r="X87" s="17">
        <f>-Assumptions!$X$17</f>
        <v>80.3</v>
      </c>
      <c r="Y87" s="17">
        <f>-Assumptions!$Y$17</f>
        <v>80.3</v>
      </c>
    </row>
    <row r="88" spans="1:25" ht="14.1" customHeight="1" x14ac:dyDescent="0.25">
      <c r="A88" s="15" t="s">
        <v>102</v>
      </c>
      <c r="B88" s="16"/>
      <c r="C88" s="16"/>
      <c r="D88" s="16"/>
      <c r="E88" s="16"/>
      <c r="F88" s="16">
        <v>-0.5</v>
      </c>
      <c r="G88" s="16"/>
      <c r="H88" s="16"/>
      <c r="I88" s="16"/>
      <c r="J88" s="16">
        <v>-69.673000000000002</v>
      </c>
      <c r="K88" s="16"/>
      <c r="L88" s="16">
        <v>0</v>
      </c>
      <c r="M88" s="16">
        <v>0</v>
      </c>
      <c r="N88" s="16">
        <v>-56</v>
      </c>
      <c r="O88" s="16"/>
      <c r="P88" s="16">
        <v>-25</v>
      </c>
      <c r="Q88" s="16">
        <v>-17</v>
      </c>
      <c r="R88" s="17"/>
      <c r="S88" s="17"/>
      <c r="T88" s="17"/>
      <c r="U88" s="17"/>
      <c r="V88" s="17"/>
      <c r="W88" s="17"/>
      <c r="X88" s="17"/>
      <c r="Y88" s="17"/>
    </row>
    <row r="89" spans="1:25" ht="14.1" customHeight="1" x14ac:dyDescent="0.25">
      <c r="A89" s="12" t="s">
        <v>103</v>
      </c>
      <c r="B89" s="13">
        <v>-11.025</v>
      </c>
      <c r="C89" s="13">
        <v>-10.746</v>
      </c>
      <c r="D89" s="13">
        <v>-9.8849999999999998</v>
      </c>
      <c r="E89" s="13">
        <v>-7.9870000000000001</v>
      </c>
      <c r="F89" s="13">
        <v>-10.868</v>
      </c>
      <c r="G89" s="13">
        <v>-7.6310000000000002</v>
      </c>
      <c r="H89" s="13">
        <v>-14.904</v>
      </c>
      <c r="I89" s="13">
        <v>-115.434</v>
      </c>
      <c r="J89" s="13">
        <v>-56.279000000000003</v>
      </c>
      <c r="K89" s="13">
        <v>-44.3</v>
      </c>
      <c r="L89" s="13">
        <v>-27.536000000000001</v>
      </c>
      <c r="M89" s="13">
        <v>-32.700000000000003</v>
      </c>
      <c r="N89" s="13">
        <v>-78.677999999999997</v>
      </c>
      <c r="O89" s="13">
        <v>-32.270000000000003</v>
      </c>
      <c r="P89" s="13">
        <v>-46.220999999999997</v>
      </c>
      <c r="Q89" s="13">
        <v>-97.278000000000006</v>
      </c>
      <c r="R89" s="14">
        <f>SUM($R$87,$R$88)</f>
        <v>80.3</v>
      </c>
      <c r="S89" s="14">
        <f>SUM($S$87,$S$88)</f>
        <v>80.3</v>
      </c>
      <c r="T89" s="14">
        <f>SUM($T$87,$T$88)</f>
        <v>80.3</v>
      </c>
      <c r="U89" s="14">
        <f>SUM($U$87,$U$88)</f>
        <v>80.3</v>
      </c>
      <c r="V89" s="14">
        <f>SUM($V$87,$V$88)</f>
        <v>80.3</v>
      </c>
      <c r="W89" s="14">
        <f>SUM($W$87,$W$88)</f>
        <v>80.3</v>
      </c>
      <c r="X89" s="14">
        <f>SUM($X$87,$X$88)</f>
        <v>80.3</v>
      </c>
      <c r="Y89" s="14">
        <f>SUM($Y$87,$Y$88)</f>
        <v>80.3</v>
      </c>
    </row>
    <row r="90" spans="1:25" ht="14.1" customHeight="1" x14ac:dyDescent="0.25">
      <c r="A90" s="25" t="s">
        <v>104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4.1" customHeight="1" x14ac:dyDescent="0.25">
      <c r="A91" s="12" t="s">
        <v>105</v>
      </c>
      <c r="B91" s="13">
        <v>56.506</v>
      </c>
      <c r="C91" s="13">
        <v>-331.18299999999999</v>
      </c>
      <c r="D91" s="13">
        <v>-84.638000000000005</v>
      </c>
      <c r="E91" s="13">
        <v>-131.47</v>
      </c>
      <c r="F91" s="13">
        <v>98.998000000000005</v>
      </c>
      <c r="G91" s="13">
        <v>-159.941</v>
      </c>
      <c r="H91" s="13">
        <v>792.13499999999999</v>
      </c>
      <c r="I91" s="13">
        <v>3020.5889999999999</v>
      </c>
      <c r="J91" s="13">
        <v>258.94099999999997</v>
      </c>
      <c r="K91" s="13">
        <v>49.853999999999999</v>
      </c>
      <c r="L91" s="13">
        <v>-387.28800000000001</v>
      </c>
      <c r="M91" s="13">
        <v>512.05200000000002</v>
      </c>
      <c r="N91" s="13">
        <v>1849.4269999999999</v>
      </c>
      <c r="O91" s="13">
        <v>-18.664999999999999</v>
      </c>
      <c r="P91" s="13">
        <v>66.162000000000006</v>
      </c>
      <c r="Q91" s="13">
        <v>3859.3380000000002</v>
      </c>
      <c r="R91" s="14"/>
      <c r="S91" s="14"/>
      <c r="T91" s="14"/>
      <c r="U91" s="14"/>
      <c r="V91" s="14"/>
      <c r="W91" s="14"/>
      <c r="X91" s="14"/>
      <c r="Y91" s="14"/>
    </row>
    <row r="92" spans="1:25" ht="14.1" customHeight="1" x14ac:dyDescent="0.25">
      <c r="A92" s="15" t="s">
        <v>106</v>
      </c>
      <c r="B92" s="16">
        <v>19.963999999999999</v>
      </c>
      <c r="C92" s="16">
        <v>-29.812999999999999</v>
      </c>
      <c r="D92" s="16">
        <v>66.341999999999999</v>
      </c>
      <c r="E92" s="16">
        <v>58.212000000000003</v>
      </c>
      <c r="F92" s="16">
        <v>77.66</v>
      </c>
      <c r="G92" s="16">
        <v>102.69</v>
      </c>
      <c r="H92" s="16">
        <v>182.51900000000001</v>
      </c>
      <c r="I92" s="16">
        <v>1389.8130000000001</v>
      </c>
      <c r="J92" s="16">
        <v>-445.709</v>
      </c>
      <c r="K92" s="16">
        <v>418.95800000000003</v>
      </c>
      <c r="L92" s="16">
        <v>-658.24400000000003</v>
      </c>
      <c r="M92" s="16">
        <v>1106.105</v>
      </c>
      <c r="N92" s="16">
        <v>2635.2089999999998</v>
      </c>
      <c r="O92" s="16">
        <v>-973.04600000000005</v>
      </c>
      <c r="P92" s="16">
        <v>-5.53</v>
      </c>
      <c r="Q92" s="16">
        <v>-2853.759</v>
      </c>
      <c r="R92" s="17">
        <f>$R$85+$R$89+$R$91</f>
        <v>4424.3239782922192</v>
      </c>
      <c r="S92" s="17">
        <f>$S$85+$S$89+$S$91</f>
        <v>232.39901843533124</v>
      </c>
      <c r="T92" s="17">
        <f>$T$85+$T$89+$T$91</f>
        <v>247.41918391661687</v>
      </c>
      <c r="U92" s="17">
        <f>$U$85+$U$89+$U$91</f>
        <v>263.7252769100632</v>
      </c>
      <c r="V92" s="17">
        <f>$V$85+$V$89+$V$91</f>
        <v>294.50480585341853</v>
      </c>
      <c r="W92" s="17">
        <f>$W$85+$W$89+$W$91</f>
        <v>315.21503303611513</v>
      </c>
      <c r="X92" s="17">
        <f>$X$85+$X$89+$X$91</f>
        <v>346.77714342893188</v>
      </c>
      <c r="Y92" s="17">
        <f>$Y$85+$Y$89+$Y$91</f>
        <v>360.77251979756016</v>
      </c>
    </row>
    <row r="93" spans="1:25" ht="14.1" customHeight="1" x14ac:dyDescent="0.25">
      <c r="A93" s="25" t="s">
        <v>107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4.1" customHeight="1" x14ac:dyDescent="0.25">
      <c r="A94" s="12" t="s">
        <v>108</v>
      </c>
      <c r="B94" s="13">
        <v>-45.052</v>
      </c>
      <c r="C94" s="13">
        <v>291.827</v>
      </c>
      <c r="D94" s="13">
        <v>134.221</v>
      </c>
      <c r="E94" s="13">
        <v>176.60599999999999</v>
      </c>
      <c r="F94" s="13">
        <v>-32.993000000000002</v>
      </c>
      <c r="G94" s="13">
        <v>205.45500000000001</v>
      </c>
      <c r="H94" s="13">
        <v>-653.05000000000007</v>
      </c>
      <c r="I94" s="13">
        <v>-1685.079</v>
      </c>
      <c r="J94" s="13">
        <v>-779.053</v>
      </c>
      <c r="K94" s="13">
        <v>300.58999999999997</v>
      </c>
      <c r="L94" s="13">
        <v>-349.41500000000002</v>
      </c>
      <c r="M94" s="13">
        <v>509.36</v>
      </c>
      <c r="N94" s="13">
        <v>701.32300000000009</v>
      </c>
      <c r="O94" s="13">
        <v>-1038.932</v>
      </c>
      <c r="P94" s="13">
        <v>-160.60400000000001</v>
      </c>
      <c r="Q94" s="13">
        <v>-6838.6380000000008</v>
      </c>
      <c r="R94" s="14">
        <f>$R$85+$R$89-$R$81</f>
        <v>4298.4239782922195</v>
      </c>
      <c r="S94" s="14">
        <f>$S$85+$S$89-$S$81</f>
        <v>106.49901843533124</v>
      </c>
      <c r="T94" s="14">
        <f>$T$85+$T$89-$T$81</f>
        <v>121.51918391661687</v>
      </c>
      <c r="U94" s="14">
        <f>$U$85+$U$89-$U$81</f>
        <v>137.8252769100632</v>
      </c>
      <c r="V94" s="14">
        <f>$V$85+$V$89-$V$81</f>
        <v>168.60480585341853</v>
      </c>
      <c r="W94" s="14">
        <f>$W$85+$W$89-$W$81</f>
        <v>189.31503303611512</v>
      </c>
      <c r="X94" s="14">
        <f>$X$85+$X$89-$X$81</f>
        <v>220.87714342893187</v>
      </c>
      <c r="Y94" s="14">
        <f>$Y$85+$Y$89-$Y$81</f>
        <v>234.87251979756016</v>
      </c>
    </row>
  </sheetData>
  <mergeCells count="4">
    <mergeCell ref="A45:Y45"/>
    <mergeCell ref="A76:Y76"/>
    <mergeCell ref="A16:Y16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6" customWidth="1"/>
    <col min="2" max="25" width="11" customWidth="1"/>
  </cols>
  <sheetData>
    <row r="1" spans="1:27" ht="15.75" x14ac:dyDescent="0.25">
      <c r="A1" s="37" t="s">
        <v>109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7" x14ac:dyDescent="0.25">
      <c r="A2" s="1" t="s">
        <v>110</v>
      </c>
    </row>
    <row r="3" spans="1:27" ht="20.100000000000001" customHeight="1" x14ac:dyDescent="0.25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</row>
    <row r="4" spans="1:27" ht="14.1" customHeight="1" x14ac:dyDescent="0.25">
      <c r="A4" s="25" t="s">
        <v>111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7" x14ac:dyDescent="0.25">
      <c r="A5" s="12" t="s">
        <v>112</v>
      </c>
      <c r="B5" s="16">
        <v>1635.46</v>
      </c>
      <c r="C5" s="16">
        <v>1852.13</v>
      </c>
      <c r="D5" s="16">
        <v>1803.1949999999999</v>
      </c>
      <c r="E5" s="16">
        <v>1283.296</v>
      </c>
      <c r="F5" s="16">
        <v>2184.8609999999999</v>
      </c>
      <c r="G5" s="16">
        <v>2119.672</v>
      </c>
      <c r="H5" s="16">
        <v>3664.924</v>
      </c>
      <c r="I5" s="16">
        <v>3850.0659999999998</v>
      </c>
      <c r="J5" s="16">
        <v>5354.5889999999999</v>
      </c>
      <c r="K5" s="16">
        <v>5937.2560000000003</v>
      </c>
      <c r="L5" s="16">
        <v>5677.9620000000004</v>
      </c>
      <c r="M5" s="16">
        <v>4599.9129999999996</v>
      </c>
      <c r="N5" s="16">
        <v>5756.9110000000001</v>
      </c>
      <c r="O5" s="16">
        <v>5017.79</v>
      </c>
      <c r="P5" s="16">
        <v>12682.491</v>
      </c>
      <c r="Q5" s="16">
        <v>10243.013999999999</v>
      </c>
      <c r="R5" s="50">
        <f>R46</f>
        <v>10634.216934</v>
      </c>
      <c r="S5" s="50">
        <f>S46</f>
        <v>11040.253488660001</v>
      </c>
      <c r="T5" s="50">
        <f>T46</f>
        <v>11464.350033773399</v>
      </c>
      <c r="U5" s="50">
        <f>U46</f>
        <v>11907.002643435664</v>
      </c>
      <c r="V5" s="50">
        <f>V46</f>
        <v>12364.011796001312</v>
      </c>
      <c r="W5" s="50">
        <f>W46</f>
        <v>12843.903974041297</v>
      </c>
      <c r="X5" s="50">
        <f>X46</f>
        <v>13338.768264300883</v>
      </c>
      <c r="Y5" s="50">
        <f>Y46</f>
        <v>13858.572357657873</v>
      </c>
    </row>
    <row r="6" spans="1:27" x14ac:dyDescent="0.25">
      <c r="A6" s="27" t="s">
        <v>113</v>
      </c>
      <c r="B6" s="16"/>
      <c r="C6" s="28">
        <f t="shared" ref="C6:Q6" si="0">C5/B5-1</f>
        <v>0.13248260428258729</v>
      </c>
      <c r="D6" s="28">
        <f t="shared" si="0"/>
        <v>-2.6420931576077389E-2</v>
      </c>
      <c r="E6" s="28">
        <f t="shared" si="0"/>
        <v>-0.28832100798859794</v>
      </c>
      <c r="F6" s="28">
        <f t="shared" si="0"/>
        <v>0.70253861930528871</v>
      </c>
      <c r="G6" s="28">
        <f t="shared" si="0"/>
        <v>-2.9836680685865091E-2</v>
      </c>
      <c r="H6" s="28">
        <f t="shared" si="0"/>
        <v>0.72900524232051001</v>
      </c>
      <c r="I6" s="28">
        <f t="shared" si="0"/>
        <v>5.0517282213764725E-2</v>
      </c>
      <c r="J6" s="28">
        <f t="shared" si="0"/>
        <v>0.3907784957452678</v>
      </c>
      <c r="K6" s="28">
        <f t="shared" si="0"/>
        <v>0.10881638161210883</v>
      </c>
      <c r="L6" s="28">
        <f t="shared" si="0"/>
        <v>-4.3672363125322522E-2</v>
      </c>
      <c r="M6" s="28">
        <f t="shared" si="0"/>
        <v>-0.18986548342521503</v>
      </c>
      <c r="N6" s="28">
        <f t="shared" si="0"/>
        <v>0.25152606147116274</v>
      </c>
      <c r="O6" s="28">
        <f t="shared" si="0"/>
        <v>-0.12838847083097171</v>
      </c>
      <c r="P6" s="28">
        <f t="shared" si="0"/>
        <v>1.5275053360144604</v>
      </c>
      <c r="Q6" s="28">
        <f t="shared" si="0"/>
        <v>-0.19234998865759112</v>
      </c>
      <c r="R6" s="51">
        <f>R5/Q5-1</f>
        <v>3.8192170195217923E-2</v>
      </c>
      <c r="S6" s="51">
        <f>S5/R5-1</f>
        <v>3.8182083098362352E-2</v>
      </c>
      <c r="T6" s="51">
        <f>T5/S5-1</f>
        <v>3.8413660116500825E-2</v>
      </c>
      <c r="U6" s="51">
        <f>U5/T5-1</f>
        <v>3.8611225962067897E-2</v>
      </c>
      <c r="V6" s="51">
        <f>V5/U5-1</f>
        <v>3.8381544562568592E-2</v>
      </c>
      <c r="W6" s="51">
        <f>W5/V5-1</f>
        <v>3.881362990895787E-2</v>
      </c>
      <c r="X6" s="51">
        <f>X5/W5-1</f>
        <v>3.8529117880338637E-2</v>
      </c>
      <c r="Y6" s="51">
        <f>Y5/X5-1</f>
        <v>3.896942229277367E-2</v>
      </c>
    </row>
    <row r="7" spans="1:27" x14ac:dyDescent="0.25">
      <c r="A7" s="27" t="s">
        <v>114</v>
      </c>
      <c r="B7" s="16"/>
      <c r="C7" s="16"/>
      <c r="D7" s="16"/>
      <c r="E7" s="16"/>
      <c r="F7" s="28">
        <f t="shared" ref="F7:Y7" si="1">F5/B5-1</f>
        <v>0.33593056387805253</v>
      </c>
      <c r="G7" s="28">
        <f t="shared" si="1"/>
        <v>0.14445098346228402</v>
      </c>
      <c r="H7" s="28">
        <f t="shared" si="1"/>
        <v>1.0324612701344003</v>
      </c>
      <c r="I7" s="28">
        <f t="shared" si="1"/>
        <v>2.0001387053337654</v>
      </c>
      <c r="J7" s="28">
        <f t="shared" si="1"/>
        <v>1.450768721671539</v>
      </c>
      <c r="K7" s="28">
        <f t="shared" si="1"/>
        <v>1.8010258190889914</v>
      </c>
      <c r="L7" s="28">
        <f t="shared" si="1"/>
        <v>0.5492714173609059</v>
      </c>
      <c r="M7" s="28">
        <f t="shared" si="1"/>
        <v>0.19476211576632707</v>
      </c>
      <c r="N7" s="28">
        <f t="shared" si="1"/>
        <v>7.5135925465054321E-2</v>
      </c>
      <c r="O7" s="28">
        <f t="shared" si="1"/>
        <v>-0.15486379566587671</v>
      </c>
      <c r="P7" s="28">
        <f t="shared" si="1"/>
        <v>1.2336343568343708</v>
      </c>
      <c r="Q7" s="28">
        <f t="shared" si="1"/>
        <v>1.2267842891811216</v>
      </c>
      <c r="R7" s="17">
        <f t="shared" si="1"/>
        <v>0.84720884759205073</v>
      </c>
      <c r="S7" s="17">
        <f t="shared" si="1"/>
        <v>1.2002223067645321</v>
      </c>
      <c r="T7" s="17">
        <f t="shared" si="1"/>
        <v>-9.6049030606574215E-2</v>
      </c>
      <c r="U7" s="17">
        <f t="shared" si="1"/>
        <v>0.16245107577082929</v>
      </c>
      <c r="V7" s="17">
        <f t="shared" si="1"/>
        <v>0.16266311593388383</v>
      </c>
      <c r="W7" s="17">
        <f t="shared" si="1"/>
        <v>0.16337038703268147</v>
      </c>
      <c r="X7" s="17">
        <f t="shared" si="1"/>
        <v>0.16349973831970788</v>
      </c>
      <c r="Y7" s="17">
        <f t="shared" si="1"/>
        <v>0.1639010062115096</v>
      </c>
    </row>
    <row r="8" spans="1:27" ht="14.1" customHeight="1" x14ac:dyDescent="0.25">
      <c r="A8" s="25" t="s">
        <v>115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7" x14ac:dyDescent="0.25">
      <c r="A9" s="12" t="s">
        <v>116</v>
      </c>
      <c r="B9" s="30">
        <v>0.1756961344208969</v>
      </c>
      <c r="C9" s="30">
        <v>0.1876407163644021</v>
      </c>
      <c r="D9" s="30">
        <v>0.18712452064252619</v>
      </c>
      <c r="E9" s="30">
        <v>0.17638876767324141</v>
      </c>
      <c r="F9" s="30">
        <v>0.17012340830835471</v>
      </c>
      <c r="G9" s="30">
        <v>0.1668611936186353</v>
      </c>
      <c r="H9" s="30">
        <v>0.15397918210582259</v>
      </c>
      <c r="I9" s="30">
        <v>0.15515785963149731</v>
      </c>
      <c r="J9" s="30">
        <v>0.1019740263911945</v>
      </c>
      <c r="K9" s="30">
        <v>0.13062936817950921</v>
      </c>
      <c r="L9" s="30">
        <v>0.11800395987151729</v>
      </c>
      <c r="M9" s="30">
        <v>9.5701375221661819E-2</v>
      </c>
      <c r="N9" s="30">
        <v>9.4512838569156266E-2</v>
      </c>
      <c r="O9" s="30">
        <v>9.3143196506828702E-2</v>
      </c>
      <c r="P9" s="30">
        <v>6.2966100271626455E-2</v>
      </c>
      <c r="Q9" s="30">
        <v>9.9451196688787116E-2</v>
      </c>
      <c r="R9" s="53">
        <v>9.5000000000000001E-2</v>
      </c>
      <c r="S9" s="53">
        <v>9.5500000000000002E-2</v>
      </c>
      <c r="T9" s="53">
        <v>9.6000000000000002E-2</v>
      </c>
      <c r="U9" s="53">
        <v>9.6500000000000002E-2</v>
      </c>
      <c r="V9" s="53">
        <v>9.7500000000000003E-2</v>
      </c>
      <c r="W9" s="53">
        <v>9.8500000000000004E-2</v>
      </c>
      <c r="X9" s="53">
        <v>9.9500000000000005E-2</v>
      </c>
      <c r="Y9" s="53">
        <v>0.1</v>
      </c>
      <c r="AA9" s="41" t="s">
        <v>169</v>
      </c>
    </row>
    <row r="10" spans="1:27" ht="14.1" customHeight="1" x14ac:dyDescent="0.25">
      <c r="A10" s="25" t="s">
        <v>117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7" x14ac:dyDescent="0.25">
      <c r="A11" s="12" t="s">
        <v>118</v>
      </c>
      <c r="B11" s="16">
        <v>70.790000000000006</v>
      </c>
      <c r="C11" s="16">
        <v>74.242999999999995</v>
      </c>
      <c r="D11" s="16">
        <v>70.7</v>
      </c>
      <c r="E11" s="16">
        <v>77.515000000000001</v>
      </c>
      <c r="F11" s="16">
        <v>84.802000000000007</v>
      </c>
      <c r="G11" s="16">
        <v>111.027</v>
      </c>
      <c r="H11" s="16">
        <v>108.824</v>
      </c>
      <c r="I11" s="16">
        <v>116.226</v>
      </c>
      <c r="J11" s="16">
        <v>127.471</v>
      </c>
      <c r="K11" s="16">
        <v>132.24299999999999</v>
      </c>
      <c r="L11" s="16">
        <v>158.22900000000001</v>
      </c>
      <c r="M11" s="16">
        <v>162.857</v>
      </c>
      <c r="N11" s="16">
        <v>183.221</v>
      </c>
      <c r="O11" s="16">
        <v>173.31399999999999</v>
      </c>
      <c r="P11" s="16">
        <v>180.761</v>
      </c>
      <c r="Q11" s="16">
        <v>215.65899999999999</v>
      </c>
      <c r="R11" s="29">
        <v>215.7</v>
      </c>
      <c r="S11" s="29">
        <v>215.7</v>
      </c>
      <c r="T11" s="29">
        <v>215.7</v>
      </c>
      <c r="U11" s="29">
        <v>215.7</v>
      </c>
      <c r="V11" s="29">
        <v>215.7</v>
      </c>
      <c r="W11" s="29">
        <v>215.7</v>
      </c>
      <c r="X11" s="29">
        <v>215.7</v>
      </c>
      <c r="Y11" s="29">
        <v>215.7</v>
      </c>
    </row>
    <row r="12" spans="1:27" x14ac:dyDescent="0.25">
      <c r="A12" s="27" t="s">
        <v>119</v>
      </c>
      <c r="B12" s="30">
        <v>4.3299999999999998E-2</v>
      </c>
      <c r="C12" s="30">
        <v>4.0099999999999997E-2</v>
      </c>
      <c r="D12" s="30">
        <v>3.9199999999999999E-2</v>
      </c>
      <c r="E12" s="30">
        <v>6.0400000000000002E-2</v>
      </c>
      <c r="F12" s="30">
        <v>3.8800000000000001E-2</v>
      </c>
      <c r="G12" s="30">
        <v>5.2400000000000002E-2</v>
      </c>
      <c r="H12" s="30">
        <v>2.9700000000000001E-2</v>
      </c>
      <c r="I12" s="30">
        <v>3.0200000000000001E-2</v>
      </c>
      <c r="J12" s="30">
        <v>2.3800000000000002E-2</v>
      </c>
      <c r="K12" s="30">
        <v>2.23E-2</v>
      </c>
      <c r="L12" s="30">
        <v>2.7900000000000001E-2</v>
      </c>
      <c r="M12" s="30">
        <v>3.5400000000000001E-2</v>
      </c>
      <c r="N12" s="30">
        <v>3.1800000000000002E-2</v>
      </c>
      <c r="O12" s="30">
        <v>3.4500000000000003E-2</v>
      </c>
      <c r="P12" s="30">
        <v>1.43E-2</v>
      </c>
      <c r="Q12" s="30">
        <v>2.1100000000000001E-2</v>
      </c>
      <c r="R12" s="31">
        <v>2.1100000000000001E-2</v>
      </c>
      <c r="S12" s="31">
        <v>2.1100000000000001E-2</v>
      </c>
      <c r="T12" s="31">
        <v>2.1100000000000001E-2</v>
      </c>
      <c r="U12" s="31">
        <v>2.1100000000000001E-2</v>
      </c>
      <c r="V12" s="31">
        <v>2.1100000000000001E-2</v>
      </c>
      <c r="W12" s="31">
        <v>2.1100000000000001E-2</v>
      </c>
      <c r="X12" s="31">
        <v>2.1100000000000001E-2</v>
      </c>
      <c r="Y12" s="31">
        <v>2.1100000000000001E-2</v>
      </c>
    </row>
    <row r="13" spans="1:27" x14ac:dyDescent="0.25">
      <c r="A13" s="12" t="s">
        <v>120</v>
      </c>
      <c r="B13" s="16">
        <v>51.341000000000001</v>
      </c>
      <c r="C13" s="16">
        <v>53.168999999999997</v>
      </c>
      <c r="D13" s="16">
        <v>51.54</v>
      </c>
      <c r="E13" s="16">
        <v>49.762</v>
      </c>
      <c r="F13" s="16">
        <v>60.139000000000003</v>
      </c>
      <c r="G13" s="16">
        <v>70.153999999999996</v>
      </c>
      <c r="H13" s="16">
        <v>84.034000000000006</v>
      </c>
      <c r="I13" s="16">
        <v>102.828</v>
      </c>
      <c r="J13" s="16">
        <v>130.072</v>
      </c>
      <c r="K13" s="16">
        <v>134.13800000000001</v>
      </c>
      <c r="L13" s="16">
        <v>143.16900000000001</v>
      </c>
      <c r="M13" s="16">
        <v>130.58099999999999</v>
      </c>
      <c r="N13" s="16">
        <v>132.49</v>
      </c>
      <c r="O13" s="16">
        <v>111.803</v>
      </c>
      <c r="P13" s="16">
        <v>143.50800000000001</v>
      </c>
      <c r="Q13" s="16">
        <v>177.15299999999999</v>
      </c>
      <c r="R13" s="29">
        <v>177.2</v>
      </c>
      <c r="S13" s="29">
        <v>177.2</v>
      </c>
      <c r="T13" s="29">
        <v>177.2</v>
      </c>
      <c r="U13" s="29">
        <v>177.2</v>
      </c>
      <c r="V13" s="29">
        <v>177.2</v>
      </c>
      <c r="W13" s="29">
        <v>177.2</v>
      </c>
      <c r="X13" s="29">
        <v>177.2</v>
      </c>
      <c r="Y13" s="29">
        <v>177.2</v>
      </c>
    </row>
    <row r="14" spans="1:27" x14ac:dyDescent="0.25">
      <c r="A14" s="27" t="s">
        <v>121</v>
      </c>
      <c r="B14" s="30">
        <v>3.1399999999999997E-2</v>
      </c>
      <c r="C14" s="30">
        <v>2.87E-2</v>
      </c>
      <c r="D14" s="30">
        <v>2.86E-2</v>
      </c>
      <c r="E14" s="30">
        <v>3.8800000000000001E-2</v>
      </c>
      <c r="F14" s="30">
        <v>2.75E-2</v>
      </c>
      <c r="G14" s="30">
        <v>3.3099999999999997E-2</v>
      </c>
      <c r="H14" s="30">
        <v>2.29E-2</v>
      </c>
      <c r="I14" s="30">
        <v>2.6700000000000002E-2</v>
      </c>
      <c r="J14" s="30">
        <v>2.4299999999999999E-2</v>
      </c>
      <c r="K14" s="30">
        <v>2.2599999999999999E-2</v>
      </c>
      <c r="L14" s="30">
        <v>2.52E-2</v>
      </c>
      <c r="M14" s="30">
        <v>2.8400000000000002E-2</v>
      </c>
      <c r="N14" s="30">
        <v>2.3E-2</v>
      </c>
      <c r="O14" s="30">
        <v>2.23E-2</v>
      </c>
      <c r="P14" s="30">
        <v>1.1299999999999999E-2</v>
      </c>
      <c r="Q14" s="30">
        <v>1.7299999999999999E-2</v>
      </c>
      <c r="R14" s="31">
        <v>1.7299999999999999E-2</v>
      </c>
      <c r="S14" s="31">
        <v>1.7299999999999999E-2</v>
      </c>
      <c r="T14" s="31">
        <v>1.7299999999999999E-2</v>
      </c>
      <c r="U14" s="31">
        <v>1.7299999999999999E-2</v>
      </c>
      <c r="V14" s="31">
        <v>1.7299999999999999E-2</v>
      </c>
      <c r="W14" s="31">
        <v>1.7299999999999999E-2</v>
      </c>
      <c r="X14" s="31">
        <v>1.7299999999999999E-2</v>
      </c>
      <c r="Y14" s="31">
        <v>1.7299999999999999E-2</v>
      </c>
    </row>
    <row r="15" spans="1:27" ht="14.1" customHeight="1" x14ac:dyDescent="0.25">
      <c r="A15" s="25" t="s">
        <v>122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7" x14ac:dyDescent="0.25">
      <c r="A16" s="12" t="s">
        <v>123</v>
      </c>
      <c r="B16" s="16">
        <v>0.751</v>
      </c>
      <c r="C16" s="16">
        <v>8.5470000000000006</v>
      </c>
      <c r="D16" s="16">
        <v>8.6489999999999991</v>
      </c>
      <c r="E16" s="16">
        <v>8.7360000000000007</v>
      </c>
      <c r="F16" s="16">
        <v>0.96799999999999997</v>
      </c>
      <c r="G16" s="16">
        <v>7</v>
      </c>
      <c r="H16" s="16">
        <v>7.3</v>
      </c>
      <c r="I16" s="16">
        <v>7.6</v>
      </c>
      <c r="J16" s="16">
        <v>8.1999999999999993</v>
      </c>
      <c r="K16" s="16">
        <v>9</v>
      </c>
      <c r="L16" s="16">
        <v>9.5</v>
      </c>
      <c r="M16" s="16">
        <v>10.9</v>
      </c>
      <c r="N16" s="16">
        <v>11.6</v>
      </c>
      <c r="O16" s="16">
        <v>12.1</v>
      </c>
      <c r="P16" s="16">
        <v>12.8</v>
      </c>
      <c r="Q16" s="16">
        <v>13.5</v>
      </c>
      <c r="R16" s="29">
        <v>13.5</v>
      </c>
      <c r="S16" s="29">
        <v>13.5</v>
      </c>
      <c r="T16" s="29">
        <v>13.5</v>
      </c>
      <c r="U16" s="29">
        <v>13.5</v>
      </c>
      <c r="V16" s="29">
        <v>13.5</v>
      </c>
      <c r="W16" s="29">
        <v>13.5</v>
      </c>
      <c r="X16" s="29">
        <v>13.5</v>
      </c>
      <c r="Y16" s="29">
        <v>13.5</v>
      </c>
    </row>
    <row r="17" spans="1:27" x14ac:dyDescent="0.25">
      <c r="A17" s="12" t="s">
        <v>124</v>
      </c>
      <c r="B17" s="16">
        <v>-11.025</v>
      </c>
      <c r="C17" s="16">
        <v>-10.746</v>
      </c>
      <c r="D17" s="16">
        <v>-9.8849999999999998</v>
      </c>
      <c r="E17" s="16">
        <v>-7.9870000000000001</v>
      </c>
      <c r="F17" s="16">
        <v>-8.1750000000000007</v>
      </c>
      <c r="G17" s="16">
        <v>-2.6309999999999998</v>
      </c>
      <c r="H17" s="16">
        <v>-14.72</v>
      </c>
      <c r="I17" s="16">
        <v>-92.944999999999993</v>
      </c>
      <c r="J17" s="16">
        <v>-13.983000000000001</v>
      </c>
      <c r="K17" s="16">
        <v>-44.3</v>
      </c>
      <c r="L17" s="16">
        <v>-27.536000000000001</v>
      </c>
      <c r="M17" s="16">
        <v>-32.700000000000003</v>
      </c>
      <c r="N17" s="16">
        <v>-22.678000000000001</v>
      </c>
      <c r="O17" s="16">
        <v>-32.270000000000003</v>
      </c>
      <c r="P17" s="16">
        <v>-21.221</v>
      </c>
      <c r="Q17" s="16">
        <v>-80.278000000000006</v>
      </c>
      <c r="R17" s="29">
        <v>-80.3</v>
      </c>
      <c r="S17" s="29">
        <v>-80.3</v>
      </c>
      <c r="T17" s="29">
        <v>-80.3</v>
      </c>
      <c r="U17" s="29">
        <v>-80.3</v>
      </c>
      <c r="V17" s="29">
        <v>-80.3</v>
      </c>
      <c r="W17" s="29">
        <v>-80.3</v>
      </c>
      <c r="X17" s="29">
        <v>-80.3</v>
      </c>
      <c r="Y17" s="29">
        <v>-80.3</v>
      </c>
    </row>
    <row r="18" spans="1:27" x14ac:dyDescent="0.25">
      <c r="A18" s="27" t="s">
        <v>125</v>
      </c>
      <c r="B18" s="30">
        <v>6.7000000000000002E-3</v>
      </c>
      <c r="C18" s="30">
        <v>5.7999999999999996E-3</v>
      </c>
      <c r="D18" s="30">
        <v>5.4999999999999997E-3</v>
      </c>
      <c r="E18" s="30">
        <v>6.1999999999999998E-3</v>
      </c>
      <c r="F18" s="30">
        <v>3.7000000000000002E-3</v>
      </c>
      <c r="G18" s="30">
        <v>1.1999999999999999E-3</v>
      </c>
      <c r="H18" s="30">
        <v>4.0000000000000001E-3</v>
      </c>
      <c r="I18" s="30">
        <v>2.41E-2</v>
      </c>
      <c r="J18" s="30">
        <v>2.5999999999999999E-3</v>
      </c>
      <c r="K18" s="30">
        <v>7.4999999999999997E-3</v>
      </c>
      <c r="L18" s="30">
        <v>4.7999999999999996E-3</v>
      </c>
      <c r="M18" s="30">
        <v>7.1000000000000004E-3</v>
      </c>
      <c r="N18" s="30">
        <v>3.8999999999999998E-3</v>
      </c>
      <c r="O18" s="30">
        <v>6.4000000000000003E-3</v>
      </c>
      <c r="P18" s="30">
        <v>1.6999999999999999E-3</v>
      </c>
      <c r="Q18" s="30">
        <v>7.7999999999999996E-3</v>
      </c>
      <c r="R18" s="31">
        <v>7.7999999999999996E-3</v>
      </c>
      <c r="S18" s="31">
        <v>7.7999999999999996E-3</v>
      </c>
      <c r="T18" s="31">
        <v>7.7999999999999996E-3</v>
      </c>
      <c r="U18" s="31">
        <v>7.7999999999999996E-3</v>
      </c>
      <c r="V18" s="31">
        <v>7.7999999999999996E-3</v>
      </c>
      <c r="W18" s="31">
        <v>7.7999999999999996E-3</v>
      </c>
      <c r="X18" s="31">
        <v>7.7999999999999996E-3</v>
      </c>
      <c r="Y18" s="31">
        <v>7.7999999999999996E-3</v>
      </c>
    </row>
    <row r="19" spans="1:27" ht="14.1" customHeight="1" x14ac:dyDescent="0.25">
      <c r="A19" s="25" t="s">
        <v>126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7" x14ac:dyDescent="0.25">
      <c r="A20" s="12" t="s">
        <v>127</v>
      </c>
      <c r="B20" s="16">
        <v>8.8840000000000003</v>
      </c>
      <c r="C20" s="16">
        <v>11.013999999999999</v>
      </c>
      <c r="D20" s="16">
        <v>16.981000000000002</v>
      </c>
      <c r="E20" s="16">
        <v>13.651999999999999</v>
      </c>
      <c r="F20" s="16">
        <v>12.786</v>
      </c>
      <c r="G20" s="16">
        <v>57.378999999999998</v>
      </c>
      <c r="H20" s="16">
        <v>43.061</v>
      </c>
      <c r="I20" s="16">
        <v>56.106999999999999</v>
      </c>
      <c r="J20" s="16">
        <v>74.959999999999994</v>
      </c>
      <c r="K20" s="16">
        <v>64.013999999999996</v>
      </c>
      <c r="L20" s="16">
        <v>82.122</v>
      </c>
      <c r="M20" s="16">
        <v>84.703999999999994</v>
      </c>
      <c r="N20" s="16">
        <v>83.611999999999995</v>
      </c>
      <c r="O20" s="16">
        <v>89.138999999999996</v>
      </c>
      <c r="P20" s="16">
        <v>90.484999999999999</v>
      </c>
      <c r="Q20" s="16">
        <v>125.934</v>
      </c>
      <c r="R20" s="29">
        <v>125.9</v>
      </c>
      <c r="S20" s="29">
        <v>125.9</v>
      </c>
      <c r="T20" s="29">
        <v>125.9</v>
      </c>
      <c r="U20" s="29">
        <v>125.9</v>
      </c>
      <c r="V20" s="29">
        <v>125.9</v>
      </c>
      <c r="W20" s="29">
        <v>125.9</v>
      </c>
      <c r="X20" s="29">
        <v>125.9</v>
      </c>
      <c r="Y20" s="29">
        <v>125.9</v>
      </c>
    </row>
    <row r="21" spans="1:27" x14ac:dyDescent="0.25">
      <c r="A21" s="27" t="s">
        <v>128</v>
      </c>
      <c r="B21" s="30">
        <v>5.4000000000000003E-3</v>
      </c>
      <c r="C21" s="30">
        <v>5.8999999999999999E-3</v>
      </c>
      <c r="D21" s="30">
        <v>9.4000000000000004E-3</v>
      </c>
      <c r="E21" s="30">
        <v>1.06E-2</v>
      </c>
      <c r="F21" s="30">
        <v>5.8999999999999999E-3</v>
      </c>
      <c r="G21" s="30">
        <v>2.7099999999999999E-2</v>
      </c>
      <c r="H21" s="30">
        <v>1.17E-2</v>
      </c>
      <c r="I21" s="30">
        <v>1.46E-2</v>
      </c>
      <c r="J21" s="30">
        <v>1.4E-2</v>
      </c>
      <c r="K21" s="30">
        <v>1.0800000000000001E-2</v>
      </c>
      <c r="L21" s="30">
        <v>1.4500000000000001E-2</v>
      </c>
      <c r="M21" s="30">
        <v>1.84E-2</v>
      </c>
      <c r="N21" s="30">
        <v>1.4500000000000001E-2</v>
      </c>
      <c r="O21" s="30">
        <v>1.78E-2</v>
      </c>
      <c r="P21" s="30">
        <v>7.1000000000000004E-3</v>
      </c>
      <c r="Q21" s="30">
        <v>1.23E-2</v>
      </c>
      <c r="R21" s="31">
        <v>1.23E-2</v>
      </c>
      <c r="S21" s="31">
        <v>1.23E-2</v>
      </c>
      <c r="T21" s="31">
        <v>1.23E-2</v>
      </c>
      <c r="U21" s="31">
        <v>1.23E-2</v>
      </c>
      <c r="V21" s="31">
        <v>1.23E-2</v>
      </c>
      <c r="W21" s="31">
        <v>1.23E-2</v>
      </c>
      <c r="X21" s="31">
        <v>1.23E-2</v>
      </c>
      <c r="Y21" s="31">
        <v>1.23E-2</v>
      </c>
    </row>
    <row r="22" spans="1:27" x14ac:dyDescent="0.25">
      <c r="A22" s="12" t="s">
        <v>129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>
        <v>8.7759999999999998</v>
      </c>
      <c r="M22" s="16">
        <v>14.654</v>
      </c>
      <c r="N22" s="16"/>
      <c r="O22" s="16"/>
      <c r="P22" s="16">
        <v>51.042000000000002</v>
      </c>
      <c r="Q22" s="16">
        <v>45.436999999999998</v>
      </c>
      <c r="R22" s="54">
        <v>43.6</v>
      </c>
      <c r="S22" s="54">
        <v>41.9</v>
      </c>
      <c r="T22" s="54">
        <v>40.200000000000003</v>
      </c>
      <c r="U22" s="54">
        <v>38.6</v>
      </c>
      <c r="V22" s="54">
        <v>37</v>
      </c>
      <c r="W22" s="54">
        <v>35.6</v>
      </c>
      <c r="X22" s="54">
        <v>34.1</v>
      </c>
      <c r="Y22" s="54">
        <v>32.799999999999997</v>
      </c>
      <c r="AA22" s="41" t="s">
        <v>170</v>
      </c>
    </row>
    <row r="23" spans="1:27" x14ac:dyDescent="0.25">
      <c r="A23" s="12" t="s">
        <v>130</v>
      </c>
      <c r="B23" s="16">
        <v>2.9279999999999999</v>
      </c>
      <c r="C23" s="16">
        <v>3.9380000000000002</v>
      </c>
      <c r="D23" s="16">
        <v>1.756</v>
      </c>
      <c r="E23" s="16">
        <v>1.288</v>
      </c>
      <c r="F23" s="16">
        <v>3.5089999999999999</v>
      </c>
      <c r="G23" s="16">
        <v>1.863</v>
      </c>
      <c r="H23" s="16">
        <v>8.1310000000000002</v>
      </c>
      <c r="I23" s="16">
        <v>6.2460000000000004</v>
      </c>
      <c r="J23" s="16"/>
      <c r="K23" s="16"/>
      <c r="L23" s="16"/>
      <c r="M23" s="16"/>
      <c r="N23" s="16"/>
      <c r="O23" s="16"/>
      <c r="P23" s="16"/>
      <c r="Q23" s="16"/>
      <c r="R23" s="52">
        <f>R53</f>
        <v>109.66375000000001</v>
      </c>
      <c r="S23" s="52">
        <f>S53</f>
        <v>109.66375000000001</v>
      </c>
      <c r="T23" s="52">
        <f>T53</f>
        <v>109.66375000000001</v>
      </c>
      <c r="U23" s="52">
        <f>U53</f>
        <v>109.66375000000001</v>
      </c>
      <c r="V23" s="52">
        <f>V53</f>
        <v>109.66375000000001</v>
      </c>
      <c r="W23" s="52">
        <f>W53</f>
        <v>109.66375000000001</v>
      </c>
      <c r="X23" s="52">
        <f>X53</f>
        <v>109.66375000000001</v>
      </c>
      <c r="Y23" s="52">
        <f>Y53</f>
        <v>109.66375000000001</v>
      </c>
    </row>
    <row r="24" spans="1:27" x14ac:dyDescent="0.25">
      <c r="A24" s="12" t="s">
        <v>131</v>
      </c>
      <c r="B24" s="30">
        <v>0.15463855638664439</v>
      </c>
      <c r="C24" s="30">
        <v>0.1743183344526528</v>
      </c>
      <c r="D24" s="30">
        <v>0.14373967142996011</v>
      </c>
      <c r="E24" s="30">
        <v>0.1122715944696648</v>
      </c>
      <c r="F24" s="30">
        <v>0.13919980788985681</v>
      </c>
      <c r="G24" s="30">
        <v>0.11407369787258061</v>
      </c>
      <c r="H24" s="30">
        <v>0.17205032016583161</v>
      </c>
      <c r="I24" s="30">
        <v>-5.2246415461362293E-2</v>
      </c>
      <c r="J24" s="30">
        <v>5.217484429540533E-3</v>
      </c>
      <c r="K24" s="30">
        <v>0.14974582163631961</v>
      </c>
      <c r="L24" s="30">
        <v>0.15088527803159721</v>
      </c>
      <c r="M24" s="30">
        <v>5.0977141860059333E-2</v>
      </c>
      <c r="N24" s="30">
        <v>9.0025692317018E-2</v>
      </c>
      <c r="O24" s="30">
        <v>0.19266860481851419</v>
      </c>
      <c r="P24" s="30">
        <v>0.1984150966050649</v>
      </c>
      <c r="Q24" s="30">
        <v>0.20791808269728021</v>
      </c>
      <c r="R24" s="31">
        <v>0.2079</v>
      </c>
      <c r="S24" s="31">
        <v>0.2079</v>
      </c>
      <c r="T24" s="31">
        <v>0.2079</v>
      </c>
      <c r="U24" s="31">
        <v>0.2079</v>
      </c>
      <c r="V24" s="31">
        <v>0.2079</v>
      </c>
      <c r="W24" s="31">
        <v>0.2079</v>
      </c>
      <c r="X24" s="31">
        <v>0.2079</v>
      </c>
      <c r="Y24" s="31">
        <v>0.2079</v>
      </c>
    </row>
    <row r="25" spans="1:27" ht="14.1" customHeight="1" x14ac:dyDescent="0.25">
      <c r="A25" s="25" t="s">
        <v>132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7" x14ac:dyDescent="0.25">
      <c r="A26" s="12" t="s">
        <v>133</v>
      </c>
      <c r="B26" s="23">
        <v>529.16</v>
      </c>
      <c r="C26" s="23">
        <v>550.16999999999996</v>
      </c>
      <c r="D26" s="23">
        <v>561.44000000000005</v>
      </c>
      <c r="E26" s="23">
        <v>562.33000000000004</v>
      </c>
      <c r="F26" s="23">
        <v>550.16999999999996</v>
      </c>
      <c r="G26" s="23">
        <v>571.85299999999995</v>
      </c>
      <c r="H26" s="23">
        <v>580.77700000000004</v>
      </c>
      <c r="I26" s="23">
        <v>614.30999999999995</v>
      </c>
      <c r="J26" s="23">
        <v>641.64400000000001</v>
      </c>
      <c r="K26" s="23">
        <v>639.14800000000002</v>
      </c>
      <c r="L26" s="23">
        <v>636.04700000000003</v>
      </c>
      <c r="M26" s="23">
        <v>621.80899999999997</v>
      </c>
      <c r="N26" s="23">
        <v>616.60400000000004</v>
      </c>
      <c r="O26" s="23">
        <v>663.23500000000001</v>
      </c>
      <c r="P26" s="23">
        <v>693.98900000000003</v>
      </c>
      <c r="Q26" s="23">
        <v>692.18899999999996</v>
      </c>
      <c r="R26" s="32">
        <v>692.2</v>
      </c>
      <c r="S26" s="32">
        <v>692.2</v>
      </c>
      <c r="T26" s="32">
        <v>692.2</v>
      </c>
      <c r="U26" s="32">
        <v>692.2</v>
      </c>
      <c r="V26" s="32">
        <v>692.2</v>
      </c>
      <c r="W26" s="32">
        <v>692.2</v>
      </c>
      <c r="X26" s="32">
        <v>692.2</v>
      </c>
      <c r="Y26" s="32">
        <v>692.2</v>
      </c>
    </row>
    <row r="27" spans="1:27" x14ac:dyDescent="0.25">
      <c r="A27" s="27" t="s">
        <v>134</v>
      </c>
      <c r="B27" s="23"/>
      <c r="C27" s="33">
        <f t="shared" ref="C27:Y27" si="2">C26-B26</f>
        <v>21.009999999999991</v>
      </c>
      <c r="D27" s="33">
        <f t="shared" si="2"/>
        <v>11.270000000000095</v>
      </c>
      <c r="E27" s="33">
        <f t="shared" si="2"/>
        <v>0.88999999999998636</v>
      </c>
      <c r="F27" s="33">
        <f t="shared" si="2"/>
        <v>-12.160000000000082</v>
      </c>
      <c r="G27" s="33">
        <f t="shared" si="2"/>
        <v>21.682999999999993</v>
      </c>
      <c r="H27" s="33">
        <f t="shared" si="2"/>
        <v>8.9240000000000919</v>
      </c>
      <c r="I27" s="33">
        <f t="shared" si="2"/>
        <v>33.532999999999902</v>
      </c>
      <c r="J27" s="33">
        <f t="shared" si="2"/>
        <v>27.33400000000006</v>
      </c>
      <c r="K27" s="33">
        <f t="shared" si="2"/>
        <v>-2.4959999999999809</v>
      </c>
      <c r="L27" s="33">
        <f t="shared" si="2"/>
        <v>-3.1009999999999991</v>
      </c>
      <c r="M27" s="33">
        <f t="shared" si="2"/>
        <v>-14.238000000000056</v>
      </c>
      <c r="N27" s="33">
        <f t="shared" si="2"/>
        <v>-5.2049999999999272</v>
      </c>
      <c r="O27" s="33">
        <f t="shared" si="2"/>
        <v>46.630999999999972</v>
      </c>
      <c r="P27" s="33">
        <f t="shared" si="2"/>
        <v>30.754000000000019</v>
      </c>
      <c r="Q27" s="33">
        <f t="shared" si="2"/>
        <v>-1.8000000000000682</v>
      </c>
      <c r="R27" s="24">
        <f t="shared" si="2"/>
        <v>1.1000000000080945E-2</v>
      </c>
      <c r="S27" s="24">
        <f t="shared" si="2"/>
        <v>0</v>
      </c>
      <c r="T27" s="24">
        <f t="shared" si="2"/>
        <v>0</v>
      </c>
      <c r="U27" s="24">
        <f t="shared" si="2"/>
        <v>0</v>
      </c>
      <c r="V27" s="24">
        <f t="shared" si="2"/>
        <v>0</v>
      </c>
      <c r="W27" s="24">
        <f t="shared" si="2"/>
        <v>0</v>
      </c>
      <c r="X27" s="24">
        <f t="shared" si="2"/>
        <v>0</v>
      </c>
      <c r="Y27" s="24">
        <f t="shared" si="2"/>
        <v>0</v>
      </c>
    </row>
    <row r="28" spans="1:27" x14ac:dyDescent="0.25">
      <c r="A28" s="12" t="s">
        <v>135</v>
      </c>
      <c r="B28" s="23">
        <v>507.96</v>
      </c>
      <c r="C28" s="23">
        <v>525.98</v>
      </c>
      <c r="D28" s="23">
        <v>531.6</v>
      </c>
      <c r="E28" s="23">
        <v>532.79999999999995</v>
      </c>
      <c r="F28" s="23">
        <v>525.98</v>
      </c>
      <c r="G28" s="23">
        <v>530.928</v>
      </c>
      <c r="H28" s="23">
        <v>541.35400000000004</v>
      </c>
      <c r="I28" s="23">
        <v>564.78</v>
      </c>
      <c r="J28" s="23">
        <v>586.45000000000005</v>
      </c>
      <c r="K28" s="23">
        <v>589.55799999999999</v>
      </c>
      <c r="L28" s="23">
        <v>592.50699999999995</v>
      </c>
      <c r="M28" s="23">
        <v>595.04100000000005</v>
      </c>
      <c r="N28" s="23">
        <v>597.55399999999997</v>
      </c>
      <c r="O28" s="23">
        <v>595.62400000000002</v>
      </c>
      <c r="P28" s="23">
        <v>598.00400000000002</v>
      </c>
      <c r="Q28" s="23">
        <v>600.20500000000004</v>
      </c>
      <c r="R28" s="32">
        <v>600.20000000000005</v>
      </c>
      <c r="S28" s="32">
        <v>600.20000000000005</v>
      </c>
      <c r="T28" s="32">
        <v>600.20000000000005</v>
      </c>
      <c r="U28" s="32">
        <v>600.20000000000005</v>
      </c>
      <c r="V28" s="32">
        <v>600.20000000000005</v>
      </c>
      <c r="W28" s="32">
        <v>600.20000000000005</v>
      </c>
      <c r="X28" s="32">
        <v>600.20000000000005</v>
      </c>
      <c r="Y28" s="32">
        <v>600.20000000000005</v>
      </c>
    </row>
    <row r="29" spans="1:27" ht="14.1" customHeight="1" x14ac:dyDescent="0.25">
      <c r="A29" s="25" t="s">
        <v>136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7" x14ac:dyDescent="0.25">
      <c r="A30" s="12" t="s">
        <v>137</v>
      </c>
      <c r="B30" s="23">
        <v>46.4</v>
      </c>
      <c r="C30" s="23">
        <v>36.200000000000003</v>
      </c>
      <c r="D30" s="23">
        <v>38.799999999999997</v>
      </c>
      <c r="E30" s="23">
        <v>47.7</v>
      </c>
      <c r="F30" s="23">
        <v>47.8</v>
      </c>
      <c r="G30" s="23">
        <v>36.299999999999997</v>
      </c>
      <c r="H30" s="23">
        <v>37.299999999999997</v>
      </c>
      <c r="I30" s="23">
        <v>39</v>
      </c>
      <c r="J30" s="23">
        <v>46.5</v>
      </c>
      <c r="K30" s="23">
        <v>41.9</v>
      </c>
      <c r="L30" s="23">
        <v>49</v>
      </c>
      <c r="M30" s="23">
        <v>52.3</v>
      </c>
      <c r="N30" s="23">
        <v>34.799999999999997</v>
      </c>
      <c r="O30" s="23">
        <v>45.8</v>
      </c>
      <c r="P30" s="23">
        <v>79</v>
      </c>
      <c r="Q30" s="23">
        <v>74.7</v>
      </c>
      <c r="R30" s="32">
        <v>58.6</v>
      </c>
      <c r="S30" s="32">
        <v>58.6</v>
      </c>
      <c r="T30" s="32">
        <v>58.6</v>
      </c>
      <c r="U30" s="32">
        <v>58.6</v>
      </c>
      <c r="V30" s="32">
        <v>58.6</v>
      </c>
      <c r="W30" s="32">
        <v>58.6</v>
      </c>
      <c r="X30" s="32">
        <v>58.6</v>
      </c>
      <c r="Y30" s="32">
        <v>58.6</v>
      </c>
    </row>
    <row r="31" spans="1:27" x14ac:dyDescent="0.25">
      <c r="A31" s="12" t="s">
        <v>138</v>
      </c>
      <c r="B31" s="23">
        <v>104.3</v>
      </c>
      <c r="C31" s="23">
        <v>105</v>
      </c>
      <c r="D31" s="23">
        <v>88.3</v>
      </c>
      <c r="E31" s="23">
        <v>132.6</v>
      </c>
      <c r="F31" s="23">
        <v>72.599999999999994</v>
      </c>
      <c r="G31" s="23">
        <v>105.8</v>
      </c>
      <c r="H31" s="23">
        <v>72.400000000000006</v>
      </c>
      <c r="I31" s="23">
        <v>115.4</v>
      </c>
      <c r="J31" s="23">
        <v>82</v>
      </c>
      <c r="K31" s="23">
        <v>86.9</v>
      </c>
      <c r="L31" s="23">
        <v>65.3</v>
      </c>
      <c r="M31" s="23">
        <v>84.7</v>
      </c>
      <c r="N31" s="23">
        <v>81.7</v>
      </c>
      <c r="O31" s="23">
        <v>114.6</v>
      </c>
      <c r="P31" s="23">
        <v>81.099999999999994</v>
      </c>
      <c r="Q31" s="23">
        <v>109.5</v>
      </c>
      <c r="R31" s="32">
        <v>96.7</v>
      </c>
      <c r="S31" s="32">
        <v>96.7</v>
      </c>
      <c r="T31" s="32">
        <v>96.7</v>
      </c>
      <c r="U31" s="32">
        <v>96.7</v>
      </c>
      <c r="V31" s="32">
        <v>96.7</v>
      </c>
      <c r="W31" s="32">
        <v>96.7</v>
      </c>
      <c r="X31" s="32">
        <v>96.7</v>
      </c>
      <c r="Y31" s="32">
        <v>96.7</v>
      </c>
    </row>
    <row r="32" spans="1:27" x14ac:dyDescent="0.25">
      <c r="A32" s="12" t="s">
        <v>139</v>
      </c>
      <c r="B32" s="23">
        <v>44.2</v>
      </c>
      <c r="C32" s="23">
        <v>47.5</v>
      </c>
      <c r="D32" s="23">
        <v>34.799999999999997</v>
      </c>
      <c r="E32" s="23">
        <v>55.3</v>
      </c>
      <c r="F32" s="23">
        <v>39</v>
      </c>
      <c r="G32" s="23">
        <v>55.9</v>
      </c>
      <c r="H32" s="23">
        <v>37</v>
      </c>
      <c r="I32" s="23">
        <v>30.6</v>
      </c>
      <c r="J32" s="23">
        <v>27.9</v>
      </c>
      <c r="K32" s="23">
        <v>29.7</v>
      </c>
      <c r="L32" s="23">
        <v>10</v>
      </c>
      <c r="M32" s="23">
        <v>14.1</v>
      </c>
      <c r="N32" s="23">
        <v>22.4</v>
      </c>
      <c r="O32" s="23">
        <v>25.6</v>
      </c>
      <c r="P32" s="23">
        <v>105.3</v>
      </c>
      <c r="Q32" s="23">
        <v>36.4</v>
      </c>
      <c r="R32" s="32">
        <v>47.4</v>
      </c>
      <c r="S32" s="32">
        <v>47.4</v>
      </c>
      <c r="T32" s="32">
        <v>47.4</v>
      </c>
      <c r="U32" s="32">
        <v>47.4</v>
      </c>
      <c r="V32" s="32">
        <v>47.4</v>
      </c>
      <c r="W32" s="32">
        <v>47.4</v>
      </c>
      <c r="X32" s="32">
        <v>47.4</v>
      </c>
      <c r="Y32" s="32">
        <v>47.4</v>
      </c>
    </row>
    <row r="33" spans="1:27" ht="14.1" customHeight="1" x14ac:dyDescent="0.25">
      <c r="A33" s="25" t="s">
        <v>140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7" x14ac:dyDescent="0.25">
      <c r="A34" s="12" t="s">
        <v>141</v>
      </c>
      <c r="B34" s="16">
        <v>449.14600000000002</v>
      </c>
      <c r="C34" s="16">
        <v>101.173</v>
      </c>
      <c r="D34" s="16"/>
      <c r="E34" s="16"/>
      <c r="F34" s="16">
        <v>170.12299999999999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</row>
    <row r="35" spans="1:27" x14ac:dyDescent="0.25">
      <c r="A35" s="12" t="s">
        <v>142</v>
      </c>
      <c r="B35" s="16">
        <v>147.61799999999999</v>
      </c>
      <c r="C35" s="16">
        <v>212.06399999999999</v>
      </c>
      <c r="D35" s="16">
        <v>131.36600000000001</v>
      </c>
      <c r="E35" s="16">
        <v>147.947</v>
      </c>
      <c r="F35" s="16">
        <v>120.179</v>
      </c>
      <c r="G35" s="16">
        <v>105.389</v>
      </c>
      <c r="H35" s="16">
        <v>333.00799999999998</v>
      </c>
      <c r="I35" s="16">
        <v>126.04300000000001</v>
      </c>
      <c r="J35" s="16">
        <v>1771.799</v>
      </c>
      <c r="K35" s="16">
        <v>2217.1239999999998</v>
      </c>
      <c r="L35" s="16">
        <v>1868.8879999999999</v>
      </c>
      <c r="M35" s="16">
        <v>2452.489</v>
      </c>
      <c r="N35" s="16">
        <v>4682.5929999999998</v>
      </c>
      <c r="O35" s="16">
        <v>4756.9359999999997</v>
      </c>
      <c r="P35" s="16">
        <v>4859.5839999999998</v>
      </c>
      <c r="Q35" s="16">
        <v>6967.2190000000001</v>
      </c>
      <c r="R35" s="52">
        <f>R49+R50</f>
        <v>8773.1</v>
      </c>
      <c r="S35" s="52">
        <f>S49+S50</f>
        <v>8773.1</v>
      </c>
      <c r="T35" s="52">
        <f>T49+T50</f>
        <v>8773.1</v>
      </c>
      <c r="U35" s="52">
        <f>U49+U50</f>
        <v>8773.1</v>
      </c>
      <c r="V35" s="52">
        <f>V49+V50</f>
        <v>8773.1</v>
      </c>
      <c r="W35" s="52">
        <f>W49+W50</f>
        <v>8773.1</v>
      </c>
      <c r="X35" s="52">
        <f>X49+X50</f>
        <v>8773.1</v>
      </c>
      <c r="Y35" s="52">
        <f>Y49+Y50</f>
        <v>8773.1</v>
      </c>
    </row>
    <row r="36" spans="1:27" x14ac:dyDescent="0.25">
      <c r="A36" s="12" t="s">
        <v>143</v>
      </c>
      <c r="B36" s="28">
        <f t="shared" ref="B36:Y36" si="3">B34+B35</f>
        <v>596.76400000000001</v>
      </c>
      <c r="C36" s="28">
        <f t="shared" si="3"/>
        <v>313.23699999999997</v>
      </c>
      <c r="D36" s="28">
        <f t="shared" si="3"/>
        <v>131.36600000000001</v>
      </c>
      <c r="E36" s="28">
        <f t="shared" si="3"/>
        <v>147.947</v>
      </c>
      <c r="F36" s="28">
        <f t="shared" si="3"/>
        <v>290.30200000000002</v>
      </c>
      <c r="G36" s="28">
        <f t="shared" si="3"/>
        <v>105.389</v>
      </c>
      <c r="H36" s="28">
        <f t="shared" si="3"/>
        <v>333.00799999999998</v>
      </c>
      <c r="I36" s="28">
        <f t="shared" si="3"/>
        <v>126.04300000000001</v>
      </c>
      <c r="J36" s="28">
        <f t="shared" si="3"/>
        <v>1771.799</v>
      </c>
      <c r="K36" s="28">
        <f t="shared" si="3"/>
        <v>2217.1239999999998</v>
      </c>
      <c r="L36" s="28">
        <f t="shared" si="3"/>
        <v>1868.8879999999999</v>
      </c>
      <c r="M36" s="28">
        <f t="shared" si="3"/>
        <v>2452.489</v>
      </c>
      <c r="N36" s="28">
        <f t="shared" si="3"/>
        <v>4682.5929999999998</v>
      </c>
      <c r="O36" s="28">
        <f t="shared" si="3"/>
        <v>4756.9359999999997</v>
      </c>
      <c r="P36" s="28">
        <f t="shared" si="3"/>
        <v>4859.5839999999998</v>
      </c>
      <c r="Q36" s="28">
        <f t="shared" si="3"/>
        <v>6967.2190000000001</v>
      </c>
      <c r="R36" s="17">
        <f t="shared" si="3"/>
        <v>8773.1</v>
      </c>
      <c r="S36" s="17">
        <f t="shared" si="3"/>
        <v>8773.1</v>
      </c>
      <c r="T36" s="17">
        <f t="shared" si="3"/>
        <v>8773.1</v>
      </c>
      <c r="U36" s="17">
        <f t="shared" si="3"/>
        <v>8773.1</v>
      </c>
      <c r="V36" s="17">
        <f t="shared" si="3"/>
        <v>8773.1</v>
      </c>
      <c r="W36" s="17">
        <f t="shared" si="3"/>
        <v>8773.1</v>
      </c>
      <c r="X36" s="17">
        <f t="shared" si="3"/>
        <v>8773.1</v>
      </c>
      <c r="Y36" s="17">
        <f t="shared" si="3"/>
        <v>8773.1</v>
      </c>
    </row>
    <row r="39" spans="1:27" x14ac:dyDescent="0.25">
      <c r="A39" s="38" t="s">
        <v>144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7" x14ac:dyDescent="0.25">
      <c r="A40" s="41" t="s">
        <v>145</v>
      </c>
    </row>
    <row r="41" spans="1:27" x14ac:dyDescent="0.25">
      <c r="A41" s="40" t="s">
        <v>146</v>
      </c>
      <c r="B41" s="42">
        <v>135.2971</v>
      </c>
      <c r="C41" s="42">
        <v>146.88200000000001</v>
      </c>
      <c r="D41" s="42">
        <v>137.49359999999999</v>
      </c>
      <c r="E41" s="42">
        <v>93.423900000000003</v>
      </c>
      <c r="F41" s="42">
        <v>148.57050000000001</v>
      </c>
      <c r="G41" s="42">
        <v>134.48949999999999</v>
      </c>
      <c r="H41" s="42">
        <v>189.3544</v>
      </c>
      <c r="I41" s="42">
        <v>189.46379999999999</v>
      </c>
      <c r="J41" s="42">
        <v>209.72139999999999</v>
      </c>
      <c r="K41" s="42">
        <v>207.804</v>
      </c>
      <c r="L41" s="42">
        <v>192.2396</v>
      </c>
      <c r="M41" s="42">
        <v>167.1891</v>
      </c>
      <c r="N41" s="42">
        <v>182.3022</v>
      </c>
      <c r="O41" s="42">
        <v>154.09469999999999</v>
      </c>
      <c r="P41" s="42">
        <v>254.17830000000001</v>
      </c>
      <c r="Q41" s="42">
        <v>223.01840000000001</v>
      </c>
      <c r="R41" s="43">
        <v>229.71</v>
      </c>
      <c r="S41" s="43">
        <v>236.6</v>
      </c>
      <c r="T41" s="43">
        <v>243.7</v>
      </c>
      <c r="U41" s="43">
        <v>251.01</v>
      </c>
      <c r="V41" s="43">
        <v>258.54000000000002</v>
      </c>
      <c r="W41" s="43">
        <v>266.3</v>
      </c>
      <c r="X41" s="43">
        <v>274.27999999999997</v>
      </c>
      <c r="Y41" s="43">
        <v>282.51</v>
      </c>
      <c r="AA41" s="41" t="s">
        <v>147</v>
      </c>
    </row>
    <row r="42" spans="1:27" x14ac:dyDescent="0.25">
      <c r="A42" s="40" t="s">
        <v>148</v>
      </c>
      <c r="B42" s="44">
        <v>11</v>
      </c>
      <c r="C42" s="44">
        <v>11.5</v>
      </c>
      <c r="D42" s="44">
        <v>12</v>
      </c>
      <c r="E42" s="44">
        <v>12.5</v>
      </c>
      <c r="F42" s="44">
        <v>13.5</v>
      </c>
      <c r="G42" s="44">
        <v>14.5</v>
      </c>
      <c r="H42" s="44">
        <v>18</v>
      </c>
      <c r="I42" s="44">
        <v>19</v>
      </c>
      <c r="J42" s="44">
        <v>24</v>
      </c>
      <c r="K42" s="44">
        <v>27</v>
      </c>
      <c r="L42" s="44">
        <v>28</v>
      </c>
      <c r="M42" s="44">
        <v>26</v>
      </c>
      <c r="N42" s="44">
        <v>30</v>
      </c>
      <c r="O42" s="44">
        <v>31</v>
      </c>
      <c r="P42" s="44">
        <v>48</v>
      </c>
      <c r="Q42" s="44">
        <v>44</v>
      </c>
      <c r="R42" s="45">
        <v>44.44</v>
      </c>
      <c r="S42" s="45">
        <v>44.88</v>
      </c>
      <c r="T42" s="45">
        <v>45.33</v>
      </c>
      <c r="U42" s="45">
        <v>45.79</v>
      </c>
      <c r="V42" s="45">
        <v>46.24</v>
      </c>
      <c r="W42" s="45">
        <v>46.71</v>
      </c>
      <c r="X42" s="45">
        <v>47.17</v>
      </c>
      <c r="Y42" s="45">
        <v>47.65</v>
      </c>
      <c r="AA42" s="41" t="s">
        <v>149</v>
      </c>
    </row>
    <row r="43" spans="1:27" x14ac:dyDescent="0.25">
      <c r="A43" s="40" t="s">
        <v>150</v>
      </c>
      <c r="B43" s="46">
        <v>0.1</v>
      </c>
      <c r="C43" s="46">
        <v>0.12</v>
      </c>
      <c r="D43" s="46">
        <v>0.15</v>
      </c>
      <c r="E43" s="46">
        <v>0.18</v>
      </c>
      <c r="F43" s="46">
        <v>0.22</v>
      </c>
      <c r="G43" s="46">
        <v>0.28000000000000003</v>
      </c>
      <c r="H43" s="46">
        <v>0.4</v>
      </c>
      <c r="I43" s="46">
        <v>0.48</v>
      </c>
      <c r="J43" s="46">
        <v>0.55000000000000004</v>
      </c>
      <c r="K43" s="46">
        <v>0.6</v>
      </c>
      <c r="L43" s="46">
        <v>0.62</v>
      </c>
      <c r="M43" s="46">
        <v>0.57999999999999996</v>
      </c>
      <c r="N43" s="46">
        <v>0.65</v>
      </c>
      <c r="O43" s="46">
        <v>0.68</v>
      </c>
      <c r="P43" s="46">
        <v>0.78</v>
      </c>
      <c r="Q43" s="46">
        <v>0.75</v>
      </c>
      <c r="R43" s="47">
        <v>0.76</v>
      </c>
      <c r="S43" s="47">
        <v>0.77</v>
      </c>
      <c r="T43" s="47">
        <v>0.78</v>
      </c>
      <c r="U43" s="47">
        <v>0.79</v>
      </c>
      <c r="V43" s="47">
        <v>0.8</v>
      </c>
      <c r="W43" s="47">
        <v>0.81</v>
      </c>
      <c r="X43" s="47">
        <v>0.82</v>
      </c>
      <c r="Y43" s="47">
        <v>0.83</v>
      </c>
      <c r="AA43" s="41" t="s">
        <v>151</v>
      </c>
    </row>
    <row r="44" spans="1:27" x14ac:dyDescent="0.25">
      <c r="A44" s="40" t="s">
        <v>152</v>
      </c>
      <c r="B44" s="42">
        <v>1488.2686000000001</v>
      </c>
      <c r="C44" s="42">
        <v>1689.1425999999999</v>
      </c>
      <c r="D44" s="42">
        <v>1649.9233999999999</v>
      </c>
      <c r="E44" s="42">
        <v>1167.7994000000001</v>
      </c>
      <c r="F44" s="42">
        <v>2005.7023999999999</v>
      </c>
      <c r="G44" s="42">
        <v>1950.0981999999999</v>
      </c>
      <c r="H44" s="42">
        <v>3408.3793000000001</v>
      </c>
      <c r="I44" s="42">
        <v>3599.8117000000002</v>
      </c>
      <c r="J44" s="42">
        <v>5033.3136999999997</v>
      </c>
      <c r="K44" s="42">
        <v>5610.7069000000001</v>
      </c>
      <c r="L44" s="42">
        <v>5382.7079999999996</v>
      </c>
      <c r="M44" s="42">
        <v>4346.9178000000002</v>
      </c>
      <c r="N44" s="42">
        <v>5469.0654999999997</v>
      </c>
      <c r="O44" s="42">
        <v>4776.9360999999999</v>
      </c>
      <c r="P44" s="42">
        <v>12200.5563</v>
      </c>
      <c r="Q44" s="42">
        <v>9812.8073999999997</v>
      </c>
      <c r="R44" s="49">
        <f>R41*R42</f>
        <v>10208.312400000001</v>
      </c>
      <c r="S44" s="49">
        <f>S41*S42</f>
        <v>10618.608</v>
      </c>
      <c r="T44" s="49">
        <f>T41*T42</f>
        <v>11046.920999999998</v>
      </c>
      <c r="U44" s="49">
        <f>U41*U42</f>
        <v>11493.747899999998</v>
      </c>
      <c r="V44" s="49">
        <f>V41*V42</f>
        <v>11954.889600000002</v>
      </c>
      <c r="W44" s="49">
        <f>W41*W42</f>
        <v>12438.873000000001</v>
      </c>
      <c r="X44" s="49">
        <f>X41*X42</f>
        <v>12937.7876</v>
      </c>
      <c r="Y44" s="49">
        <f>Y41*Y42</f>
        <v>13461.601499999999</v>
      </c>
      <c r="AA44" s="48" t="s">
        <v>153</v>
      </c>
    </row>
    <row r="45" spans="1:27" x14ac:dyDescent="0.25">
      <c r="A45" s="40" t="s">
        <v>154</v>
      </c>
      <c r="B45" s="42">
        <v>147.19139999999999</v>
      </c>
      <c r="C45" s="42">
        <v>162.98740000000001</v>
      </c>
      <c r="D45" s="42">
        <v>153.27160000000001</v>
      </c>
      <c r="E45" s="42">
        <v>115.4966</v>
      </c>
      <c r="F45" s="42">
        <v>179.15860000000001</v>
      </c>
      <c r="G45" s="42">
        <v>169.57380000000001</v>
      </c>
      <c r="H45" s="42">
        <v>256.54469999999998</v>
      </c>
      <c r="I45" s="42">
        <v>250.2543</v>
      </c>
      <c r="J45" s="42">
        <v>321.27530000000002</v>
      </c>
      <c r="K45" s="42">
        <v>326.54910000000001</v>
      </c>
      <c r="L45" s="42">
        <v>295.25400000000002</v>
      </c>
      <c r="M45" s="42">
        <v>252.99520000000001</v>
      </c>
      <c r="N45" s="42">
        <v>287.84559999999999</v>
      </c>
      <c r="O45" s="42">
        <v>240.85390000000001</v>
      </c>
      <c r="P45" s="42">
        <v>481.93470000000002</v>
      </c>
      <c r="Q45" s="42">
        <v>430.20659999999998</v>
      </c>
      <c r="R45" s="43">
        <f>Q45*(1+-0.01)</f>
        <v>425.90453399999996</v>
      </c>
      <c r="S45" s="43">
        <f>R45*(1+-0.01)</f>
        <v>421.64548865999996</v>
      </c>
      <c r="T45" s="43">
        <f>S45*(1+-0.01)</f>
        <v>417.42903377339996</v>
      </c>
      <c r="U45" s="43">
        <f>T45*(1+-0.01)</f>
        <v>413.25474343566594</v>
      </c>
      <c r="V45" s="43">
        <f>U45*(1+-0.01)</f>
        <v>409.12219600130931</v>
      </c>
      <c r="W45" s="43">
        <f>V45*(1+-0.01)</f>
        <v>405.03097404129619</v>
      </c>
      <c r="X45" s="43">
        <f>W45*(1+-0.01)</f>
        <v>400.98066430088323</v>
      </c>
      <c r="Y45" s="43">
        <f>X45*(1+-0.01)</f>
        <v>396.97085765787438</v>
      </c>
      <c r="AA45" s="48" t="s">
        <v>155</v>
      </c>
    </row>
    <row r="46" spans="1:27" x14ac:dyDescent="0.25">
      <c r="A46" s="40" t="s">
        <v>156</v>
      </c>
      <c r="B46" s="42">
        <v>1635.46</v>
      </c>
      <c r="C46" s="42">
        <v>1852.13</v>
      </c>
      <c r="D46" s="42">
        <v>1803.1949999999999</v>
      </c>
      <c r="E46" s="42">
        <v>1283.296</v>
      </c>
      <c r="F46" s="42">
        <v>2184.8609999999999</v>
      </c>
      <c r="G46" s="42">
        <v>2119.672</v>
      </c>
      <c r="H46" s="42">
        <v>3664.924</v>
      </c>
      <c r="I46" s="42">
        <v>3850.0659999999998</v>
      </c>
      <c r="J46" s="42">
        <v>5354.5889999999999</v>
      </c>
      <c r="K46" s="42">
        <v>5937.2560000000003</v>
      </c>
      <c r="L46" s="42">
        <v>5677.9620000000004</v>
      </c>
      <c r="M46" s="42">
        <v>4599.9129999999996</v>
      </c>
      <c r="N46" s="42">
        <v>5756.9110000000001</v>
      </c>
      <c r="O46" s="42">
        <v>5017.79</v>
      </c>
      <c r="P46" s="42">
        <v>12682.491</v>
      </c>
      <c r="Q46" s="42">
        <v>10243.013999999999</v>
      </c>
      <c r="R46" s="49">
        <f>R44+R45</f>
        <v>10634.216934</v>
      </c>
      <c r="S46" s="49">
        <f>S44+S45</f>
        <v>11040.253488660001</v>
      </c>
      <c r="T46" s="49">
        <f>T44+T45</f>
        <v>11464.350033773399</v>
      </c>
      <c r="U46" s="49">
        <f>U44+U45</f>
        <v>11907.002643435664</v>
      </c>
      <c r="V46" s="49">
        <f>V44+V45</f>
        <v>12364.011796001312</v>
      </c>
      <c r="W46" s="49">
        <f>W44+W45</f>
        <v>12843.903974041297</v>
      </c>
      <c r="X46" s="49">
        <f>X44+X45</f>
        <v>13338.768264300883</v>
      </c>
      <c r="Y46" s="49">
        <f>Y44+Y45</f>
        <v>13858.572357657873</v>
      </c>
      <c r="AA46" s="48" t="s">
        <v>157</v>
      </c>
    </row>
    <row r="48" spans="1:27" x14ac:dyDescent="0.25">
      <c r="A48" s="38" t="s">
        <v>158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spans="1:27" x14ac:dyDescent="0.25">
      <c r="A49" s="40" t="s">
        <v>159</v>
      </c>
      <c r="B49" s="42">
        <v>449.14600000000002</v>
      </c>
      <c r="C49" s="42">
        <v>37.659999999999997</v>
      </c>
      <c r="D49" s="42">
        <v>38.776000000000003</v>
      </c>
      <c r="E49" s="42">
        <v>39.26</v>
      </c>
      <c r="F49" s="42">
        <v>170.12299999999999</v>
      </c>
      <c r="G49" s="42">
        <v>40.843000000000004</v>
      </c>
      <c r="H49" s="42">
        <v>42.621000000000002</v>
      </c>
      <c r="I49" s="42">
        <v>41.168999999999997</v>
      </c>
      <c r="J49" s="42">
        <v>402.346</v>
      </c>
      <c r="K49" s="42">
        <v>41.594000000000001</v>
      </c>
      <c r="L49" s="42">
        <v>40.146999999999998</v>
      </c>
      <c r="M49" s="42">
        <v>39.805</v>
      </c>
      <c r="N49" s="42">
        <v>75.06</v>
      </c>
      <c r="O49" s="42">
        <v>18.77</v>
      </c>
      <c r="P49" s="42">
        <v>18.251999999999999</v>
      </c>
      <c r="Q49" s="42">
        <v>1805.8820000000001</v>
      </c>
      <c r="R49" s="43">
        <v>1805.9</v>
      </c>
      <c r="S49" s="43">
        <v>1805.9</v>
      </c>
      <c r="T49" s="43">
        <v>1805.9</v>
      </c>
      <c r="U49" s="43">
        <v>1805.9</v>
      </c>
      <c r="V49" s="43">
        <v>1805.9</v>
      </c>
      <c r="W49" s="43">
        <v>1805.9</v>
      </c>
      <c r="X49" s="43">
        <v>1805.9</v>
      </c>
      <c r="Y49" s="43">
        <v>1805.9</v>
      </c>
      <c r="AA49" s="41" t="s">
        <v>160</v>
      </c>
    </row>
    <row r="50" spans="1:27" x14ac:dyDescent="0.25">
      <c r="A50" s="40" t="s">
        <v>161</v>
      </c>
      <c r="B50" s="42">
        <v>147.61799999999999</v>
      </c>
      <c r="C50" s="42">
        <v>212.06399999999999</v>
      </c>
      <c r="D50" s="42">
        <v>131.36600000000001</v>
      </c>
      <c r="E50" s="42">
        <v>147.947</v>
      </c>
      <c r="F50" s="42">
        <v>120.179</v>
      </c>
      <c r="G50" s="42">
        <v>105.389</v>
      </c>
      <c r="H50" s="42">
        <v>333.00799999999998</v>
      </c>
      <c r="I50" s="42">
        <v>126.04300000000001</v>
      </c>
      <c r="J50" s="42">
        <v>1771.799</v>
      </c>
      <c r="K50" s="42">
        <v>2217.1239999999998</v>
      </c>
      <c r="L50" s="42">
        <v>1868.8879999999999</v>
      </c>
      <c r="M50" s="42">
        <v>2452.489</v>
      </c>
      <c r="N50" s="42">
        <v>4682.5929999999998</v>
      </c>
      <c r="O50" s="42">
        <v>4756.9359999999997</v>
      </c>
      <c r="P50" s="42">
        <v>4859.5839999999998</v>
      </c>
      <c r="Q50" s="42">
        <v>6967.2190000000001</v>
      </c>
      <c r="R50" s="43">
        <v>6967.2</v>
      </c>
      <c r="S50" s="43">
        <v>6967.2</v>
      </c>
      <c r="T50" s="43">
        <v>6967.2</v>
      </c>
      <c r="U50" s="43">
        <v>6967.2</v>
      </c>
      <c r="V50" s="43">
        <v>6967.2</v>
      </c>
      <c r="W50" s="43">
        <v>6967.2</v>
      </c>
      <c r="X50" s="43">
        <v>6967.2</v>
      </c>
      <c r="Y50" s="43">
        <v>6967.2</v>
      </c>
      <c r="AA50" s="41" t="s">
        <v>162</v>
      </c>
    </row>
    <row r="51" spans="1:27" x14ac:dyDescent="0.25">
      <c r="A51" s="40" t="s">
        <v>163</v>
      </c>
      <c r="B51" s="42">
        <v>1045.9100000000001</v>
      </c>
      <c r="C51" s="42">
        <v>350.89699999999999</v>
      </c>
      <c r="D51" s="42">
        <v>170.142</v>
      </c>
      <c r="E51" s="42">
        <v>187.20699999999999</v>
      </c>
      <c r="F51" s="42">
        <v>460.42500000000001</v>
      </c>
      <c r="G51" s="42">
        <v>146.232</v>
      </c>
      <c r="H51" s="42">
        <v>375.62900000000002</v>
      </c>
      <c r="I51" s="42">
        <v>167.21199999999999</v>
      </c>
      <c r="J51" s="42">
        <v>2174.145</v>
      </c>
      <c r="K51" s="42">
        <v>2258.7179999999998</v>
      </c>
      <c r="L51" s="42">
        <v>1909.0350000000001</v>
      </c>
      <c r="M51" s="42">
        <v>2492.2939999999999</v>
      </c>
      <c r="N51" s="42">
        <v>4757.6530000000002</v>
      </c>
      <c r="O51" s="42">
        <v>4775.7060000000001</v>
      </c>
      <c r="P51" s="42">
        <v>4877.8360000000002</v>
      </c>
      <c r="Q51" s="42">
        <v>8773.1010000000006</v>
      </c>
      <c r="R51" s="49">
        <f>R49+R50</f>
        <v>8773.1</v>
      </c>
      <c r="S51" s="49">
        <f>S49+S50</f>
        <v>8773.1</v>
      </c>
      <c r="T51" s="49">
        <f>T49+T50</f>
        <v>8773.1</v>
      </c>
      <c r="U51" s="49">
        <f>U49+U50</f>
        <v>8773.1</v>
      </c>
      <c r="V51" s="49">
        <f>V49+V50</f>
        <v>8773.1</v>
      </c>
      <c r="W51" s="49">
        <f>W49+W50</f>
        <v>8773.1</v>
      </c>
      <c r="X51" s="49">
        <f>X49+X50</f>
        <v>8773.1</v>
      </c>
      <c r="Y51" s="49">
        <f>Y49+Y50</f>
        <v>8773.1</v>
      </c>
      <c r="AA51" s="48" t="s">
        <v>164</v>
      </c>
    </row>
    <row r="52" spans="1:27" x14ac:dyDescent="0.25">
      <c r="A52" s="40" t="s">
        <v>165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7">
        <v>1.2500000000000001E-2</v>
      </c>
      <c r="S52" s="47">
        <v>1.2500000000000001E-2</v>
      </c>
      <c r="T52" s="47">
        <v>1.2500000000000001E-2</v>
      </c>
      <c r="U52" s="47">
        <v>1.2500000000000001E-2</v>
      </c>
      <c r="V52" s="47">
        <v>1.2500000000000001E-2</v>
      </c>
      <c r="W52" s="47">
        <v>1.2500000000000001E-2</v>
      </c>
      <c r="X52" s="47">
        <v>1.2500000000000001E-2</v>
      </c>
      <c r="Y52" s="47">
        <v>1.2500000000000001E-2</v>
      </c>
      <c r="AA52" s="41" t="s">
        <v>166</v>
      </c>
    </row>
    <row r="53" spans="1:27" x14ac:dyDescent="0.25">
      <c r="A53" s="40" t="s">
        <v>167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9">
        <f>R51*R52</f>
        <v>109.66375000000001</v>
      </c>
      <c r="S53" s="49">
        <f>S51*S52</f>
        <v>109.66375000000001</v>
      </c>
      <c r="T53" s="49">
        <f>T51*T52</f>
        <v>109.66375000000001</v>
      </c>
      <c r="U53" s="49">
        <f>U51*U52</f>
        <v>109.66375000000001</v>
      </c>
      <c r="V53" s="49">
        <f>V51*V52</f>
        <v>109.66375000000001</v>
      </c>
      <c r="W53" s="49">
        <f>W51*W52</f>
        <v>109.66375000000001</v>
      </c>
      <c r="X53" s="49">
        <f>X51*X52</f>
        <v>109.66375000000001</v>
      </c>
      <c r="Y53" s="49">
        <f>Y51*Y52</f>
        <v>109.66375000000001</v>
      </c>
      <c r="AA53" s="48" t="s">
        <v>168</v>
      </c>
    </row>
  </sheetData>
  <autoFilter ref="A3:Y36" xr:uid="{00000000-0009-0000-0000-000001000000}"/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Tomohawk WR</cp:lastModifiedBy>
  <dcterms:created xsi:type="dcterms:W3CDTF">2026-06-03T16:12:21Z</dcterms:created>
  <dcterms:modified xsi:type="dcterms:W3CDTF">2026-06-03T16:15:48Z</dcterms:modified>
</cp:coreProperties>
</file>