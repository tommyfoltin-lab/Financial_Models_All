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8008AAA2-4B3F-40FC-A647-392B82385EC4}" xr6:coauthVersionLast="47" xr6:coauthVersionMax="47" xr10:uidLastSave="{00000000-0000-0000-0000-000000000000}"/>
  <bookViews>
    <workbookView xWindow="495" yWindow="330" windowWidth="27840" windowHeight="14040" tabRatio="696" xr2:uid="{00000000-000D-0000-FFFF-FFFF00000000}"/>
  </bookViews>
  <sheets>
    <sheet name="Cover" sheetId="1" r:id="rId1"/>
    <sheet name="Summary" sheetId="2" r:id="rId2"/>
    <sheet name="Assumptions" sheetId="3" r:id="rId3"/>
    <sheet name="Revenue Build" sheetId="4" r:id="rId4"/>
    <sheet name="P&amp;L" sheetId="5" r:id="rId5"/>
    <sheet name="Cash Flow" sheetId="6" r:id="rId6"/>
    <sheet name="Sensitivities" sheetId="7" r:id="rId7"/>
    <sheet name="Audit" sheetId="8" r:id="rId8"/>
    <sheet name="Validatio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6" l="1"/>
  <c r="C27" i="6"/>
  <c r="D27" i="6"/>
  <c r="E27" i="6"/>
  <c r="F27" i="6"/>
  <c r="G27" i="6"/>
  <c r="B27" i="6"/>
  <c r="G26" i="6"/>
  <c r="C25" i="6"/>
  <c r="D25" i="6"/>
  <c r="E25" i="6"/>
  <c r="F25" i="6"/>
  <c r="G25" i="6"/>
  <c r="B25" i="6"/>
  <c r="G18" i="6"/>
  <c r="G11" i="2" s="1"/>
  <c r="F18" i="6"/>
  <c r="F11" i="2" s="1"/>
  <c r="E18" i="6"/>
  <c r="E11" i="2" s="1"/>
  <c r="D18" i="6"/>
  <c r="D11" i="2" s="1"/>
  <c r="C18" i="6"/>
  <c r="C11" i="2" s="1"/>
  <c r="B18" i="6"/>
  <c r="B11" i="2" s="1"/>
  <c r="B15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G26" i="5" s="1"/>
  <c r="G8" i="2" s="1"/>
  <c r="F22" i="5"/>
  <c r="F26" i="5" s="1"/>
  <c r="F8" i="2" s="1"/>
  <c r="E22" i="5"/>
  <c r="E26" i="5" s="1"/>
  <c r="E8" i="2" s="1"/>
  <c r="D22" i="5"/>
  <c r="D26" i="5" s="1"/>
  <c r="D8" i="2" s="1"/>
  <c r="C22" i="5"/>
  <c r="C26" i="5" s="1"/>
  <c r="C8" i="2" s="1"/>
  <c r="B22" i="5"/>
  <c r="B26" i="5" s="1"/>
  <c r="B8" i="2" s="1"/>
  <c r="G19" i="5"/>
  <c r="F19" i="5"/>
  <c r="E19" i="5"/>
  <c r="D19" i="5"/>
  <c r="C19" i="5"/>
  <c r="B19" i="5"/>
  <c r="G17" i="5"/>
  <c r="F17" i="5"/>
  <c r="E17" i="5"/>
  <c r="D17" i="5"/>
  <c r="C17" i="5"/>
  <c r="B17" i="5"/>
  <c r="G16" i="5"/>
  <c r="F16" i="5"/>
  <c r="E16" i="5"/>
  <c r="D16" i="5"/>
  <c r="C16" i="5"/>
  <c r="B16" i="5"/>
  <c r="D15" i="5"/>
  <c r="C15" i="5"/>
  <c r="B15" i="5"/>
  <c r="G9" i="5"/>
  <c r="G15" i="5" s="1"/>
  <c r="F9" i="5"/>
  <c r="F15" i="5" s="1"/>
  <c r="E9" i="5"/>
  <c r="E15" i="5" s="1"/>
  <c r="D9" i="5"/>
  <c r="C9" i="5"/>
  <c r="B9" i="5"/>
  <c r="G16" i="4"/>
  <c r="F16" i="4"/>
  <c r="E16" i="4"/>
  <c r="D16" i="4"/>
  <c r="C16" i="4"/>
  <c r="B16" i="4"/>
  <c r="G15" i="4"/>
  <c r="G17" i="4" s="1"/>
  <c r="F15" i="4"/>
  <c r="F17" i="4" s="1"/>
  <c r="E15" i="4"/>
  <c r="E17" i="4" s="1"/>
  <c r="D15" i="4"/>
  <c r="D17" i="4" s="1"/>
  <c r="C15" i="4"/>
  <c r="C17" i="4" s="1"/>
  <c r="B15" i="4"/>
  <c r="B17" i="4" s="1"/>
  <c r="G12" i="4"/>
  <c r="F12" i="4"/>
  <c r="E12" i="4"/>
  <c r="D12" i="4"/>
  <c r="G11" i="4"/>
  <c r="F11" i="4"/>
  <c r="E11" i="4"/>
  <c r="D11" i="4"/>
  <c r="C11" i="4"/>
  <c r="B11" i="4"/>
  <c r="G10" i="4"/>
  <c r="F10" i="4"/>
  <c r="E10" i="4"/>
  <c r="D10" i="4"/>
  <c r="C10" i="4"/>
  <c r="C12" i="4" s="1"/>
  <c r="B10" i="4"/>
  <c r="B12" i="4" s="1"/>
  <c r="G6" i="4"/>
  <c r="F6" i="4"/>
  <c r="E6" i="4"/>
  <c r="D6" i="4"/>
  <c r="C6" i="4"/>
  <c r="B6" i="4"/>
  <c r="B7" i="4" s="1"/>
  <c r="G5" i="4"/>
  <c r="G7" i="4" s="1"/>
  <c r="F5" i="4"/>
  <c r="F7" i="4" s="1"/>
  <c r="E5" i="4"/>
  <c r="E7" i="4" s="1"/>
  <c r="D5" i="4"/>
  <c r="D7" i="4" s="1"/>
  <c r="C5" i="4"/>
  <c r="C7" i="4" s="1"/>
  <c r="B5" i="4"/>
  <c r="B19" i="4" l="1"/>
  <c r="B4" i="5" s="1"/>
  <c r="G19" i="4"/>
  <c r="G4" i="5" s="1"/>
  <c r="F19" i="4"/>
  <c r="F4" i="5" s="1"/>
  <c r="E19" i="4"/>
  <c r="E4" i="5" s="1"/>
  <c r="C19" i="4"/>
  <c r="C4" i="5" s="1"/>
  <c r="D19" i="4"/>
  <c r="D4" i="5" s="1"/>
  <c r="B4" i="2" l="1"/>
  <c r="B5" i="5"/>
  <c r="B11" i="6"/>
  <c r="B7" i="5"/>
  <c r="B6" i="5"/>
  <c r="B10" i="5"/>
  <c r="B8" i="5"/>
  <c r="G8" i="5"/>
  <c r="G7" i="5"/>
  <c r="G4" i="2"/>
  <c r="G6" i="5"/>
  <c r="G12" i="5" s="1"/>
  <c r="G11" i="6"/>
  <c r="G5" i="5"/>
  <c r="G10" i="5" s="1"/>
  <c r="F4" i="2"/>
  <c r="F5" i="5"/>
  <c r="F10" i="5" s="1"/>
  <c r="F11" i="6"/>
  <c r="F8" i="5"/>
  <c r="F7" i="5"/>
  <c r="F6" i="5"/>
  <c r="F12" i="5" s="1"/>
  <c r="E11" i="6"/>
  <c r="E6" i="5"/>
  <c r="E7" i="5"/>
  <c r="E5" i="5"/>
  <c r="E10" i="5" s="1"/>
  <c r="E8" i="5"/>
  <c r="E4" i="2"/>
  <c r="C4" i="2"/>
  <c r="C11" i="6"/>
  <c r="C8" i="5"/>
  <c r="C7" i="5"/>
  <c r="C6" i="5"/>
  <c r="C12" i="5" s="1"/>
  <c r="C5" i="5"/>
  <c r="C10" i="5" s="1"/>
  <c r="D8" i="5"/>
  <c r="D4" i="2"/>
  <c r="D11" i="6"/>
  <c r="D5" i="5"/>
  <c r="D10" i="5" s="1"/>
  <c r="D7" i="5"/>
  <c r="D6" i="5"/>
  <c r="D12" i="5" s="1"/>
  <c r="B13" i="5" l="1"/>
  <c r="B11" i="5"/>
  <c r="B5" i="2"/>
  <c r="G13" i="5"/>
  <c r="G5" i="2"/>
  <c r="G11" i="5"/>
  <c r="F11" i="5"/>
  <c r="F13" i="5"/>
  <c r="F5" i="2"/>
  <c r="E11" i="5"/>
  <c r="E5" i="2"/>
  <c r="E13" i="5"/>
  <c r="C11" i="5"/>
  <c r="C13" i="5"/>
  <c r="C5" i="2"/>
  <c r="D13" i="5"/>
  <c r="D5" i="2"/>
  <c r="D11" i="5"/>
  <c r="E12" i="5"/>
  <c r="B12" i="5"/>
  <c r="B13" i="6"/>
  <c r="B12" i="6"/>
  <c r="G12" i="6"/>
  <c r="G13" i="6"/>
  <c r="F12" i="6"/>
  <c r="F13" i="6"/>
  <c r="E12" i="6"/>
  <c r="E13" i="6"/>
  <c r="C12" i="6"/>
  <c r="C13" i="6"/>
  <c r="D13" i="6"/>
  <c r="D12" i="6"/>
  <c r="B14" i="6" l="1"/>
  <c r="D14" i="6"/>
  <c r="E15" i="6" s="1"/>
  <c r="E14" i="6"/>
  <c r="F15" i="6" s="1"/>
  <c r="B14" i="5"/>
  <c r="B18" i="5"/>
  <c r="B6" i="2"/>
  <c r="G18" i="5"/>
  <c r="G14" i="5"/>
  <c r="G6" i="2"/>
  <c r="F6" i="2"/>
  <c r="F14" i="5"/>
  <c r="F18" i="5"/>
  <c r="E14" i="5"/>
  <c r="E6" i="2"/>
  <c r="E18" i="5"/>
  <c r="C14" i="5"/>
  <c r="C18" i="5"/>
  <c r="C6" i="2"/>
  <c r="D14" i="5"/>
  <c r="D18" i="5"/>
  <c r="D6" i="2"/>
  <c r="F14" i="6"/>
  <c r="G14" i="6"/>
  <c r="C14" i="6"/>
  <c r="B16" i="6" l="1"/>
  <c r="C15" i="6"/>
  <c r="C16" i="6" s="1"/>
  <c r="E16" i="6"/>
  <c r="B20" i="5"/>
  <c r="B21" i="5" s="1"/>
  <c r="G20" i="5"/>
  <c r="G21" i="5" s="1"/>
  <c r="F20" i="5"/>
  <c r="F21" i="5"/>
  <c r="E20" i="5"/>
  <c r="E21" i="5"/>
  <c r="C20" i="5"/>
  <c r="C21" i="5"/>
  <c r="D20" i="5"/>
  <c r="D21" i="5" s="1"/>
  <c r="F16" i="6"/>
  <c r="G15" i="6"/>
  <c r="G16" i="6" s="1"/>
  <c r="D15" i="6"/>
  <c r="D16" i="6" s="1"/>
  <c r="B27" i="5" l="1"/>
  <c r="B9" i="2" s="1"/>
  <c r="B7" i="2"/>
  <c r="B4" i="6"/>
  <c r="B17" i="6" s="1"/>
  <c r="G4" i="6"/>
  <c r="G17" i="6" s="1"/>
  <c r="G27" i="5"/>
  <c r="G9" i="2" s="1"/>
  <c r="G7" i="2"/>
  <c r="F4" i="6"/>
  <c r="F17" i="6" s="1"/>
  <c r="F27" i="5"/>
  <c r="F9" i="2" s="1"/>
  <c r="F7" i="2"/>
  <c r="E27" i="5"/>
  <c r="E9" i="2" s="1"/>
  <c r="E4" i="6"/>
  <c r="E17" i="6" s="1"/>
  <c r="E7" i="2"/>
  <c r="C7" i="2"/>
  <c r="C27" i="5"/>
  <c r="C9" i="2" s="1"/>
  <c r="C4" i="6"/>
  <c r="C17" i="6" s="1"/>
  <c r="D7" i="2"/>
  <c r="D27" i="5"/>
  <c r="D9" i="2" s="1"/>
  <c r="D4" i="6"/>
  <c r="D17" i="6" s="1"/>
  <c r="B19" i="6" l="1"/>
  <c r="B24" i="6" s="1"/>
  <c r="B10" i="2"/>
  <c r="G19" i="6"/>
  <c r="G24" i="6" s="1"/>
  <c r="G10" i="2"/>
  <c r="F19" i="6"/>
  <c r="F24" i="6" s="1"/>
  <c r="F10" i="2"/>
  <c r="E19" i="6"/>
  <c r="E24" i="6" s="1"/>
  <c r="E10" i="2"/>
  <c r="C19" i="6"/>
  <c r="C24" i="6" s="1"/>
  <c r="C10" i="2"/>
  <c r="D19" i="6"/>
  <c r="D24" i="6" s="1"/>
  <c r="D10" i="2"/>
  <c r="B20" i="6" l="1"/>
  <c r="B13" i="2" s="1"/>
  <c r="B12" i="2"/>
  <c r="G20" i="6"/>
  <c r="G13" i="2" s="1"/>
  <c r="G12" i="2"/>
  <c r="F20" i="6"/>
  <c r="F13" i="2" s="1"/>
  <c r="F12" i="2"/>
  <c r="E20" i="6"/>
  <c r="E13" i="2" s="1"/>
  <c r="E12" i="2"/>
  <c r="C20" i="6"/>
  <c r="C13" i="2" s="1"/>
  <c r="C12" i="2"/>
  <c r="D20" i="6"/>
  <c r="D13" i="2" s="1"/>
  <c r="D12" i="2"/>
</calcChain>
</file>

<file path=xl/sharedStrings.xml><?xml version="1.0" encoding="utf-8"?>
<sst xmlns="http://schemas.openxmlformats.org/spreadsheetml/2006/main" count="527" uniqueCount="255">
  <si>
    <t>Snowflake Inc. (SNOW)</t>
  </si>
  <si>
    <t>Value-Driven EPS and FCF Forecast</t>
  </si>
  <si>
    <t>Forecast horizon:</t>
  </si>
  <si>
    <t>FY2027 - FY2032</t>
  </si>
  <si>
    <t>Currency:</t>
  </si>
  <si>
    <t>USD</t>
  </si>
  <si>
    <t>Unit scale:</t>
  </si>
  <si>
    <t>millions except per share, customers in whole units, ARPU in thousands USD</t>
  </si>
  <si>
    <t>Validation status:</t>
  </si>
  <si>
    <t>PASS</t>
  </si>
  <si>
    <t>Color key</t>
  </si>
  <si>
    <t>Blue</t>
  </si>
  <si>
    <t>Hardcoded input. Edit these to change the forecast.</t>
  </si>
  <si>
    <t>Black</t>
  </si>
  <si>
    <t>Formula calculated within this sheet.</t>
  </si>
  <si>
    <t>Green</t>
  </si>
  <si>
    <t>Cross-sheet link pulling from another tab.</t>
  </si>
  <si>
    <t>Yellow fill</t>
  </si>
  <si>
    <t>Assumption flagged MISSING_EVIDENCE or USER_REQUIRED.</t>
  </si>
  <si>
    <t>Model framework</t>
  </si>
  <si>
    <t>Revenue is built bottom-up per segment using driver formulas (price x volume, customers x ARPU, etc.).</t>
  </si>
  <si>
    <t>Cost lines tie to revenue ratios or unit drivers. No CAGR or top-down growth rates are permitted.</t>
  </si>
  <si>
    <t>EPS and FCF flow from net income through standard non-cash addbacks and working capital changes.</t>
  </si>
  <si>
    <t>Every input on the Assumptions tab has a source and a one-sentence reason on the Audit tab.</t>
  </si>
  <si>
    <t>Sensitivities tab stresses the three highest-impact assumptions plus or minus 20 percent.</t>
  </si>
  <si>
    <t>Bottom-Line Forecast</t>
  </si>
  <si>
    <t>FY2027</t>
  </si>
  <si>
    <t>FY2028</t>
  </si>
  <si>
    <t>FY2029</t>
  </si>
  <si>
    <t>FY2030</t>
  </si>
  <si>
    <t>FY2031</t>
  </si>
  <si>
    <t>FY2032</t>
  </si>
  <si>
    <t>Revenue</t>
  </si>
  <si>
    <t>Gross profit</t>
  </si>
  <si>
    <t>EBIT</t>
  </si>
  <si>
    <t>Net income</t>
  </si>
  <si>
    <t>Diluted shares (millions)</t>
  </si>
  <si>
    <t>EPS</t>
  </si>
  <si>
    <t>Cash flow from operations</t>
  </si>
  <si>
    <t>Capex</t>
  </si>
  <si>
    <t>Free cash flow</t>
  </si>
  <si>
    <t>FCF margin</t>
  </si>
  <si>
    <t>Assumptions (blue cells are editable inputs)</t>
  </si>
  <si>
    <t>Driver</t>
  </si>
  <si>
    <t>Source</t>
  </si>
  <si>
    <t>Reason</t>
  </si>
  <si>
    <t>Confidence</t>
  </si>
  <si>
    <t>Revenue segment 1: Large customers ($1M+ TTM) product revenue (customers_arpu)</t>
  </si>
  <si>
    <t>Customers</t>
  </si>
  <si>
    <t>Q4 FY26 8-K Feb 25 2026: 733 large customers at FY26 end, +27% YoY. Q1 FY27 release May 27 2026: 779 large customers, +29% YoY. Net adds of ~157 in FY26 plus accelerating run-rate implies ~190 net adds in FY27.</t>
  </si>
  <si>
    <t>FY27 calibrated to management guide of $5,840M product revenue. Large-customer count growth slowing from 27% to ~26% as base expands. ARPU declines slightly as newer entrants to the $1M+ tier dilute the average; existing large customers still expand at NRR 125% but pace of $1M+ promotions adds lower-ARPU entrants.</t>
  </si>
  <si>
    <t>High</t>
  </si>
  <si>
    <t>ARPU</t>
  </si>
  <si>
    <t>Implied: large customers ~75% of product revenue (calibrated to FY26 product revenue $4,470M and total customers 13,328 with 733 large). $4,470M x 0.75 / 733 = $4.57M average. Large-customer ARPU declines as new $1M+ entrants drag the average down. Cross-checked vs FY27 guide $5,840M product revenue.</t>
  </si>
  <si>
    <t>Revenue segment 2: Long-tail customers (sub-$1M TTM) product revenue (customers_arpu)</t>
  </si>
  <si>
    <t>FY26 10-K: total customers 13,328 with 733 large = 12,595 long-tail. Net adds 2,332 in FY26 (740 in Q4 alone +40% YoY). FY27 net adds projected at ~2,000. Long-tail = 14,600 (total ~15,520 minus 920 large).</t>
  </si>
  <si>
    <t>ARPU expansion reflects existing long-tail cohorts consuming more (NRR 125% applies here too).</t>
  </si>
  <si>
    <t>Medium</t>
  </si>
  <si>
    <t>Calibrated to FY27 product revenue guide of $5,840M (Q1 FY27 release May 27 2026). Large-customer contribution $3,634M (920 x $3.95M); residual long-tail product revenue = $2,206M, implying ARPU of $151K. FY26 implied long-tail ARPU was ~$129K so this represents modest expansion from cohort maturation and AI workload adoption.</t>
  </si>
  <si>
    <t>Revenue segment 3: Professional services and other revenue (customers_arpu)</t>
  </si>
  <si>
    <t>Treated as one segment; using customer count = 1 and ARPU as total dollars in millions.</t>
  </si>
  <si>
    <t>Services revenue scales with implementation needs from new logos. Modest growth.</t>
  </si>
  <si>
    <t>FY26 actual: $4,684M total revenue minus $4,470M product = $214M professional services and other. Management has indicated services revenue is not a profit center and grows roughly with product.</t>
  </si>
  <si>
    <t>Cost lines</t>
  </si>
  <si>
    <t>Cost of revenue (percent_of_revenue)</t>
  </si>
  <si>
    <t>FY26 10-K: total gross margin 67%, so COGS = 33% of revenue. Mgmt guide of 75% non-GAAP product gross margin for FY27 implies GAAP product gross margin ~70%, with services drag holding total GAAP gross margin around 68%.</t>
  </si>
  <si>
    <t>Slight improvement from scale and hyperscaler cost negotiations.</t>
  </si>
  <si>
    <t>Research and development (percent_of_revenue)</t>
  </si>
  <si>
    <t>FY26 10-K: R&amp;D $1,980M / $4,684M = 42.3% of revenue. Management has committed to heavy AI investment. FY27 guide of 12.5% non-GAAP op margin implies disciplined opex on revenue base of $6.1B+ (total revenue).</t>
  </si>
  <si>
    <t>R&amp;D ratio modestly improves as revenue scales faster than headcount additions, but AI investment keeps absolute dollars high.</t>
  </si>
  <si>
    <t>Sales and marketing (percent_of_revenue)</t>
  </si>
  <si>
    <t>FY26 10-K: S&amp;M roughly 41% of revenue (estimated from total opex of 98% minus R&amp;D 42% minus G&amp;A 9% minus restructuring 2% gives ~45% but adjusting for non-cash items closer to 41%). FY27 mgmt commentary indicates continued investment in enterprise sales motion.</t>
  </si>
  <si>
    <t>Modest S&amp;M leverage as NRR-driven expansion lowers cost per dollar of revenue.</t>
  </si>
  <si>
    <t>General and administrative (percent_of_revenue)</t>
  </si>
  <si>
    <t>FY26 10-K: G&amp;A ~9% of revenue (estimated). Public company costs scale sub-linearly with revenue.</t>
  </si>
  <si>
    <t>G&amp;A leverage from scale.</t>
  </si>
  <si>
    <t>Interest income net of interest expense (fixed_amount)</t>
  </si>
  <si>
    <t>FY26 10-K: cash and investments ~$5B at FY26 end (down from $4.6B peak as buybacks and Observe acquisition consumed cash). Treasury yields ~4.0-4.3%. Less interest expense on convertible notes issued in 2025.</t>
  </si>
  <si>
    <t>Strong net interest income from cash hoard.</t>
  </si>
  <si>
    <t>Taxes</t>
  </si>
  <si>
    <t>Cash tax rate</t>
  </si>
  <si>
    <t>FY26 10-K: $17.1M tax provision on -$1,329M loss. Heavy NOL carryforward shields cash taxes. Some international cash taxes apply.</t>
  </si>
  <si>
    <t>Minimal cash taxes due to GAAP losses and NOLs.</t>
  </si>
  <si>
    <t>Working capital (days)</t>
  </si>
  <si>
    <t>DSO (days)</t>
  </si>
  <si>
    <t>FY26 implied DSO: AR ~$1,320M / $4,684M x 365 = 103 days. AP ~$60M / cost base implies ~15 days. SNOW has zero inventory.</t>
  </si>
  <si>
    <t>Stable working capital ratios.</t>
  </si>
  <si>
    <t>DIO (days)</t>
  </si>
  <si>
    <t>DPO (days)</t>
  </si>
  <si>
    <t>Maintenance capex</t>
  </si>
  <si>
    <t>FY26 capex ~$100M (CFO $1,222M minus FCF $1,120M = ~$102M). FY27 expected to step up as Snowflake builds Cortex AI inference infrastructure and acquires Observe-related compute. Mgmt 23% adj FCF margin guide implies ~$200M capex.</t>
  </si>
  <si>
    <t>Modest capex step-up for AI infrastructure.</t>
  </si>
  <si>
    <t>Growth capex</t>
  </si>
  <si>
    <t>Share count</t>
  </si>
  <si>
    <t>Starting diluted shares (millions)</t>
  </si>
  <si>
    <t>FY26 10-K: weighted avg diluted shares 337.5M. SBC dilution: $1.75B SBC / ~$200 share price = ~8.75M from new grants minus vesting net, plus equity awards from Observe; net ~20M. Buybacks: $232.9M in one quarter (Q3 FY26) implies $800M+ annualized. Repurchase price $200 average. FY27 non-GAAP diluted shares guide of 376M reflects different methodology (includes SBC dilutive effect under treasury method but excludes loss-per-share impact).</t>
  </si>
  <si>
    <t>Net dilution of ~16M shares per year before buybacks.</t>
  </si>
  <si>
    <t>SBC dilution shares (millions)</t>
  </si>
  <si>
    <t>Buyback dollars</t>
  </si>
  <si>
    <t>Repurchase price per share</t>
  </si>
  <si>
    <t>Issuance shares (millions)</t>
  </si>
  <si>
    <t>Non-cash items (added back in CFO)</t>
  </si>
  <si>
    <t>Depreciation and amortization</t>
  </si>
  <si>
    <t>FY26 10-K: SBC $1.6B (Macrotrends), D&amp;A approximately $200M including amortization of acquired intangibles from Observe. 'Other non-cash' captures the change in deferred revenue, which is a major tailwind: RPO grew from $6.88B to $9.77B in FY26 (+42%); current deferred revenue change typically contributes $400-700M to CFO annually. Also includes deferred tax movements and accretion. Calibrated against FY26 GAAP CFO of $1,222M reconciled from net loss of -$1,329M + SBC $1.6B + D&amp;A ~$200M + other ~$751M working capital and deferred revenue tailwinds.</t>
  </si>
  <si>
    <t>Deferred revenue growth from Q4-weighted billings is the dominant CFO contributor beyond SBC; SNOW collects cash well in advance of revenue recognition.</t>
  </si>
  <si>
    <t>Stock-based compensation</t>
  </si>
  <si>
    <t>Other non-cash items</t>
  </si>
  <si>
    <t>Historical base (prior-year working capital)</t>
  </si>
  <si>
    <t>Accounts receivable (prior year)</t>
  </si>
  <si>
    <t>Inventory (prior year)</t>
  </si>
  <si>
    <t>Accounts payable (prior year)</t>
  </si>
  <si>
    <t>Revenue Build</t>
  </si>
  <si>
    <t>Segment / driver</t>
  </si>
  <si>
    <t>Large customers ($1M+ TTM) product revenue</t>
  </si>
  <si>
    <t>Segment revenue</t>
  </si>
  <si>
    <t>Long-tail customers (sub-$1M TTM) product revenue</t>
  </si>
  <si>
    <t>Professional services and other revenue</t>
  </si>
  <si>
    <t>Total revenue</t>
  </si>
  <si>
    <t>Income Statement</t>
  </si>
  <si>
    <t>Line</t>
  </si>
  <si>
    <t>Cost of revenue</t>
  </si>
  <si>
    <t>Research and development</t>
  </si>
  <si>
    <t>Sales and marketing</t>
  </si>
  <si>
    <t>General and administrative</t>
  </si>
  <si>
    <t>Interest income net of interest expense</t>
  </si>
  <si>
    <t>Gross Profit</t>
  </si>
  <si>
    <t>Gross margin</t>
  </si>
  <si>
    <t>Total operating expenses</t>
  </si>
  <si>
    <t>EBIT margin</t>
  </si>
  <si>
    <t>Interest income</t>
  </si>
  <si>
    <t>Interest expense</t>
  </si>
  <si>
    <t>Other income/(expense)</t>
  </si>
  <si>
    <t>EBT</t>
  </si>
  <si>
    <t>Starting diluted shares</t>
  </si>
  <si>
    <t>+ SBC dilution</t>
  </si>
  <si>
    <t>+ Issuance</t>
  </si>
  <si>
    <t>- Buyback shares (dollars / price)</t>
  </si>
  <si>
    <t>Diluted shares</t>
  </si>
  <si>
    <t>Cash Flow Statement</t>
  </si>
  <si>
    <t>+ D&amp;A</t>
  </si>
  <si>
    <t>+ Stock-based compensation</t>
  </si>
  <si>
    <t>+ Other non-cash</t>
  </si>
  <si>
    <t>Accounts receivable (end of year)</t>
  </si>
  <si>
    <t>Inventory (end of year)</t>
  </si>
  <si>
    <t>Accounts payable (end of year)</t>
  </si>
  <si>
    <t>Net working capital</t>
  </si>
  <si>
    <t>Prior year NWC</t>
  </si>
  <si>
    <t>Change in NWC</t>
  </si>
  <si>
    <t>Cash flow from operations (CFO)</t>
  </si>
  <si>
    <t>Capex (maintenance + growth)</t>
  </si>
  <si>
    <t>Sensitivity Analysis (terminal year FY2032)</t>
  </si>
  <si>
    <t>Scenario</t>
  </si>
  <si>
    <t>EPS FY2032</t>
  </si>
  <si>
    <t>EPS change vs base</t>
  </si>
  <si>
    <t>FCF FY2032</t>
  </si>
  <si>
    <t>FCF change vs base</t>
  </si>
  <si>
    <t>Revenue FY2032</t>
  </si>
  <si>
    <t>Base case</t>
  </si>
  <si>
    <t>Research and development ratio up 20%</t>
  </si>
  <si>
    <t>Research and development ratio down 20%</t>
  </si>
  <si>
    <t>Sales and marketing ratio up 20%</t>
  </si>
  <si>
    <t>Sales and marketing ratio down 20%</t>
  </si>
  <si>
    <t>Segment 1 customers up 20%</t>
  </si>
  <si>
    <t>Segment 1 customers down 20%</t>
  </si>
  <si>
    <t>Note: Sensitivity values are computed by the engine, not by live formulas. Edit the Assumptions tab and re-run the engine to update.</t>
  </si>
  <si>
    <t>Assumption Audit</t>
  </si>
  <si>
    <t>Assumption</t>
  </si>
  <si>
    <t>Model line</t>
  </si>
  <si>
    <t>Fiscal year</t>
  </si>
  <si>
    <t>Value</t>
  </si>
  <si>
    <t>Status</t>
  </si>
  <si>
    <t>Large customers ($1M+ TTM) product revenue revenue driver</t>
  </si>
  <si>
    <t>MISSING_EVIDENCE</t>
  </si>
  <si>
    <t>Customer count growth decelerates with scale. ARPU declines mildly because new $1M+ entrants enter near the floor. The combination still produces strong dollar growth from this segment.</t>
  </si>
  <si>
    <t>Continued large-customer expansion but at slower pace. ARPU continues to drift down as base broadens.</t>
  </si>
  <si>
    <t>Forbes Global 2000 penetration approaching 50% caps incremental large-customer adds. ARPU stabilizes as AI workloads add per-customer spend.</t>
  </si>
  <si>
    <t>Late-cycle deceleration; international expansion offsets some US saturation.</t>
  </si>
  <si>
    <t>Low</t>
  </si>
  <si>
    <t>Trajectory consistent with mature platform SaaS at ~10% topline growth in large-customer dollar terms.</t>
  </si>
  <si>
    <t>Long-tail customers (sub-$1M TTM) product revenue revenue driver</t>
  </si>
  <si>
    <t>Slower net adds at scale; ARPU expansion sustains long-tail dollar growth.</t>
  </si>
  <si>
    <t>Continued mid-market penetration at slowing pace.</t>
  </si>
  <si>
    <t>Late-stage mid-market saturation.</t>
  </si>
  <si>
    <t>Long-tail growth normalizes.</t>
  </si>
  <si>
    <t>Mature long-tail dynamics.</t>
  </si>
  <si>
    <t>Professional services and other revenue revenue driver</t>
  </si>
  <si>
    <t>Services revenue grows with platform adoption.</t>
  </si>
  <si>
    <t>Steady services growth.</t>
  </si>
  <si>
    <t>Services revenue scales with implementations.</t>
  </si>
  <si>
    <t>Continued services growth.</t>
  </si>
  <si>
    <t>Mature services scaling.</t>
  </si>
  <si>
    <t>cogs</t>
  </si>
  <si>
    <t>SUPPORTED</t>
  </si>
  <si>
    <t>opex</t>
  </si>
  <si>
    <t>interest_income</t>
  </si>
  <si>
    <t>Run-rate improvement from FY27 guide; hyperscaler discount progression as volume increases.</t>
  </si>
  <si>
    <t>Continued modest gross margin expansion.</t>
  </si>
  <si>
    <t>Operating leverage on R&amp;D as revenue compounds; mgmt non-GAAP op margin target of 20% by FY29 implies aggressive opex leverage.</t>
  </si>
  <si>
    <t>Scale benefits on R&amp;D ratio.</t>
  </si>
  <si>
    <t>S&amp;M leverage as installed-base expansion (NRR 120%+) requires less new-logo spend per dollar of revenue growth.</t>
  </si>
  <si>
    <t>S&amp;M efficiency improves with platform stickiness.</t>
  </si>
  <si>
    <t>Continued G&amp;A leverage.</t>
  </si>
  <si>
    <t>G&amp;A ratio compresses with scale.</t>
  </si>
  <si>
    <t>Cash declines from continued buybacks; rates assumed to drift lower.</t>
  </si>
  <si>
    <t>Net interest income drifts down with rates and cash drawdown.</t>
  </si>
  <si>
    <t>Continued scale benefits; AI workload pricing potentially expands margins as Snowflake captures premium for governed AI inference.</t>
  </si>
  <si>
    <t>Margin expansion plateau approaches.</t>
  </si>
  <si>
    <t>Operating leverage continues; FY29 informal mgmt target of 20% non-GAAP op margin requires meaningful R&amp;D ratio compression.</t>
  </si>
  <si>
    <t>Material R&amp;D leverage from revenue scale.</t>
  </si>
  <si>
    <t>Continued S&amp;M leverage; enterprise reps cover larger books.</t>
  </si>
  <si>
    <t>Material S&amp;M leverage.</t>
  </si>
  <si>
    <t>Scale benefits.</t>
  </si>
  <si>
    <t>Continued normalization of rates and cash.</t>
  </si>
  <si>
    <t>Lower yields offset rising cash from FCF generation.</t>
  </si>
  <si>
    <t>Mature scale; offset by AI infrastructure costs.</t>
  </si>
  <si>
    <t>Marginal continued improvement.</t>
  </si>
  <si>
    <t>Continued leverage as revenue compounds toward $14B+.</t>
  </si>
  <si>
    <t>R&amp;D ratio approaches mature SaaS levels of ~25-30%.</t>
  </si>
  <si>
    <t>Late-stage S&amp;M efficiency.</t>
  </si>
  <si>
    <t>Approaching mature enterprise SaaS S&amp;M ratios.</t>
  </si>
  <si>
    <t>Approaching mature G&amp;A.</t>
  </si>
  <si>
    <t>Cash rebuild offsets rate normalization.</t>
  </si>
  <si>
    <t>Net interest income stabilizes.</t>
  </si>
  <si>
    <t>Mature operating leverage on infrastructure.</t>
  </si>
  <si>
    <t>Approaching steady-state gross margin.</t>
  </si>
  <si>
    <t>Late-stage maturation.</t>
  </si>
  <si>
    <t>Approaching mature R&amp;D ratio.</t>
  </si>
  <si>
    <t>Mature SaaS S&amp;M intensity.</t>
  </si>
  <si>
    <t>Steady-state S&amp;M.</t>
  </si>
  <si>
    <t>Mature G&amp;A.</t>
  </si>
  <si>
    <t>Steady-state assumption.</t>
  </si>
  <si>
    <t>Stable cash and rate environment.</t>
  </si>
  <si>
    <t>Steady-state assumption consistent with mature enterprise SaaS.</t>
  </si>
  <si>
    <t>Gross margin plateau.</t>
  </si>
  <si>
    <t>Steady-state for AI-platform SaaS.</t>
  </si>
  <si>
    <t>Mature R&amp;D intensity.</t>
  </si>
  <si>
    <t>Mature platform S&amp;M.</t>
  </si>
  <si>
    <t>Steady-state.</t>
  </si>
  <si>
    <t>Mature SaaS G&amp;A.</t>
  </si>
  <si>
    <t>Mature treasury operations.</t>
  </si>
  <si>
    <t>Validation</t>
  </si>
  <si>
    <t>Severity</t>
  </si>
  <si>
    <t>Location</t>
  </si>
  <si>
    <t>Issue</t>
  </si>
  <si>
    <t>Fix</t>
  </si>
  <si>
    <t>No validation issues found.</t>
  </si>
  <si>
    <t>FCF / Share</t>
  </si>
  <si>
    <t>shares</t>
  </si>
  <si>
    <t>Disc</t>
  </si>
  <si>
    <t>TGR</t>
  </si>
  <si>
    <t>NPV</t>
  </si>
  <si>
    <t>Disc FCF</t>
  </si>
  <si>
    <t>Terminal</t>
  </si>
  <si>
    <t>Year</t>
  </si>
  <si>
    <t>Total disc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</si>
</sst>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$#,##0;&quot;($&quot;#,##0\);\-"/>
    <numFmt numFmtId="165" formatCode="#,##0;\(#,##0\);\-"/>
    <numFmt numFmtId="166" formatCode="\$#,##0.00;&quot;($&quot;#,##0.00\);\-"/>
    <numFmt numFmtId="167" formatCode="0.0%;\(0.0%\);\-"/>
    <numFmt numFmtId="168" formatCode="#,##0.000;\(#,##0.000\);\-"/>
    <numFmt numFmtId="169" formatCode="0.0;\(0.0\);\-"/>
    <numFmt numFmtId="173" formatCode="0;\(0\);\-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  <font>
      <b/>
      <sz val="11"/>
      <color theme="1"/>
      <name val="Calibri"/>
      <family val="2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52">
    <xf numFmtId="0" fontId="0" fillId="0" borderId="0" xfId="0"/>
    <xf numFmtId="0" fontId="8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2" borderId="0" xfId="0" applyFont="1" applyFill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3" fillId="4" borderId="0" xfId="0" applyFont="1" applyFill="1"/>
    <xf numFmtId="0" fontId="0" fillId="4" borderId="0" xfId="0" applyFill="1"/>
    <xf numFmtId="0" fontId="5" fillId="0" borderId="0" xfId="0" applyFont="1" applyAlignment="1">
      <alignment horizontal="left" vertical="center" indent="1"/>
    </xf>
    <xf numFmtId="165" fontId="6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168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indent="1"/>
    </xf>
    <xf numFmtId="0" fontId="0" fillId="0" borderId="0" xfId="0" applyAlignment="1">
      <alignment indent="1"/>
    </xf>
    <xf numFmtId="168" fontId="7" fillId="0" borderId="0" xfId="0" applyNumberFormat="1" applyFont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indent="2"/>
    </xf>
    <xf numFmtId="167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6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9" fillId="0" borderId="0" xfId="0" applyFont="1"/>
    <xf numFmtId="43" fontId="10" fillId="0" borderId="0" xfId="1" applyFont="1"/>
    <xf numFmtId="9" fontId="0" fillId="0" borderId="0" xfId="0" applyNumberFormat="1"/>
    <xf numFmtId="173" fontId="7" fillId="0" borderId="0" xfId="0" applyNumberFormat="1" applyFont="1" applyAlignment="1">
      <alignment horizontal="right" vertic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sqref="A1:F1"/>
    </sheetView>
  </sheetViews>
  <sheetFormatPr defaultColWidth="8.7109375" defaultRowHeight="15" x14ac:dyDescent="0.25"/>
  <cols>
    <col min="1" max="1" width="22" customWidth="1"/>
    <col min="2" max="6" width="18" customWidth="1"/>
  </cols>
  <sheetData>
    <row r="1" spans="1:6" ht="18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3" t="s">
        <v>1</v>
      </c>
      <c r="B2" s="3"/>
      <c r="C2" s="3"/>
      <c r="D2" s="3"/>
      <c r="E2" s="3"/>
      <c r="F2" s="3"/>
    </row>
    <row r="4" spans="1:6" x14ac:dyDescent="0.25">
      <c r="A4" s="7" t="s">
        <v>2</v>
      </c>
      <c r="B4" s="8" t="s">
        <v>3</v>
      </c>
    </row>
    <row r="5" spans="1:6" x14ac:dyDescent="0.25">
      <c r="A5" s="7" t="s">
        <v>4</v>
      </c>
      <c r="B5" s="8" t="s">
        <v>5</v>
      </c>
    </row>
    <row r="6" spans="1:6" x14ac:dyDescent="0.25">
      <c r="A6" s="7" t="s">
        <v>6</v>
      </c>
      <c r="B6" s="8" t="s">
        <v>7</v>
      </c>
    </row>
    <row r="7" spans="1:6" x14ac:dyDescent="0.25">
      <c r="A7" s="7" t="s">
        <v>8</v>
      </c>
      <c r="B7" s="8" t="s">
        <v>9</v>
      </c>
    </row>
    <row r="9" spans="1:6" x14ac:dyDescent="0.25">
      <c r="A9" s="6" t="s">
        <v>10</v>
      </c>
    </row>
    <row r="10" spans="1:6" x14ac:dyDescent="0.25">
      <c r="A10" s="9" t="s">
        <v>11</v>
      </c>
      <c r="B10" t="s">
        <v>12</v>
      </c>
    </row>
    <row r="11" spans="1:6" x14ac:dyDescent="0.25">
      <c r="A11" s="10" t="s">
        <v>13</v>
      </c>
      <c r="B11" t="s">
        <v>14</v>
      </c>
    </row>
    <row r="12" spans="1:6" x14ac:dyDescent="0.25">
      <c r="A12" s="11" t="s">
        <v>15</v>
      </c>
      <c r="B12" t="s">
        <v>16</v>
      </c>
    </row>
    <row r="13" spans="1:6" x14ac:dyDescent="0.25">
      <c r="A13" s="12" t="s">
        <v>17</v>
      </c>
      <c r="B13" t="s">
        <v>18</v>
      </c>
    </row>
    <row r="15" spans="1:6" x14ac:dyDescent="0.25">
      <c r="A15" s="6" t="s">
        <v>19</v>
      </c>
    </row>
    <row r="16" spans="1:6" x14ac:dyDescent="0.25">
      <c r="A16" s="2" t="s">
        <v>20</v>
      </c>
      <c r="B16" s="2"/>
      <c r="C16" s="2"/>
      <c r="D16" s="2"/>
      <c r="E16" s="2"/>
      <c r="F16" s="2"/>
    </row>
    <row r="17" spans="1:6" x14ac:dyDescent="0.25">
      <c r="A17" s="2" t="s">
        <v>21</v>
      </c>
      <c r="B17" s="2"/>
      <c r="C17" s="2"/>
      <c r="D17" s="2"/>
      <c r="E17" s="2"/>
      <c r="F17" s="2"/>
    </row>
    <row r="18" spans="1:6" x14ac:dyDescent="0.25">
      <c r="A18" s="2" t="s">
        <v>22</v>
      </c>
      <c r="B18" s="2"/>
      <c r="C18" s="2"/>
      <c r="D18" s="2"/>
      <c r="E18" s="2"/>
      <c r="F18" s="2"/>
    </row>
    <row r="19" spans="1:6" x14ac:dyDescent="0.25">
      <c r="A19" s="2" t="s">
        <v>23</v>
      </c>
      <c r="B19" s="2"/>
      <c r="C19" s="2"/>
      <c r="D19" s="2"/>
      <c r="E19" s="2"/>
      <c r="F19" s="2"/>
    </row>
    <row r="20" spans="1:6" x14ac:dyDescent="0.25">
      <c r="A20" s="2" t="s">
        <v>24</v>
      </c>
      <c r="B20" s="2"/>
      <c r="C20" s="2"/>
      <c r="D20" s="2"/>
      <c r="E20" s="2"/>
      <c r="F20" s="2"/>
    </row>
  </sheetData>
  <mergeCells count="7">
    <mergeCell ref="A19:F19"/>
    <mergeCell ref="A20:F20"/>
    <mergeCell ref="A1:F1"/>
    <mergeCell ref="A2:F2"/>
    <mergeCell ref="A16:F16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defaultColWidth="8.7109375" defaultRowHeight="15" x14ac:dyDescent="0.25"/>
  <cols>
    <col min="1" max="1" width="32" customWidth="1"/>
    <col min="2" max="7" width="14" customWidth="1"/>
  </cols>
  <sheetData>
    <row r="1" spans="1:7" ht="18" x14ac:dyDescent="0.25">
      <c r="A1" s="5" t="s">
        <v>25</v>
      </c>
    </row>
    <row r="3" spans="1:7" x14ac:dyDescent="0.25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</row>
    <row r="4" spans="1:7" x14ac:dyDescent="0.25">
      <c r="A4" s="7" t="s">
        <v>32</v>
      </c>
      <c r="B4" s="15">
        <f>'P&amp;L'!B4</f>
        <v>6053.6</v>
      </c>
      <c r="C4" s="15">
        <f>'P&amp;L'!C4</f>
        <v>7288</v>
      </c>
      <c r="D4" s="15">
        <f>'P&amp;L'!D4</f>
        <v>8578</v>
      </c>
      <c r="E4" s="15">
        <f>'P&amp;L'!E4</f>
        <v>9831.7999999999993</v>
      </c>
      <c r="F4" s="15">
        <f>'P&amp;L'!F4</f>
        <v>10924.2</v>
      </c>
      <c r="G4" s="15">
        <f>'P&amp;L'!G4</f>
        <v>11867</v>
      </c>
    </row>
    <row r="5" spans="1:7" x14ac:dyDescent="0.25">
      <c r="A5" s="7" t="s">
        <v>33</v>
      </c>
      <c r="B5" s="15">
        <f>'P&amp;L'!B10</f>
        <v>4116.4480000000003</v>
      </c>
      <c r="C5" s="15">
        <f>'P&amp;L'!C10</f>
        <v>5028.7199999999993</v>
      </c>
      <c r="D5" s="15">
        <f>'P&amp;L'!D10</f>
        <v>6004.6</v>
      </c>
      <c r="E5" s="15">
        <f>'P&amp;L'!E10</f>
        <v>6980.5779999999995</v>
      </c>
      <c r="F5" s="15">
        <f>'P&amp;L'!F10</f>
        <v>7810.8030000000008</v>
      </c>
      <c r="G5" s="15">
        <f>'P&amp;L'!G10</f>
        <v>8544.24</v>
      </c>
    </row>
    <row r="6" spans="1:7" x14ac:dyDescent="0.25">
      <c r="A6" s="7" t="s">
        <v>34</v>
      </c>
      <c r="B6" s="15">
        <f>'P&amp;L'!B13</f>
        <v>-1301.5239999999994</v>
      </c>
      <c r="C6" s="15">
        <f>'P&amp;L'!C13</f>
        <v>-838.1200000000008</v>
      </c>
      <c r="D6" s="15">
        <f>'P&amp;L'!D13</f>
        <v>-300.22999999999956</v>
      </c>
      <c r="E6" s="15">
        <f>'P&amp;L'!E13</f>
        <v>393.27200000000084</v>
      </c>
      <c r="F6" s="15">
        <f>'P&amp;L'!F13</f>
        <v>983.17800000000079</v>
      </c>
      <c r="G6" s="15">
        <f>'P&amp;L'!G13</f>
        <v>1661.3799999999992</v>
      </c>
    </row>
    <row r="7" spans="1:7" x14ac:dyDescent="0.25">
      <c r="A7" s="7" t="s">
        <v>35</v>
      </c>
      <c r="B7" s="15">
        <f>'P&amp;L'!B21</f>
        <v>-1106.5239999999994</v>
      </c>
      <c r="C7" s="15">
        <f>'P&amp;L'!C21</f>
        <v>-658.1200000000008</v>
      </c>
      <c r="D7" s="15">
        <f>'P&amp;L'!D21</f>
        <v>-140.22999999999956</v>
      </c>
      <c r="E7" s="15">
        <f>'P&amp;L'!E21</f>
        <v>488.94480000000078</v>
      </c>
      <c r="F7" s="15">
        <f>'P&amp;L'!F21</f>
        <v>970.23308000000065</v>
      </c>
      <c r="G7" s="15">
        <f>'P&amp;L'!G21</f>
        <v>1477.1315999999993</v>
      </c>
    </row>
    <row r="8" spans="1:7" x14ac:dyDescent="0.25">
      <c r="A8" s="7" t="s">
        <v>36</v>
      </c>
      <c r="B8" s="16">
        <f>'P&amp;L'!B26</f>
        <v>353</v>
      </c>
      <c r="C8" s="16">
        <f>'P&amp;L'!C26</f>
        <v>346.90909090909093</v>
      </c>
      <c r="D8" s="16">
        <f>'P&amp;L'!D26</f>
        <v>339.83333333333331</v>
      </c>
      <c r="E8" s="16">
        <f>'P&amp;L'!E26</f>
        <v>331.76923076923077</v>
      </c>
      <c r="F8" s="16">
        <f>'P&amp;L'!F26</f>
        <v>323.71428571428572</v>
      </c>
      <c r="G8" s="16">
        <f>'P&amp;L'!G26</f>
        <v>314.66666666666669</v>
      </c>
    </row>
    <row r="9" spans="1:7" x14ac:dyDescent="0.25">
      <c r="A9" s="7" t="s">
        <v>37</v>
      </c>
      <c r="B9" s="17">
        <f>'P&amp;L'!B27</f>
        <v>-3.1346288951841346</v>
      </c>
      <c r="C9" s="17">
        <f>'P&amp;L'!C27</f>
        <v>-1.8970964360587024</v>
      </c>
      <c r="D9" s="17">
        <f>'P&amp;L'!D27</f>
        <v>-0.41264345267287761</v>
      </c>
      <c r="E9" s="17">
        <f>'P&amp;L'!E27</f>
        <v>1.4737496869928148</v>
      </c>
      <c r="F9" s="17">
        <f>'P&amp;L'!F27</f>
        <v>2.9971895675198605</v>
      </c>
      <c r="G9" s="17">
        <f>'P&amp;L'!G27</f>
        <v>4.6942741525423699</v>
      </c>
    </row>
    <row r="10" spans="1:7" x14ac:dyDescent="0.25">
      <c r="A10" s="7" t="s">
        <v>38</v>
      </c>
      <c r="B10" s="15">
        <f>'Cash Flow'!B17</f>
        <v>1037.5602082191785</v>
      </c>
      <c r="C10" s="15">
        <f>'Cash Flow'!C17</f>
        <v>1612.6643945205471</v>
      </c>
      <c r="D10" s="15">
        <f>'Cash Flow'!D17</f>
        <v>2261.6718082191792</v>
      </c>
      <c r="E10" s="15">
        <f>'Cash Flow'!E17</f>
        <v>2829.138761643836</v>
      </c>
      <c r="F10" s="15">
        <f>'Cash Flow'!F17</f>
        <v>3383.8745868493156</v>
      </c>
      <c r="G10" s="15">
        <f>'Cash Flow'!G17</f>
        <v>3959.154980821917</v>
      </c>
    </row>
    <row r="11" spans="1:7" x14ac:dyDescent="0.25">
      <c r="A11" s="7" t="s">
        <v>39</v>
      </c>
      <c r="B11" s="15">
        <f>'Cash Flow'!B18</f>
        <v>-200</v>
      </c>
      <c r="C11" s="15">
        <f>'Cash Flow'!C18</f>
        <v>-250</v>
      </c>
      <c r="D11" s="15">
        <f>'Cash Flow'!D18</f>
        <v>-290</v>
      </c>
      <c r="E11" s="15">
        <f>'Cash Flow'!E18</f>
        <v>-320</v>
      </c>
      <c r="F11" s="15">
        <f>'Cash Flow'!F18</f>
        <v>-340</v>
      </c>
      <c r="G11" s="15">
        <f>'Cash Flow'!G18</f>
        <v>-360</v>
      </c>
    </row>
    <row r="12" spans="1:7" x14ac:dyDescent="0.25">
      <c r="A12" s="7" t="s">
        <v>40</v>
      </c>
      <c r="B12" s="15">
        <f>'Cash Flow'!B19</f>
        <v>837.56020821917855</v>
      </c>
      <c r="C12" s="15">
        <f>'Cash Flow'!C19</f>
        <v>1362.6643945205471</v>
      </c>
      <c r="D12" s="15">
        <f>'Cash Flow'!D19</f>
        <v>1971.6718082191792</v>
      </c>
      <c r="E12" s="15">
        <f>'Cash Flow'!E19</f>
        <v>2509.138761643836</v>
      </c>
      <c r="F12" s="15">
        <f>'Cash Flow'!F19</f>
        <v>3043.8745868493156</v>
      </c>
      <c r="G12" s="15">
        <f>'Cash Flow'!G19</f>
        <v>3599.154980821917</v>
      </c>
    </row>
    <row r="13" spans="1:7" x14ac:dyDescent="0.25">
      <c r="A13" s="7" t="s">
        <v>41</v>
      </c>
      <c r="B13" s="18">
        <f>'Cash Flow'!B20</f>
        <v>0.13835737548222191</v>
      </c>
      <c r="C13" s="18">
        <f>'Cash Flow'!C20</f>
        <v>0.18697370945671613</v>
      </c>
      <c r="D13" s="18">
        <f>'Cash Flow'!D20</f>
        <v>0.22985215763804839</v>
      </c>
      <c r="E13" s="18">
        <f>'Cash Flow'!E20</f>
        <v>0.25520644863034603</v>
      </c>
      <c r="F13" s="18">
        <f>'Cash Flow'!F20</f>
        <v>0.2786359263698317</v>
      </c>
      <c r="G13" s="18">
        <f>'Cash Flow'!G20</f>
        <v>0.3032910576238238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44" customWidth="1"/>
    <col min="2" max="7" width="13" customWidth="1"/>
    <col min="8" max="9" width="55" customWidth="1"/>
    <col min="10" max="10" width="12" customWidth="1"/>
  </cols>
  <sheetData>
    <row r="1" spans="1:10" ht="18" x14ac:dyDescent="0.25">
      <c r="A1" s="4" t="s">
        <v>42</v>
      </c>
      <c r="B1" s="4"/>
      <c r="C1" s="4"/>
      <c r="D1" s="4"/>
      <c r="E1" s="4"/>
      <c r="F1" s="4"/>
      <c r="G1" s="4"/>
      <c r="H1" s="4"/>
    </row>
    <row r="3" spans="1:10" x14ac:dyDescent="0.25">
      <c r="A3" s="13" t="s">
        <v>43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3" t="s">
        <v>44</v>
      </c>
      <c r="I3" s="13" t="s">
        <v>45</v>
      </c>
      <c r="J3" s="13" t="s">
        <v>46</v>
      </c>
    </row>
    <row r="4" spans="1:10" x14ac:dyDescent="0.25">
      <c r="A4" s="19" t="s">
        <v>47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72" x14ac:dyDescent="0.25">
      <c r="A5" s="21" t="s">
        <v>48</v>
      </c>
      <c r="B5" s="22">
        <v>920</v>
      </c>
      <c r="C5" s="22">
        <v>1140</v>
      </c>
      <c r="D5" s="22">
        <v>1390</v>
      </c>
      <c r="E5" s="22">
        <v>1640</v>
      </c>
      <c r="F5" s="22">
        <v>1870</v>
      </c>
      <c r="G5" s="22">
        <v>2080</v>
      </c>
      <c r="H5" s="23" t="s">
        <v>49</v>
      </c>
      <c r="I5" s="23" t="s">
        <v>50</v>
      </c>
      <c r="J5" s="24" t="s">
        <v>51</v>
      </c>
    </row>
    <row r="6" spans="1:10" ht="72" x14ac:dyDescent="0.25">
      <c r="A6" s="21" t="s">
        <v>52</v>
      </c>
      <c r="B6" s="25">
        <v>3.95</v>
      </c>
      <c r="C6" s="25">
        <v>3.8</v>
      </c>
      <c r="D6" s="25">
        <v>3.7</v>
      </c>
      <c r="E6" s="25">
        <v>3.65</v>
      </c>
      <c r="F6" s="25">
        <v>3.6</v>
      </c>
      <c r="G6" s="25">
        <v>3.55</v>
      </c>
      <c r="H6" s="23" t="s">
        <v>53</v>
      </c>
      <c r="I6" s="23" t="s">
        <v>50</v>
      </c>
      <c r="J6" s="24" t="s">
        <v>51</v>
      </c>
    </row>
    <row r="8" spans="1:10" x14ac:dyDescent="0.25">
      <c r="A8" s="19" t="s">
        <v>54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48" x14ac:dyDescent="0.25">
      <c r="A9" s="21" t="s">
        <v>48</v>
      </c>
      <c r="B9" s="22">
        <v>14600</v>
      </c>
      <c r="C9" s="22">
        <v>16400</v>
      </c>
      <c r="D9" s="22">
        <v>18000</v>
      </c>
      <c r="E9" s="22">
        <v>19400</v>
      </c>
      <c r="F9" s="22">
        <v>20600</v>
      </c>
      <c r="G9" s="22">
        <v>21700</v>
      </c>
      <c r="H9" s="23" t="s">
        <v>55</v>
      </c>
      <c r="I9" s="23" t="s">
        <v>56</v>
      </c>
      <c r="J9" s="24" t="s">
        <v>57</v>
      </c>
    </row>
    <row r="10" spans="1:10" ht="72" x14ac:dyDescent="0.25">
      <c r="A10" s="21" t="s">
        <v>52</v>
      </c>
      <c r="B10" s="25">
        <v>0.151</v>
      </c>
      <c r="C10" s="25">
        <v>0.16500000000000001</v>
      </c>
      <c r="D10" s="25">
        <v>0.17499999999999999</v>
      </c>
      <c r="E10" s="25">
        <v>0.182</v>
      </c>
      <c r="F10" s="25">
        <v>0.187</v>
      </c>
      <c r="G10" s="25">
        <v>0.19</v>
      </c>
      <c r="H10" s="23" t="s">
        <v>58</v>
      </c>
      <c r="I10" s="23" t="s">
        <v>56</v>
      </c>
      <c r="J10" s="24" t="s">
        <v>57</v>
      </c>
    </row>
    <row r="12" spans="1:10" x14ac:dyDescent="0.25">
      <c r="A12" s="19" t="s">
        <v>59</v>
      </c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24" x14ac:dyDescent="0.25">
      <c r="A13" s="21" t="s">
        <v>48</v>
      </c>
      <c r="B13" s="22">
        <v>1</v>
      </c>
      <c r="C13" s="22">
        <v>1</v>
      </c>
      <c r="D13" s="22">
        <v>1</v>
      </c>
      <c r="E13" s="22">
        <v>1</v>
      </c>
      <c r="F13" s="22">
        <v>1</v>
      </c>
      <c r="G13" s="22">
        <v>1</v>
      </c>
      <c r="H13" s="23" t="s">
        <v>60</v>
      </c>
      <c r="I13" s="23" t="s">
        <v>61</v>
      </c>
      <c r="J13" s="24" t="s">
        <v>57</v>
      </c>
    </row>
    <row r="14" spans="1:10" ht="48" x14ac:dyDescent="0.25">
      <c r="A14" s="21" t="s">
        <v>52</v>
      </c>
      <c r="B14" s="25">
        <v>215</v>
      </c>
      <c r="C14" s="25">
        <v>250</v>
      </c>
      <c r="D14" s="25">
        <v>285</v>
      </c>
      <c r="E14" s="25">
        <v>315</v>
      </c>
      <c r="F14" s="25">
        <v>340</v>
      </c>
      <c r="G14" s="25">
        <v>360</v>
      </c>
      <c r="H14" s="23" t="s">
        <v>62</v>
      </c>
      <c r="I14" s="23" t="s">
        <v>61</v>
      </c>
      <c r="J14" s="24" t="s">
        <v>57</v>
      </c>
    </row>
    <row r="16" spans="1:10" x14ac:dyDescent="0.25">
      <c r="A16" s="19" t="s">
        <v>63</v>
      </c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48" x14ac:dyDescent="0.25">
      <c r="A17" s="21" t="s">
        <v>64</v>
      </c>
      <c r="B17" s="26">
        <v>0.32</v>
      </c>
      <c r="C17" s="26">
        <v>0.31</v>
      </c>
      <c r="D17" s="26">
        <v>0.3</v>
      </c>
      <c r="E17" s="26">
        <v>0.28999999999999998</v>
      </c>
      <c r="F17" s="26">
        <v>0.28499999999999998</v>
      </c>
      <c r="G17" s="26">
        <v>0.28000000000000003</v>
      </c>
      <c r="H17" s="23" t="s">
        <v>65</v>
      </c>
      <c r="I17" s="23" t="s">
        <v>66</v>
      </c>
      <c r="J17" s="24" t="s">
        <v>51</v>
      </c>
    </row>
    <row r="18" spans="1:10" ht="48" x14ac:dyDescent="0.25">
      <c r="A18" s="21" t="s">
        <v>67</v>
      </c>
      <c r="B18" s="26">
        <v>0.41</v>
      </c>
      <c r="C18" s="26">
        <v>0.37</v>
      </c>
      <c r="D18" s="26">
        <v>0.34</v>
      </c>
      <c r="E18" s="26">
        <v>0.31</v>
      </c>
      <c r="F18" s="26">
        <v>0.28999999999999998</v>
      </c>
      <c r="G18" s="26">
        <v>0.27</v>
      </c>
      <c r="H18" s="23" t="s">
        <v>68</v>
      </c>
      <c r="I18" s="23" t="s">
        <v>69</v>
      </c>
      <c r="J18" s="24" t="s">
        <v>51</v>
      </c>
    </row>
    <row r="19" spans="1:10" ht="60" x14ac:dyDescent="0.25">
      <c r="A19" s="21" t="s">
        <v>70</v>
      </c>
      <c r="B19" s="26">
        <v>0.4</v>
      </c>
      <c r="C19" s="26">
        <v>0.36</v>
      </c>
      <c r="D19" s="26">
        <v>0.33</v>
      </c>
      <c r="E19" s="26">
        <v>0.3</v>
      </c>
      <c r="F19" s="26">
        <v>0.28000000000000003</v>
      </c>
      <c r="G19" s="26">
        <v>0.26</v>
      </c>
      <c r="H19" s="23" t="s">
        <v>71</v>
      </c>
      <c r="I19" s="23" t="s">
        <v>72</v>
      </c>
      <c r="J19" s="24" t="s">
        <v>57</v>
      </c>
    </row>
    <row r="20" spans="1:10" ht="24" x14ac:dyDescent="0.25">
      <c r="A20" s="21" t="s">
        <v>73</v>
      </c>
      <c r="B20" s="26">
        <v>8.5000000000000006E-2</v>
      </c>
      <c r="C20" s="26">
        <v>7.4999999999999997E-2</v>
      </c>
      <c r="D20" s="26">
        <v>6.5000000000000002E-2</v>
      </c>
      <c r="E20" s="26">
        <v>0.06</v>
      </c>
      <c r="F20" s="26">
        <v>5.5E-2</v>
      </c>
      <c r="G20" s="26">
        <v>0.05</v>
      </c>
      <c r="H20" s="23" t="s">
        <v>74</v>
      </c>
      <c r="I20" s="23" t="s">
        <v>75</v>
      </c>
      <c r="J20" s="24" t="s">
        <v>51</v>
      </c>
    </row>
    <row r="21" spans="1:10" ht="48" x14ac:dyDescent="0.25">
      <c r="A21" s="21" t="s">
        <v>76</v>
      </c>
      <c r="B21" s="27">
        <v>195</v>
      </c>
      <c r="C21" s="27">
        <v>180</v>
      </c>
      <c r="D21" s="27">
        <v>160</v>
      </c>
      <c r="E21" s="27">
        <v>150</v>
      </c>
      <c r="F21" s="27">
        <v>145</v>
      </c>
      <c r="G21" s="27">
        <v>140</v>
      </c>
      <c r="H21" s="23" t="s">
        <v>77</v>
      </c>
      <c r="I21" s="23" t="s">
        <v>78</v>
      </c>
      <c r="J21" s="24" t="s">
        <v>51</v>
      </c>
    </row>
    <row r="23" spans="1:10" x14ac:dyDescent="0.25">
      <c r="A23" s="19" t="s">
        <v>79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36" x14ac:dyDescent="0.25">
      <c r="A24" s="21" t="s">
        <v>80</v>
      </c>
      <c r="B24" s="26">
        <v>0.04</v>
      </c>
      <c r="C24" s="26">
        <v>0.04</v>
      </c>
      <c r="D24" s="26">
        <v>0.06</v>
      </c>
      <c r="E24" s="26">
        <v>0.1</v>
      </c>
      <c r="F24" s="26">
        <v>0.14000000000000001</v>
      </c>
      <c r="G24" s="26">
        <v>0.18</v>
      </c>
      <c r="H24" s="23" t="s">
        <v>81</v>
      </c>
      <c r="I24" s="23" t="s">
        <v>82</v>
      </c>
      <c r="J24" s="24" t="s">
        <v>51</v>
      </c>
    </row>
    <row r="26" spans="1:10" x14ac:dyDescent="0.25">
      <c r="A26" s="19" t="s">
        <v>83</v>
      </c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24" x14ac:dyDescent="0.25">
      <c r="A27" s="21" t="s">
        <v>84</v>
      </c>
      <c r="B27" s="28">
        <v>105</v>
      </c>
      <c r="C27" s="28">
        <v>105</v>
      </c>
      <c r="D27" s="28">
        <v>100</v>
      </c>
      <c r="E27" s="28">
        <v>100</v>
      </c>
      <c r="F27" s="28">
        <v>100</v>
      </c>
      <c r="G27" s="28">
        <v>100</v>
      </c>
      <c r="H27" s="23" t="s">
        <v>85</v>
      </c>
      <c r="I27" s="23" t="s">
        <v>86</v>
      </c>
      <c r="J27" s="24" t="s">
        <v>57</v>
      </c>
    </row>
    <row r="28" spans="1:10" x14ac:dyDescent="0.25">
      <c r="A28" s="21" t="s">
        <v>87</v>
      </c>
      <c r="B28" s="28">
        <v>0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3"/>
      <c r="I28" s="23"/>
      <c r="J28" s="24"/>
    </row>
    <row r="29" spans="1:10" x14ac:dyDescent="0.25">
      <c r="A29" s="21" t="s">
        <v>88</v>
      </c>
      <c r="B29" s="28">
        <v>18</v>
      </c>
      <c r="C29" s="28">
        <v>18</v>
      </c>
      <c r="D29" s="28">
        <v>18</v>
      </c>
      <c r="E29" s="28">
        <v>18</v>
      </c>
      <c r="F29" s="28">
        <v>18</v>
      </c>
      <c r="G29" s="28">
        <v>18</v>
      </c>
      <c r="H29" s="23"/>
      <c r="I29" s="23"/>
      <c r="J29" s="24"/>
    </row>
    <row r="31" spans="1:10" x14ac:dyDescent="0.25">
      <c r="A31" s="19" t="s">
        <v>39</v>
      </c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48" x14ac:dyDescent="0.25">
      <c r="A32" s="21" t="s">
        <v>89</v>
      </c>
      <c r="B32" s="27">
        <v>80</v>
      </c>
      <c r="C32" s="27">
        <v>100</v>
      </c>
      <c r="D32" s="27">
        <v>120</v>
      </c>
      <c r="E32" s="27">
        <v>140</v>
      </c>
      <c r="F32" s="27">
        <v>160</v>
      </c>
      <c r="G32" s="27">
        <v>180</v>
      </c>
      <c r="H32" s="23" t="s">
        <v>90</v>
      </c>
      <c r="I32" s="23" t="s">
        <v>91</v>
      </c>
      <c r="J32" s="24" t="s">
        <v>51</v>
      </c>
    </row>
    <row r="33" spans="1:10" x14ac:dyDescent="0.25">
      <c r="A33" s="21" t="s">
        <v>92</v>
      </c>
      <c r="B33" s="27">
        <v>120</v>
      </c>
      <c r="C33" s="27">
        <v>150</v>
      </c>
      <c r="D33" s="27">
        <v>170</v>
      </c>
      <c r="E33" s="27">
        <v>180</v>
      </c>
      <c r="F33" s="27">
        <v>180</v>
      </c>
      <c r="G33" s="27">
        <v>180</v>
      </c>
      <c r="H33" s="23"/>
      <c r="I33" s="23"/>
      <c r="J33" s="24"/>
    </row>
    <row r="35" spans="1:10" x14ac:dyDescent="0.25">
      <c r="A35" s="19" t="s">
        <v>93</v>
      </c>
      <c r="B35" s="20"/>
      <c r="C35" s="20"/>
      <c r="D35" s="20"/>
      <c r="E35" s="20"/>
      <c r="F35" s="20"/>
      <c r="G35" s="20"/>
      <c r="H35" s="20"/>
      <c r="I35" s="20"/>
      <c r="J35" s="20"/>
    </row>
    <row r="36" spans="1:10" ht="84" x14ac:dyDescent="0.25">
      <c r="A36" s="21" t="s">
        <v>94</v>
      </c>
      <c r="B36" s="22">
        <v>337</v>
      </c>
      <c r="C36" s="22">
        <v>333</v>
      </c>
      <c r="D36" s="22">
        <v>327</v>
      </c>
      <c r="E36" s="22">
        <v>320</v>
      </c>
      <c r="F36" s="22">
        <v>313</v>
      </c>
      <c r="G36" s="22">
        <v>305</v>
      </c>
      <c r="H36" s="23" t="s">
        <v>95</v>
      </c>
      <c r="I36" s="23" t="s">
        <v>96</v>
      </c>
      <c r="J36" s="24" t="s">
        <v>57</v>
      </c>
    </row>
    <row r="37" spans="1:10" x14ac:dyDescent="0.25">
      <c r="A37" s="21" t="s">
        <v>97</v>
      </c>
      <c r="B37" s="22">
        <v>20</v>
      </c>
      <c r="C37" s="22">
        <v>18</v>
      </c>
      <c r="D37" s="22">
        <v>17</v>
      </c>
      <c r="E37" s="22">
        <v>16</v>
      </c>
      <c r="F37" s="22">
        <v>15</v>
      </c>
      <c r="G37" s="22">
        <v>14</v>
      </c>
      <c r="H37" s="23"/>
      <c r="I37" s="23"/>
      <c r="J37" s="24"/>
    </row>
    <row r="38" spans="1:10" x14ac:dyDescent="0.25">
      <c r="A38" s="21" t="s">
        <v>98</v>
      </c>
      <c r="B38" s="27">
        <v>800</v>
      </c>
      <c r="C38" s="27">
        <v>900</v>
      </c>
      <c r="D38" s="27">
        <v>1000</v>
      </c>
      <c r="E38" s="27">
        <v>1100</v>
      </c>
      <c r="F38" s="27">
        <v>1200</v>
      </c>
      <c r="G38" s="27">
        <v>1300</v>
      </c>
      <c r="H38" s="23"/>
      <c r="I38" s="23"/>
      <c r="J38" s="24"/>
    </row>
    <row r="39" spans="1:10" x14ac:dyDescent="0.25">
      <c r="A39" s="21" t="s">
        <v>99</v>
      </c>
      <c r="B39" s="29">
        <v>200</v>
      </c>
      <c r="C39" s="29">
        <v>220</v>
      </c>
      <c r="D39" s="29">
        <v>240</v>
      </c>
      <c r="E39" s="29">
        <v>260</v>
      </c>
      <c r="F39" s="29">
        <v>280</v>
      </c>
      <c r="G39" s="29">
        <v>300</v>
      </c>
      <c r="H39" s="23"/>
      <c r="I39" s="23"/>
      <c r="J39" s="24"/>
    </row>
    <row r="40" spans="1:10" x14ac:dyDescent="0.25">
      <c r="A40" s="21" t="s">
        <v>100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3"/>
      <c r="I40" s="23"/>
      <c r="J40" s="24"/>
    </row>
    <row r="42" spans="1:10" x14ac:dyDescent="0.25">
      <c r="A42" s="19" t="s">
        <v>101</v>
      </c>
      <c r="B42" s="20"/>
      <c r="C42" s="20"/>
      <c r="D42" s="20"/>
      <c r="E42" s="20"/>
      <c r="F42" s="20"/>
      <c r="G42" s="20"/>
      <c r="H42" s="20"/>
      <c r="I42" s="20"/>
      <c r="J42" s="20"/>
    </row>
    <row r="43" spans="1:10" ht="108" x14ac:dyDescent="0.25">
      <c r="A43" s="21" t="s">
        <v>102</v>
      </c>
      <c r="B43" s="27">
        <v>230</v>
      </c>
      <c r="C43" s="27">
        <v>260</v>
      </c>
      <c r="D43" s="27">
        <v>290</v>
      </c>
      <c r="E43" s="27">
        <v>320</v>
      </c>
      <c r="F43" s="27">
        <v>350</v>
      </c>
      <c r="G43" s="27">
        <v>380</v>
      </c>
      <c r="H43" s="23" t="s">
        <v>103</v>
      </c>
      <c r="I43" s="23" t="s">
        <v>104</v>
      </c>
      <c r="J43" s="24" t="s">
        <v>51</v>
      </c>
    </row>
    <row r="44" spans="1:10" x14ac:dyDescent="0.25">
      <c r="A44" s="21" t="s">
        <v>105</v>
      </c>
      <c r="B44" s="27">
        <v>1750</v>
      </c>
      <c r="C44" s="27">
        <v>1850</v>
      </c>
      <c r="D44" s="27">
        <v>1900</v>
      </c>
      <c r="E44" s="27">
        <v>1950</v>
      </c>
      <c r="F44" s="27">
        <v>2000</v>
      </c>
      <c r="G44" s="27">
        <v>2050</v>
      </c>
      <c r="H44" s="23"/>
      <c r="I44" s="23"/>
      <c r="J44" s="24"/>
    </row>
    <row r="45" spans="1:10" x14ac:dyDescent="0.25">
      <c r="A45" s="21" t="s">
        <v>106</v>
      </c>
      <c r="B45" s="27">
        <v>550</v>
      </c>
      <c r="C45" s="27">
        <v>500</v>
      </c>
      <c r="D45" s="27">
        <v>450</v>
      </c>
      <c r="E45" s="27">
        <v>400</v>
      </c>
      <c r="F45" s="27">
        <v>350</v>
      </c>
      <c r="G45" s="27">
        <v>300</v>
      </c>
      <c r="H45" s="23"/>
      <c r="I45" s="23"/>
      <c r="J45" s="24"/>
    </row>
    <row r="47" spans="1:10" x14ac:dyDescent="0.25">
      <c r="A47" s="19" t="s">
        <v>107</v>
      </c>
      <c r="B47" s="20"/>
      <c r="C47" s="20"/>
      <c r="D47" s="20"/>
      <c r="E47" s="20"/>
      <c r="F47" s="20"/>
      <c r="G47" s="20"/>
      <c r="H47" s="20"/>
      <c r="I47" s="20"/>
      <c r="J47" s="20"/>
    </row>
    <row r="48" spans="1:10" x14ac:dyDescent="0.25">
      <c r="A48" s="30" t="s">
        <v>108</v>
      </c>
      <c r="B48" s="27">
        <v>1320</v>
      </c>
    </row>
    <row r="49" spans="1:2" x14ac:dyDescent="0.25">
      <c r="A49" s="30" t="s">
        <v>109</v>
      </c>
      <c r="B49" s="27">
        <v>0</v>
      </c>
    </row>
    <row r="50" spans="1:2" x14ac:dyDescent="0.25">
      <c r="A50" s="30" t="s">
        <v>110</v>
      </c>
      <c r="B50" s="27">
        <v>60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44" customWidth="1"/>
    <col min="2" max="7" width="14" customWidth="1"/>
  </cols>
  <sheetData>
    <row r="1" spans="1:7" ht="18" x14ac:dyDescent="0.25">
      <c r="A1" s="5" t="s">
        <v>111</v>
      </c>
    </row>
    <row r="3" spans="1:7" x14ac:dyDescent="0.25">
      <c r="A3" s="13" t="s">
        <v>112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</row>
    <row r="4" spans="1:7" x14ac:dyDescent="0.25">
      <c r="A4" s="6" t="s">
        <v>113</v>
      </c>
    </row>
    <row r="5" spans="1:7" x14ac:dyDescent="0.25">
      <c r="A5" s="31" t="s">
        <v>48</v>
      </c>
      <c r="B5" s="16">
        <f>Assumptions!B5</f>
        <v>920</v>
      </c>
      <c r="C5" s="16">
        <f>Assumptions!C5</f>
        <v>1140</v>
      </c>
      <c r="D5" s="16">
        <f>Assumptions!D5</f>
        <v>1390</v>
      </c>
      <c r="E5" s="16">
        <f>Assumptions!E5</f>
        <v>1640</v>
      </c>
      <c r="F5" s="16">
        <f>Assumptions!F5</f>
        <v>1870</v>
      </c>
      <c r="G5" s="16">
        <f>Assumptions!G5</f>
        <v>2080</v>
      </c>
    </row>
    <row r="6" spans="1:7" x14ac:dyDescent="0.25">
      <c r="A6" s="31" t="s">
        <v>52</v>
      </c>
      <c r="B6" s="32">
        <f>Assumptions!B6</f>
        <v>3.95</v>
      </c>
      <c r="C6" s="32">
        <f>Assumptions!C6</f>
        <v>3.8</v>
      </c>
      <c r="D6" s="32">
        <f>Assumptions!D6</f>
        <v>3.7</v>
      </c>
      <c r="E6" s="32">
        <f>Assumptions!E6</f>
        <v>3.65</v>
      </c>
      <c r="F6" s="32">
        <f>Assumptions!F6</f>
        <v>3.6</v>
      </c>
      <c r="G6" s="32">
        <f>Assumptions!G6</f>
        <v>3.55</v>
      </c>
    </row>
    <row r="7" spans="1:7" x14ac:dyDescent="0.25">
      <c r="A7" s="13" t="s">
        <v>114</v>
      </c>
      <c r="B7" s="33">
        <f t="shared" ref="B7:G7" si="0">B5*B6</f>
        <v>3634</v>
      </c>
      <c r="C7" s="33">
        <f t="shared" si="0"/>
        <v>4332</v>
      </c>
      <c r="D7" s="33">
        <f t="shared" si="0"/>
        <v>5143</v>
      </c>
      <c r="E7" s="33">
        <f t="shared" si="0"/>
        <v>5986</v>
      </c>
      <c r="F7" s="33">
        <f t="shared" si="0"/>
        <v>6732</v>
      </c>
      <c r="G7" s="33">
        <f t="shared" si="0"/>
        <v>7384</v>
      </c>
    </row>
    <row r="9" spans="1:7" x14ac:dyDescent="0.25">
      <c r="A9" s="6" t="s">
        <v>115</v>
      </c>
    </row>
    <row r="10" spans="1:7" x14ac:dyDescent="0.25">
      <c r="A10" s="31" t="s">
        <v>48</v>
      </c>
      <c r="B10" s="16">
        <f>Assumptions!B9</f>
        <v>14600</v>
      </c>
      <c r="C10" s="16">
        <f>Assumptions!C9</f>
        <v>16400</v>
      </c>
      <c r="D10" s="16">
        <f>Assumptions!D9</f>
        <v>18000</v>
      </c>
      <c r="E10" s="16">
        <f>Assumptions!E9</f>
        <v>19400</v>
      </c>
      <c r="F10" s="16">
        <f>Assumptions!F9</f>
        <v>20600</v>
      </c>
      <c r="G10" s="16">
        <f>Assumptions!G9</f>
        <v>21700</v>
      </c>
    </row>
    <row r="11" spans="1:7" x14ac:dyDescent="0.25">
      <c r="A11" s="31" t="s">
        <v>52</v>
      </c>
      <c r="B11" s="32">
        <f>Assumptions!B10</f>
        <v>0.151</v>
      </c>
      <c r="C11" s="32">
        <f>Assumptions!C10</f>
        <v>0.16500000000000001</v>
      </c>
      <c r="D11" s="32">
        <f>Assumptions!D10</f>
        <v>0.17499999999999999</v>
      </c>
      <c r="E11" s="32">
        <f>Assumptions!E10</f>
        <v>0.182</v>
      </c>
      <c r="F11" s="32">
        <f>Assumptions!F10</f>
        <v>0.187</v>
      </c>
      <c r="G11" s="32">
        <f>Assumptions!G10</f>
        <v>0.19</v>
      </c>
    </row>
    <row r="12" spans="1:7" x14ac:dyDescent="0.25">
      <c r="A12" s="13" t="s">
        <v>114</v>
      </c>
      <c r="B12" s="33">
        <f t="shared" ref="B12:G12" si="1">B10*B11</f>
        <v>2204.6</v>
      </c>
      <c r="C12" s="33">
        <f t="shared" si="1"/>
        <v>2706</v>
      </c>
      <c r="D12" s="33">
        <f t="shared" si="1"/>
        <v>3150</v>
      </c>
      <c r="E12" s="33">
        <f t="shared" si="1"/>
        <v>3530.7999999999997</v>
      </c>
      <c r="F12" s="33">
        <f t="shared" si="1"/>
        <v>3852.2</v>
      </c>
      <c r="G12" s="33">
        <f t="shared" si="1"/>
        <v>4123</v>
      </c>
    </row>
    <row r="14" spans="1:7" x14ac:dyDescent="0.25">
      <c r="A14" s="6" t="s">
        <v>116</v>
      </c>
    </row>
    <row r="15" spans="1:7" x14ac:dyDescent="0.25">
      <c r="A15" s="31" t="s">
        <v>48</v>
      </c>
      <c r="B15" s="16">
        <f>Assumptions!B13</f>
        <v>1</v>
      </c>
      <c r="C15" s="16">
        <f>Assumptions!C13</f>
        <v>1</v>
      </c>
      <c r="D15" s="16">
        <f>Assumptions!D13</f>
        <v>1</v>
      </c>
      <c r="E15" s="16">
        <f>Assumptions!E13</f>
        <v>1</v>
      </c>
      <c r="F15" s="16">
        <f>Assumptions!F13</f>
        <v>1</v>
      </c>
      <c r="G15" s="16">
        <f>Assumptions!G13</f>
        <v>1</v>
      </c>
    </row>
    <row r="16" spans="1:7" x14ac:dyDescent="0.25">
      <c r="A16" s="31" t="s">
        <v>52</v>
      </c>
      <c r="B16" s="32">
        <f>Assumptions!B14</f>
        <v>215</v>
      </c>
      <c r="C16" s="32">
        <f>Assumptions!C14</f>
        <v>250</v>
      </c>
      <c r="D16" s="32">
        <f>Assumptions!D14</f>
        <v>285</v>
      </c>
      <c r="E16" s="32">
        <f>Assumptions!E14</f>
        <v>315</v>
      </c>
      <c r="F16" s="32">
        <f>Assumptions!F14</f>
        <v>340</v>
      </c>
      <c r="G16" s="32">
        <f>Assumptions!G14</f>
        <v>360</v>
      </c>
    </row>
    <row r="17" spans="1:7" x14ac:dyDescent="0.25">
      <c r="A17" s="13" t="s">
        <v>114</v>
      </c>
      <c r="B17" s="33">
        <f t="shared" ref="B17:G17" si="2">B15*B16</f>
        <v>215</v>
      </c>
      <c r="C17" s="33">
        <f t="shared" si="2"/>
        <v>250</v>
      </c>
      <c r="D17" s="33">
        <f t="shared" si="2"/>
        <v>285</v>
      </c>
      <c r="E17" s="33">
        <f t="shared" si="2"/>
        <v>315</v>
      </c>
      <c r="F17" s="33">
        <f t="shared" si="2"/>
        <v>340</v>
      </c>
      <c r="G17" s="33">
        <f t="shared" si="2"/>
        <v>360</v>
      </c>
    </row>
    <row r="19" spans="1:7" x14ac:dyDescent="0.25">
      <c r="A19" s="13" t="s">
        <v>117</v>
      </c>
      <c r="B19" s="33">
        <f t="shared" ref="B19:G19" si="3">B7+B12+B17</f>
        <v>6053.6</v>
      </c>
      <c r="C19" s="33">
        <f t="shared" si="3"/>
        <v>7288</v>
      </c>
      <c r="D19" s="33">
        <f t="shared" si="3"/>
        <v>8578</v>
      </c>
      <c r="E19" s="33">
        <f t="shared" si="3"/>
        <v>9831.7999999999993</v>
      </c>
      <c r="F19" s="33">
        <f t="shared" si="3"/>
        <v>10924.2</v>
      </c>
      <c r="G19" s="33">
        <f t="shared" si="3"/>
        <v>11867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38" customWidth="1"/>
    <col min="2" max="7" width="14" customWidth="1"/>
  </cols>
  <sheetData>
    <row r="1" spans="1:7" ht="18" x14ac:dyDescent="0.25">
      <c r="A1" s="5" t="s">
        <v>118</v>
      </c>
    </row>
    <row r="3" spans="1:7" x14ac:dyDescent="0.25">
      <c r="A3" s="13" t="s">
        <v>119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</row>
    <row r="4" spans="1:7" x14ac:dyDescent="0.25">
      <c r="A4" s="30" t="s">
        <v>32</v>
      </c>
      <c r="B4" s="15">
        <f>'Revenue Build'!B19</f>
        <v>6053.6</v>
      </c>
      <c r="C4" s="15">
        <f>'Revenue Build'!C19</f>
        <v>7288</v>
      </c>
      <c r="D4" s="15">
        <f>'Revenue Build'!D19</f>
        <v>8578</v>
      </c>
      <c r="E4" s="15">
        <f>'Revenue Build'!E19</f>
        <v>9831.7999999999993</v>
      </c>
      <c r="F4" s="15">
        <f>'Revenue Build'!F19</f>
        <v>10924.2</v>
      </c>
      <c r="G4" s="15">
        <f>'Revenue Build'!G19</f>
        <v>11867</v>
      </c>
    </row>
    <row r="5" spans="1:7" x14ac:dyDescent="0.25">
      <c r="A5" s="30" t="s">
        <v>120</v>
      </c>
      <c r="B5" s="34">
        <f>B4*Assumptions!B17</f>
        <v>1937.152</v>
      </c>
      <c r="C5" s="34">
        <f>C4*Assumptions!C17</f>
        <v>2259.2800000000002</v>
      </c>
      <c r="D5" s="34">
        <f>D4*Assumptions!D17</f>
        <v>2573.4</v>
      </c>
      <c r="E5" s="34">
        <f>E4*Assumptions!E17</f>
        <v>2851.2219999999998</v>
      </c>
      <c r="F5" s="34">
        <f>F4*Assumptions!F17</f>
        <v>3113.3969999999999</v>
      </c>
      <c r="G5" s="34">
        <f>G4*Assumptions!G17</f>
        <v>3322.76</v>
      </c>
    </row>
    <row r="6" spans="1:7" x14ac:dyDescent="0.25">
      <c r="A6" s="30" t="s">
        <v>121</v>
      </c>
      <c r="B6" s="34">
        <f>B4*Assumptions!B18</f>
        <v>2481.9760000000001</v>
      </c>
      <c r="C6" s="34">
        <f>C4*Assumptions!C18</f>
        <v>2696.56</v>
      </c>
      <c r="D6" s="34">
        <f>D4*Assumptions!D18</f>
        <v>2916.5200000000004</v>
      </c>
      <c r="E6" s="34">
        <f>E4*Assumptions!E18</f>
        <v>3047.8579999999997</v>
      </c>
      <c r="F6" s="34">
        <f>F4*Assumptions!F18</f>
        <v>3168.018</v>
      </c>
      <c r="G6" s="34">
        <f>G4*Assumptions!G18</f>
        <v>3204.09</v>
      </c>
    </row>
    <row r="7" spans="1:7" x14ac:dyDescent="0.25">
      <c r="A7" s="30" t="s">
        <v>122</v>
      </c>
      <c r="B7" s="34">
        <f>B4*Assumptions!B19</f>
        <v>2421.44</v>
      </c>
      <c r="C7" s="34">
        <f>C4*Assumptions!C19</f>
        <v>2623.68</v>
      </c>
      <c r="D7" s="34">
        <f>D4*Assumptions!D19</f>
        <v>2830.7400000000002</v>
      </c>
      <c r="E7" s="34">
        <f>E4*Assumptions!E19</f>
        <v>2949.5399999999995</v>
      </c>
      <c r="F7" s="34">
        <f>F4*Assumptions!F19</f>
        <v>3058.7760000000003</v>
      </c>
      <c r="G7" s="34">
        <f>G4*Assumptions!G19</f>
        <v>3085.42</v>
      </c>
    </row>
    <row r="8" spans="1:7" x14ac:dyDescent="0.25">
      <c r="A8" s="30" t="s">
        <v>123</v>
      </c>
      <c r="B8" s="34">
        <f>B4*Assumptions!B20</f>
        <v>514.55600000000004</v>
      </c>
      <c r="C8" s="34">
        <f>C4*Assumptions!C20</f>
        <v>546.6</v>
      </c>
      <c r="D8" s="34">
        <f>D4*Assumptions!D20</f>
        <v>557.57000000000005</v>
      </c>
      <c r="E8" s="34">
        <f>E4*Assumptions!E20</f>
        <v>589.9079999999999</v>
      </c>
      <c r="F8" s="34">
        <f>F4*Assumptions!F20</f>
        <v>600.83100000000002</v>
      </c>
      <c r="G8" s="34">
        <f>G4*Assumptions!G20</f>
        <v>593.35</v>
      </c>
    </row>
    <row r="9" spans="1:7" x14ac:dyDescent="0.25">
      <c r="A9" s="30" t="s">
        <v>124</v>
      </c>
      <c r="B9" s="34">
        <f>Assumptions!B21</f>
        <v>195</v>
      </c>
      <c r="C9" s="34">
        <f>Assumptions!C21</f>
        <v>180</v>
      </c>
      <c r="D9" s="34">
        <f>Assumptions!D21</f>
        <v>160</v>
      </c>
      <c r="E9" s="34">
        <f>Assumptions!E21</f>
        <v>150</v>
      </c>
      <c r="F9" s="34">
        <f>Assumptions!F21</f>
        <v>145</v>
      </c>
      <c r="G9" s="34">
        <f>Assumptions!G21</f>
        <v>140</v>
      </c>
    </row>
    <row r="10" spans="1:7" x14ac:dyDescent="0.25">
      <c r="A10" s="35" t="s">
        <v>125</v>
      </c>
      <c r="B10" s="33">
        <f t="shared" ref="B10:G10" si="0">B4-(B5)</f>
        <v>4116.4480000000003</v>
      </c>
      <c r="C10" s="33">
        <f t="shared" si="0"/>
        <v>5028.7199999999993</v>
      </c>
      <c r="D10" s="33">
        <f t="shared" si="0"/>
        <v>6004.6</v>
      </c>
      <c r="E10" s="33">
        <f t="shared" si="0"/>
        <v>6980.5779999999995</v>
      </c>
      <c r="F10" s="33">
        <f t="shared" si="0"/>
        <v>7810.8030000000008</v>
      </c>
      <c r="G10" s="33">
        <f t="shared" si="0"/>
        <v>8544.24</v>
      </c>
    </row>
    <row r="11" spans="1:7" x14ac:dyDescent="0.25">
      <c r="A11" s="36" t="s">
        <v>126</v>
      </c>
      <c r="B11" s="37">
        <f t="shared" ref="B11:G11" si="1">B10/B4</f>
        <v>0.68</v>
      </c>
      <c r="C11" s="37">
        <f t="shared" si="1"/>
        <v>0.69</v>
      </c>
      <c r="D11" s="37">
        <f t="shared" si="1"/>
        <v>0.70000000000000007</v>
      </c>
      <c r="E11" s="37">
        <f t="shared" si="1"/>
        <v>0.71</v>
      </c>
      <c r="F11" s="37">
        <f t="shared" si="1"/>
        <v>0.71500000000000008</v>
      </c>
      <c r="G11" s="37">
        <f t="shared" si="1"/>
        <v>0.72</v>
      </c>
    </row>
    <row r="12" spans="1:7" x14ac:dyDescent="0.25">
      <c r="A12" s="35" t="s">
        <v>127</v>
      </c>
      <c r="B12" s="33">
        <f t="shared" ref="B12:G12" si="2">B6+B7+B8</f>
        <v>5417.9719999999998</v>
      </c>
      <c r="C12" s="33">
        <f t="shared" si="2"/>
        <v>5866.84</v>
      </c>
      <c r="D12" s="33">
        <f t="shared" si="2"/>
        <v>6304.83</v>
      </c>
      <c r="E12" s="33">
        <f t="shared" si="2"/>
        <v>6587.3059999999987</v>
      </c>
      <c r="F12" s="33">
        <f t="shared" si="2"/>
        <v>6827.625</v>
      </c>
      <c r="G12" s="33">
        <f t="shared" si="2"/>
        <v>6882.8600000000006</v>
      </c>
    </row>
    <row r="13" spans="1:7" x14ac:dyDescent="0.25">
      <c r="A13" s="35" t="s">
        <v>34</v>
      </c>
      <c r="B13" s="33">
        <f t="shared" ref="B13:G13" si="3">B10-B12</f>
        <v>-1301.5239999999994</v>
      </c>
      <c r="C13" s="33">
        <f t="shared" si="3"/>
        <v>-838.1200000000008</v>
      </c>
      <c r="D13" s="33">
        <f t="shared" si="3"/>
        <v>-300.22999999999956</v>
      </c>
      <c r="E13" s="33">
        <f t="shared" si="3"/>
        <v>393.27200000000084</v>
      </c>
      <c r="F13" s="33">
        <f t="shared" si="3"/>
        <v>983.17800000000079</v>
      </c>
      <c r="G13" s="33">
        <f t="shared" si="3"/>
        <v>1661.3799999999992</v>
      </c>
    </row>
    <row r="14" spans="1:7" x14ac:dyDescent="0.25">
      <c r="A14" s="36" t="s">
        <v>128</v>
      </c>
      <c r="B14" s="37">
        <f t="shared" ref="B14:G14" si="4">B13/B4</f>
        <v>-0.21499999999999989</v>
      </c>
      <c r="C14" s="37">
        <f t="shared" si="4"/>
        <v>-0.11500000000000012</v>
      </c>
      <c r="D14" s="37">
        <f t="shared" si="4"/>
        <v>-3.4999999999999948E-2</v>
      </c>
      <c r="E14" s="37">
        <f t="shared" si="4"/>
        <v>4.0000000000000091E-2</v>
      </c>
      <c r="F14" s="37">
        <f t="shared" si="4"/>
        <v>9.0000000000000066E-2</v>
      </c>
      <c r="G14" s="37">
        <f t="shared" si="4"/>
        <v>0.13999999999999993</v>
      </c>
    </row>
    <row r="15" spans="1:7" x14ac:dyDescent="0.25">
      <c r="A15" s="30" t="s">
        <v>129</v>
      </c>
      <c r="B15" s="34">
        <f t="shared" ref="B15:G15" si="5">B9</f>
        <v>195</v>
      </c>
      <c r="C15" s="34">
        <f t="shared" si="5"/>
        <v>180</v>
      </c>
      <c r="D15" s="34">
        <f t="shared" si="5"/>
        <v>160</v>
      </c>
      <c r="E15" s="34">
        <f t="shared" si="5"/>
        <v>150</v>
      </c>
      <c r="F15" s="34">
        <f t="shared" si="5"/>
        <v>145</v>
      </c>
      <c r="G15" s="34">
        <f t="shared" si="5"/>
        <v>140</v>
      </c>
    </row>
    <row r="16" spans="1:7" x14ac:dyDescent="0.25">
      <c r="A16" s="30" t="s">
        <v>130</v>
      </c>
      <c r="B16" s="34">
        <f>0</f>
        <v>0</v>
      </c>
      <c r="C16" s="34">
        <f>0</f>
        <v>0</v>
      </c>
      <c r="D16" s="34">
        <f>0</f>
        <v>0</v>
      </c>
      <c r="E16" s="34">
        <f>0</f>
        <v>0</v>
      </c>
      <c r="F16" s="34">
        <f>0</f>
        <v>0</v>
      </c>
      <c r="G16" s="34">
        <f>0</f>
        <v>0</v>
      </c>
    </row>
    <row r="17" spans="1:7" x14ac:dyDescent="0.25">
      <c r="A17" s="30" t="s">
        <v>131</v>
      </c>
      <c r="B17" s="34">
        <f>0</f>
        <v>0</v>
      </c>
      <c r="C17" s="34">
        <f>0</f>
        <v>0</v>
      </c>
      <c r="D17" s="34">
        <f>0</f>
        <v>0</v>
      </c>
      <c r="E17" s="34">
        <f>0</f>
        <v>0</v>
      </c>
      <c r="F17" s="34">
        <f>0</f>
        <v>0</v>
      </c>
      <c r="G17" s="34">
        <f>0</f>
        <v>0</v>
      </c>
    </row>
    <row r="18" spans="1:7" x14ac:dyDescent="0.25">
      <c r="A18" s="35" t="s">
        <v>132</v>
      </c>
      <c r="B18" s="33">
        <f t="shared" ref="B18:G18" si="6">B13+B15-B16+B17</f>
        <v>-1106.5239999999994</v>
      </c>
      <c r="C18" s="33">
        <f t="shared" si="6"/>
        <v>-658.1200000000008</v>
      </c>
      <c r="D18" s="33">
        <f t="shared" si="6"/>
        <v>-140.22999999999956</v>
      </c>
      <c r="E18" s="33">
        <f t="shared" si="6"/>
        <v>543.27200000000084</v>
      </c>
      <c r="F18" s="33">
        <f t="shared" si="6"/>
        <v>1128.1780000000008</v>
      </c>
      <c r="G18" s="33">
        <f t="shared" si="6"/>
        <v>1801.3799999999992</v>
      </c>
    </row>
    <row r="19" spans="1:7" x14ac:dyDescent="0.25">
      <c r="A19" s="30" t="s">
        <v>80</v>
      </c>
      <c r="B19" s="18">
        <f>Assumptions!B24</f>
        <v>0.04</v>
      </c>
      <c r="C19" s="18">
        <f>Assumptions!C24</f>
        <v>0.04</v>
      </c>
      <c r="D19" s="18">
        <f>Assumptions!D24</f>
        <v>0.06</v>
      </c>
      <c r="E19" s="18">
        <f>Assumptions!E24</f>
        <v>0.1</v>
      </c>
      <c r="F19" s="18">
        <f>Assumptions!F24</f>
        <v>0.14000000000000001</v>
      </c>
      <c r="G19" s="18">
        <f>Assumptions!G24</f>
        <v>0.18</v>
      </c>
    </row>
    <row r="20" spans="1:7" x14ac:dyDescent="0.25">
      <c r="A20" s="30" t="s">
        <v>79</v>
      </c>
      <c r="B20" s="34">
        <f t="shared" ref="B20:G20" si="7">MAX(0,B18)*B19</f>
        <v>0</v>
      </c>
      <c r="C20" s="34">
        <f t="shared" si="7"/>
        <v>0</v>
      </c>
      <c r="D20" s="34">
        <f t="shared" si="7"/>
        <v>0</v>
      </c>
      <c r="E20" s="34">
        <f t="shared" si="7"/>
        <v>54.32720000000009</v>
      </c>
      <c r="F20" s="34">
        <f t="shared" si="7"/>
        <v>157.94492000000014</v>
      </c>
      <c r="G20" s="34">
        <f t="shared" si="7"/>
        <v>324.24839999999983</v>
      </c>
    </row>
    <row r="21" spans="1:7" x14ac:dyDescent="0.25">
      <c r="A21" s="35" t="s">
        <v>35</v>
      </c>
      <c r="B21" s="33">
        <f t="shared" ref="B21:G21" si="8">B18-B20</f>
        <v>-1106.5239999999994</v>
      </c>
      <c r="C21" s="33">
        <f t="shared" si="8"/>
        <v>-658.1200000000008</v>
      </c>
      <c r="D21" s="33">
        <f t="shared" si="8"/>
        <v>-140.22999999999956</v>
      </c>
      <c r="E21" s="33">
        <f t="shared" si="8"/>
        <v>488.94480000000078</v>
      </c>
      <c r="F21" s="33">
        <f t="shared" si="8"/>
        <v>970.23308000000065</v>
      </c>
      <c r="G21" s="33">
        <f t="shared" si="8"/>
        <v>1477.1315999999993</v>
      </c>
    </row>
    <row r="22" spans="1:7" x14ac:dyDescent="0.25">
      <c r="A22" s="30" t="s">
        <v>133</v>
      </c>
      <c r="B22" s="16">
        <f>Assumptions!B36</f>
        <v>337</v>
      </c>
      <c r="C22" s="16">
        <f>Assumptions!C36</f>
        <v>333</v>
      </c>
      <c r="D22" s="16">
        <f>Assumptions!D36</f>
        <v>327</v>
      </c>
      <c r="E22" s="16">
        <f>Assumptions!E36</f>
        <v>320</v>
      </c>
      <c r="F22" s="16">
        <f>Assumptions!F36</f>
        <v>313</v>
      </c>
      <c r="G22" s="16">
        <f>Assumptions!G36</f>
        <v>305</v>
      </c>
    </row>
    <row r="23" spans="1:7" x14ac:dyDescent="0.25">
      <c r="A23" s="30" t="s">
        <v>134</v>
      </c>
      <c r="B23" s="16">
        <f>Assumptions!B37</f>
        <v>20</v>
      </c>
      <c r="C23" s="16">
        <f>Assumptions!C37</f>
        <v>18</v>
      </c>
      <c r="D23" s="16">
        <f>Assumptions!D37</f>
        <v>17</v>
      </c>
      <c r="E23" s="16">
        <f>Assumptions!E37</f>
        <v>16</v>
      </c>
      <c r="F23" s="16">
        <f>Assumptions!F37</f>
        <v>15</v>
      </c>
      <c r="G23" s="16">
        <f>Assumptions!G37</f>
        <v>14</v>
      </c>
    </row>
    <row r="24" spans="1:7" x14ac:dyDescent="0.25">
      <c r="A24" s="30" t="s">
        <v>135</v>
      </c>
      <c r="B24" s="16">
        <f>Assumptions!B40</f>
        <v>0</v>
      </c>
      <c r="C24" s="16">
        <f>Assumptions!C40</f>
        <v>0</v>
      </c>
      <c r="D24" s="16">
        <f>Assumptions!D40</f>
        <v>0</v>
      </c>
      <c r="E24" s="16">
        <f>Assumptions!E40</f>
        <v>0</v>
      </c>
      <c r="F24" s="16">
        <f>Assumptions!F40</f>
        <v>0</v>
      </c>
      <c r="G24" s="16">
        <f>Assumptions!G40</f>
        <v>0</v>
      </c>
    </row>
    <row r="25" spans="1:7" x14ac:dyDescent="0.25">
      <c r="A25" s="30" t="s">
        <v>136</v>
      </c>
      <c r="B25" s="38">
        <f>Assumptions!B38/Assumptions!B39</f>
        <v>4</v>
      </c>
      <c r="C25" s="38">
        <f>Assumptions!C38/Assumptions!C39</f>
        <v>4.0909090909090908</v>
      </c>
      <c r="D25" s="38">
        <f>Assumptions!D38/Assumptions!D39</f>
        <v>4.166666666666667</v>
      </c>
      <c r="E25" s="38">
        <f>Assumptions!E38/Assumptions!E39</f>
        <v>4.2307692307692308</v>
      </c>
      <c r="F25" s="38">
        <f>Assumptions!F38/Assumptions!F39</f>
        <v>4.2857142857142856</v>
      </c>
      <c r="G25" s="38">
        <f>Assumptions!G38/Assumptions!G39</f>
        <v>4.333333333333333</v>
      </c>
    </row>
    <row r="26" spans="1:7" x14ac:dyDescent="0.25">
      <c r="A26" s="35" t="s">
        <v>137</v>
      </c>
      <c r="B26" s="39">
        <f t="shared" ref="B26:G26" si="9">B22+B23+B24-B25</f>
        <v>353</v>
      </c>
      <c r="C26" s="39">
        <f t="shared" si="9"/>
        <v>346.90909090909093</v>
      </c>
      <c r="D26" s="39">
        <f t="shared" si="9"/>
        <v>339.83333333333331</v>
      </c>
      <c r="E26" s="39">
        <f t="shared" si="9"/>
        <v>331.76923076923077</v>
      </c>
      <c r="F26" s="39">
        <f t="shared" si="9"/>
        <v>323.71428571428572</v>
      </c>
      <c r="G26" s="39">
        <f t="shared" si="9"/>
        <v>314.66666666666669</v>
      </c>
    </row>
    <row r="27" spans="1:7" x14ac:dyDescent="0.25">
      <c r="A27" s="35" t="s">
        <v>37</v>
      </c>
      <c r="B27" s="40">
        <f t="shared" ref="B27:G27" si="10">B21/B26</f>
        <v>-3.1346288951841346</v>
      </c>
      <c r="C27" s="40">
        <f t="shared" si="10"/>
        <v>-1.8970964360587024</v>
      </c>
      <c r="D27" s="40">
        <f t="shared" si="10"/>
        <v>-0.41264345267287761</v>
      </c>
      <c r="E27" s="40">
        <f t="shared" si="10"/>
        <v>1.4737496869928148</v>
      </c>
      <c r="F27" s="40">
        <f t="shared" si="10"/>
        <v>2.9971895675198605</v>
      </c>
      <c r="G27" s="40">
        <f t="shared" si="10"/>
        <v>4.6942741525423699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zoomScaleNormal="10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31" sqref="B31"/>
    </sheetView>
  </sheetViews>
  <sheetFormatPr defaultColWidth="8.7109375" defaultRowHeight="15" x14ac:dyDescent="0.25"/>
  <cols>
    <col min="1" max="1" width="38" customWidth="1"/>
    <col min="2" max="7" width="14" customWidth="1"/>
  </cols>
  <sheetData>
    <row r="1" spans="1:7" ht="18" x14ac:dyDescent="0.25">
      <c r="A1" s="5" t="s">
        <v>138</v>
      </c>
    </row>
    <row r="3" spans="1:7" x14ac:dyDescent="0.25">
      <c r="A3" s="13" t="s">
        <v>119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</row>
    <row r="4" spans="1:7" x14ac:dyDescent="0.25">
      <c r="A4" s="30" t="s">
        <v>35</v>
      </c>
      <c r="B4" s="15">
        <f>'P&amp;L'!B21</f>
        <v>-1106.5239999999994</v>
      </c>
      <c r="C4" s="15">
        <f>'P&amp;L'!C21</f>
        <v>-658.1200000000008</v>
      </c>
      <c r="D4" s="15">
        <f>'P&amp;L'!D21</f>
        <v>-140.22999999999956</v>
      </c>
      <c r="E4" s="15">
        <f>'P&amp;L'!E21</f>
        <v>488.94480000000078</v>
      </c>
      <c r="F4" s="15">
        <f>'P&amp;L'!F21</f>
        <v>970.23308000000065</v>
      </c>
      <c r="G4" s="15">
        <f>'P&amp;L'!G21</f>
        <v>1477.1315999999993</v>
      </c>
    </row>
    <row r="5" spans="1:7" x14ac:dyDescent="0.25">
      <c r="A5" s="30" t="s">
        <v>139</v>
      </c>
      <c r="B5" s="15">
        <f>Assumptions!B43</f>
        <v>230</v>
      </c>
      <c r="C5" s="15">
        <f>Assumptions!C43</f>
        <v>260</v>
      </c>
      <c r="D5" s="15">
        <f>Assumptions!D43</f>
        <v>290</v>
      </c>
      <c r="E5" s="15">
        <f>Assumptions!E43</f>
        <v>320</v>
      </c>
      <c r="F5" s="15">
        <f>Assumptions!F43</f>
        <v>350</v>
      </c>
      <c r="G5" s="15">
        <f>Assumptions!G43</f>
        <v>380</v>
      </c>
    </row>
    <row r="6" spans="1:7" x14ac:dyDescent="0.25">
      <c r="A6" s="30" t="s">
        <v>140</v>
      </c>
      <c r="B6" s="15">
        <f>Assumptions!B44</f>
        <v>1750</v>
      </c>
      <c r="C6" s="15">
        <f>Assumptions!C44</f>
        <v>1850</v>
      </c>
      <c r="D6" s="15">
        <f>Assumptions!D44</f>
        <v>1900</v>
      </c>
      <c r="E6" s="15">
        <f>Assumptions!E44</f>
        <v>1950</v>
      </c>
      <c r="F6" s="15">
        <f>Assumptions!F44</f>
        <v>2000</v>
      </c>
      <c r="G6" s="15">
        <f>Assumptions!G44</f>
        <v>2050</v>
      </c>
    </row>
    <row r="7" spans="1:7" x14ac:dyDescent="0.25">
      <c r="A7" s="30" t="s">
        <v>141</v>
      </c>
      <c r="B7" s="15">
        <f>Assumptions!B45</f>
        <v>550</v>
      </c>
      <c r="C7" s="15">
        <f>Assumptions!C45</f>
        <v>500</v>
      </c>
      <c r="D7" s="15">
        <f>Assumptions!D45</f>
        <v>450</v>
      </c>
      <c r="E7" s="15">
        <f>Assumptions!E45</f>
        <v>400</v>
      </c>
      <c r="F7" s="15">
        <f>Assumptions!F45</f>
        <v>350</v>
      </c>
      <c r="G7" s="15">
        <f>Assumptions!G45</f>
        <v>300</v>
      </c>
    </row>
    <row r="8" spans="1:7" x14ac:dyDescent="0.25">
      <c r="A8" s="30" t="s">
        <v>84</v>
      </c>
      <c r="B8" s="41">
        <f>Assumptions!B27</f>
        <v>105</v>
      </c>
      <c r="C8" s="41">
        <f>Assumptions!C27</f>
        <v>105</v>
      </c>
      <c r="D8" s="41">
        <f>Assumptions!D27</f>
        <v>100</v>
      </c>
      <c r="E8" s="41">
        <f>Assumptions!E27</f>
        <v>100</v>
      </c>
      <c r="F8" s="41">
        <f>Assumptions!F27</f>
        <v>100</v>
      </c>
      <c r="G8" s="41">
        <f>Assumptions!G27</f>
        <v>100</v>
      </c>
    </row>
    <row r="9" spans="1:7" x14ac:dyDescent="0.25">
      <c r="A9" s="30" t="s">
        <v>87</v>
      </c>
      <c r="B9" s="41">
        <f>Assumptions!B28</f>
        <v>0</v>
      </c>
      <c r="C9" s="41">
        <f>Assumptions!C28</f>
        <v>0</v>
      </c>
      <c r="D9" s="41">
        <f>Assumptions!D28</f>
        <v>0</v>
      </c>
      <c r="E9" s="41">
        <f>Assumptions!E28</f>
        <v>0</v>
      </c>
      <c r="F9" s="41">
        <f>Assumptions!F28</f>
        <v>0</v>
      </c>
      <c r="G9" s="41">
        <f>Assumptions!G28</f>
        <v>0</v>
      </c>
    </row>
    <row r="10" spans="1:7" x14ac:dyDescent="0.25">
      <c r="A10" s="30" t="s">
        <v>88</v>
      </c>
      <c r="B10" s="41">
        <f>Assumptions!B29</f>
        <v>18</v>
      </c>
      <c r="C10" s="41">
        <f>Assumptions!C29</f>
        <v>18</v>
      </c>
      <c r="D10" s="41">
        <f>Assumptions!D29</f>
        <v>18</v>
      </c>
      <c r="E10" s="41">
        <f>Assumptions!E29</f>
        <v>18</v>
      </c>
      <c r="F10" s="41">
        <f>Assumptions!F29</f>
        <v>18</v>
      </c>
      <c r="G10" s="41">
        <f>Assumptions!G29</f>
        <v>18</v>
      </c>
    </row>
    <row r="11" spans="1:7" x14ac:dyDescent="0.25">
      <c r="A11" s="30" t="s">
        <v>142</v>
      </c>
      <c r="B11" s="34">
        <f>'P&amp;L'!B4*B8/365</f>
        <v>1741.4465753424658</v>
      </c>
      <c r="C11" s="34">
        <f>'P&amp;L'!C4*C8/365</f>
        <v>2096.5479452054797</v>
      </c>
      <c r="D11" s="34">
        <f>'P&amp;L'!D4*D8/365</f>
        <v>2350.1369863013697</v>
      </c>
      <c r="E11" s="34">
        <f>'P&amp;L'!E4*E8/365</f>
        <v>2693.6438356164381</v>
      </c>
      <c r="F11" s="34">
        <f>'P&amp;L'!F4*F8/365</f>
        <v>2992.9315068493152</v>
      </c>
      <c r="G11" s="34">
        <f>'P&amp;L'!G4*G8/365</f>
        <v>3251.2328767123286</v>
      </c>
    </row>
    <row r="12" spans="1:7" x14ac:dyDescent="0.25">
      <c r="A12" s="30" t="s">
        <v>143</v>
      </c>
      <c r="B12" s="34">
        <f>('P&amp;L'!B4-'P&amp;L'!B10)*B9/365</f>
        <v>0</v>
      </c>
      <c r="C12" s="34">
        <f>('P&amp;L'!C4-'P&amp;L'!C10)*C9/365</f>
        <v>0</v>
      </c>
      <c r="D12" s="34">
        <f>('P&amp;L'!D4-'P&amp;L'!D10)*D9/365</f>
        <v>0</v>
      </c>
      <c r="E12" s="34">
        <f>('P&amp;L'!E4-'P&amp;L'!E10)*E9/365</f>
        <v>0</v>
      </c>
      <c r="F12" s="34">
        <f>('P&amp;L'!F4-'P&amp;L'!F10)*F9/365</f>
        <v>0</v>
      </c>
      <c r="G12" s="34">
        <f>('P&amp;L'!G4-'P&amp;L'!G10)*G9/365</f>
        <v>0</v>
      </c>
    </row>
    <row r="13" spans="1:7" x14ac:dyDescent="0.25">
      <c r="A13" s="30" t="s">
        <v>144</v>
      </c>
      <c r="B13" s="34">
        <f>('P&amp;L'!B4-'P&amp;L'!B10)*B10/365</f>
        <v>95.530783561643844</v>
      </c>
      <c r="C13" s="34">
        <f>('P&amp;L'!C4-'P&amp;L'!C10)*C10/365</f>
        <v>111.41654794520551</v>
      </c>
      <c r="D13" s="34">
        <f>('P&amp;L'!D4-'P&amp;L'!D10)*D10/365</f>
        <v>126.90739726027397</v>
      </c>
      <c r="E13" s="34">
        <f>('P&amp;L'!E4-'P&amp;L'!E10)*E10/365</f>
        <v>140.60820821917807</v>
      </c>
      <c r="F13" s="34">
        <f>('P&amp;L'!F4-'P&amp;L'!F10)*F10/365</f>
        <v>153.53738630136988</v>
      </c>
      <c r="G13" s="34">
        <f>('P&amp;L'!G4-'P&amp;L'!G10)*G10/365</f>
        <v>163.86213698630138</v>
      </c>
    </row>
    <row r="14" spans="1:7" x14ac:dyDescent="0.25">
      <c r="A14" s="30" t="s">
        <v>145</v>
      </c>
      <c r="B14" s="34">
        <f t="shared" ref="B14:G14" si="0">B11+B12-B13</f>
        <v>1645.915791780822</v>
      </c>
      <c r="C14" s="34">
        <f t="shared" si="0"/>
        <v>1985.1313972602741</v>
      </c>
      <c r="D14" s="34">
        <f t="shared" si="0"/>
        <v>2223.2295890410956</v>
      </c>
      <c r="E14" s="34">
        <f t="shared" si="0"/>
        <v>2553.0356273972602</v>
      </c>
      <c r="F14" s="34">
        <f t="shared" si="0"/>
        <v>2839.3941205479455</v>
      </c>
      <c r="G14" s="34">
        <f t="shared" si="0"/>
        <v>3087.3707397260273</v>
      </c>
    </row>
    <row r="15" spans="1:7" x14ac:dyDescent="0.25">
      <c r="A15" s="30" t="s">
        <v>146</v>
      </c>
      <c r="B15" s="34">
        <f>Assumptions!B48+Assumptions!B49-Assumptions!B50</f>
        <v>1260</v>
      </c>
      <c r="C15" s="34">
        <f>B14</f>
        <v>1645.915791780822</v>
      </c>
      <c r="D15" s="34">
        <f>C14</f>
        <v>1985.1313972602741</v>
      </c>
      <c r="E15" s="34">
        <f>D14</f>
        <v>2223.2295890410956</v>
      </c>
      <c r="F15" s="34">
        <f>E14</f>
        <v>2553.0356273972602</v>
      </c>
      <c r="G15" s="34">
        <f>F14</f>
        <v>2839.3941205479455</v>
      </c>
    </row>
    <row r="16" spans="1:7" x14ac:dyDescent="0.25">
      <c r="A16" s="30" t="s">
        <v>147</v>
      </c>
      <c r="B16" s="34">
        <f t="shared" ref="B16:G16" si="1">B14-B15</f>
        <v>385.91579178082202</v>
      </c>
      <c r="C16" s="34">
        <f t="shared" si="1"/>
        <v>339.21560547945205</v>
      </c>
      <c r="D16" s="34">
        <f t="shared" si="1"/>
        <v>238.09819178082148</v>
      </c>
      <c r="E16" s="34">
        <f t="shared" si="1"/>
        <v>329.80603835616466</v>
      </c>
      <c r="F16" s="34">
        <f t="shared" si="1"/>
        <v>286.35849315068526</v>
      </c>
      <c r="G16" s="34">
        <f t="shared" si="1"/>
        <v>247.97661917808182</v>
      </c>
    </row>
    <row r="17" spans="1:7" x14ac:dyDescent="0.25">
      <c r="A17" s="35" t="s">
        <v>148</v>
      </c>
      <c r="B17" s="33">
        <f t="shared" ref="B17:G17" si="2">B4+B5+B6+B7-B16</f>
        <v>1037.5602082191785</v>
      </c>
      <c r="C17" s="33">
        <f t="shared" si="2"/>
        <v>1612.6643945205471</v>
      </c>
      <c r="D17" s="33">
        <f t="shared" si="2"/>
        <v>2261.6718082191792</v>
      </c>
      <c r="E17" s="33">
        <f t="shared" si="2"/>
        <v>2829.138761643836</v>
      </c>
      <c r="F17" s="33">
        <f t="shared" si="2"/>
        <v>3383.8745868493156</v>
      </c>
      <c r="G17" s="33">
        <f t="shared" si="2"/>
        <v>3959.154980821917</v>
      </c>
    </row>
    <row r="18" spans="1:7" x14ac:dyDescent="0.25">
      <c r="A18" s="30" t="s">
        <v>149</v>
      </c>
      <c r="B18" s="15">
        <f>-(Assumptions!B32+Assumptions!B33)</f>
        <v>-200</v>
      </c>
      <c r="C18" s="15">
        <f>-(Assumptions!C32+Assumptions!C33)</f>
        <v>-250</v>
      </c>
      <c r="D18" s="15">
        <f>-(Assumptions!D32+Assumptions!D33)</f>
        <v>-290</v>
      </c>
      <c r="E18" s="15">
        <f>-(Assumptions!E32+Assumptions!E33)</f>
        <v>-320</v>
      </c>
      <c r="F18" s="15">
        <f>-(Assumptions!F32+Assumptions!F33)</f>
        <v>-340</v>
      </c>
      <c r="G18" s="15">
        <f>-(Assumptions!G32+Assumptions!G33)</f>
        <v>-360</v>
      </c>
    </row>
    <row r="19" spans="1:7" x14ac:dyDescent="0.25">
      <c r="A19" s="35" t="s">
        <v>40</v>
      </c>
      <c r="B19" s="33">
        <f t="shared" ref="B19:G19" si="3">B17+B18</f>
        <v>837.56020821917855</v>
      </c>
      <c r="C19" s="33">
        <f t="shared" si="3"/>
        <v>1362.6643945205471</v>
      </c>
      <c r="D19" s="33">
        <f t="shared" si="3"/>
        <v>1971.6718082191792</v>
      </c>
      <c r="E19" s="33">
        <f t="shared" si="3"/>
        <v>2509.138761643836</v>
      </c>
      <c r="F19" s="33">
        <f t="shared" si="3"/>
        <v>3043.8745868493156</v>
      </c>
      <c r="G19" s="33">
        <f t="shared" si="3"/>
        <v>3599.154980821917</v>
      </c>
    </row>
    <row r="20" spans="1:7" x14ac:dyDescent="0.25">
      <c r="A20" s="36" t="s">
        <v>41</v>
      </c>
      <c r="B20" s="37">
        <f>B19/'P&amp;L'!B4</f>
        <v>0.13835737548222191</v>
      </c>
      <c r="C20" s="37">
        <f>C19/'P&amp;L'!C4</f>
        <v>0.18697370945671613</v>
      </c>
      <c r="D20" s="37">
        <f>D19/'P&amp;L'!D4</f>
        <v>0.22985215763804839</v>
      </c>
      <c r="E20" s="37">
        <f>E19/'P&amp;L'!E4</f>
        <v>0.25520644863034603</v>
      </c>
      <c r="F20" s="37">
        <f>F19/'P&amp;L'!F4</f>
        <v>0.2786359263698317</v>
      </c>
      <c r="G20" s="37">
        <f>G19/'P&amp;L'!G4</f>
        <v>0.3032910576238238</v>
      </c>
    </row>
    <row r="21" spans="1:7" x14ac:dyDescent="0.25">
      <c r="A21" s="36" t="s">
        <v>247</v>
      </c>
      <c r="B21" s="41">
        <v>341</v>
      </c>
      <c r="C21" s="41">
        <v>341</v>
      </c>
      <c r="D21" s="41">
        <v>341</v>
      </c>
      <c r="E21" s="41">
        <v>341</v>
      </c>
      <c r="F21" s="41">
        <v>341</v>
      </c>
      <c r="G21" s="41">
        <v>341</v>
      </c>
    </row>
    <row r="22" spans="1:7" x14ac:dyDescent="0.25">
      <c r="A22" s="36"/>
      <c r="B22" s="41"/>
      <c r="C22" s="41"/>
      <c r="D22" s="41"/>
      <c r="E22" s="41"/>
      <c r="F22" s="41"/>
      <c r="G22" s="41"/>
    </row>
    <row r="23" spans="1:7" x14ac:dyDescent="0.25">
      <c r="A23" s="36" t="s">
        <v>253</v>
      </c>
      <c r="B23" s="50">
        <v>1</v>
      </c>
      <c r="C23" s="50">
        <v>2</v>
      </c>
      <c r="D23" s="50">
        <v>3</v>
      </c>
      <c r="E23" s="50">
        <v>4</v>
      </c>
      <c r="F23" s="50">
        <v>5</v>
      </c>
      <c r="G23" s="50">
        <v>6</v>
      </c>
    </row>
    <row r="24" spans="1:7" s="47" customFormat="1" x14ac:dyDescent="0.25">
      <c r="A24" s="47" t="s">
        <v>246</v>
      </c>
      <c r="B24" s="48">
        <f>B19/B21</f>
        <v>2.4561882938978843</v>
      </c>
      <c r="C24" s="48">
        <f t="shared" ref="C24:G24" si="4">C19/C21</f>
        <v>3.9960832683887011</v>
      </c>
      <c r="D24" s="48">
        <f t="shared" si="4"/>
        <v>5.7820287631060969</v>
      </c>
      <c r="E24" s="48">
        <f t="shared" si="4"/>
        <v>7.3581781866388152</v>
      </c>
      <c r="F24" s="48">
        <f t="shared" si="4"/>
        <v>8.9263184365082573</v>
      </c>
      <c r="G24" s="48">
        <f t="shared" si="4"/>
        <v>10.554706688627322</v>
      </c>
    </row>
    <row r="25" spans="1:7" s="47" customFormat="1" x14ac:dyDescent="0.25">
      <c r="A25" s="47" t="s">
        <v>251</v>
      </c>
      <c r="B25" s="48">
        <f>B24/(1+$B$29)^B23</f>
        <v>2.2742484202758186</v>
      </c>
      <c r="C25" s="48">
        <f t="shared" ref="C25:G25" si="5">C24/(1+$B$29)^C23</f>
        <v>3.4259973151480629</v>
      </c>
      <c r="D25" s="48">
        <f t="shared" si="5"/>
        <v>4.5899608506595921</v>
      </c>
      <c r="E25" s="48">
        <f t="shared" si="5"/>
        <v>5.4084806293752017</v>
      </c>
      <c r="F25" s="48">
        <f t="shared" si="5"/>
        <v>6.0751023392601216</v>
      </c>
      <c r="G25" s="48">
        <f t="shared" si="5"/>
        <v>6.6512555758328871</v>
      </c>
    </row>
    <row r="26" spans="1:7" s="47" customFormat="1" x14ac:dyDescent="0.25">
      <c r="A26" s="47" t="s">
        <v>252</v>
      </c>
      <c r="B26" s="48"/>
      <c r="C26" s="48"/>
      <c r="D26" s="48"/>
      <c r="E26" s="48"/>
      <c r="F26" s="48"/>
      <c r="G26" s="48">
        <f>(G24*(1+B30)/(B29-B30))/(1+B29)^G23</f>
        <v>113.0713447891591</v>
      </c>
    </row>
    <row r="27" spans="1:7" s="47" customFormat="1" x14ac:dyDescent="0.25">
      <c r="A27" s="47" t="s">
        <v>254</v>
      </c>
      <c r="B27" s="48">
        <f>SUM(B25:B26)</f>
        <v>2.2742484202758186</v>
      </c>
      <c r="C27" s="48">
        <f t="shared" ref="C27:G27" si="6">SUM(C25:C26)</f>
        <v>3.4259973151480629</v>
      </c>
      <c r="D27" s="48">
        <f t="shared" si="6"/>
        <v>4.5899608506595921</v>
      </c>
      <c r="E27" s="48">
        <f t="shared" si="6"/>
        <v>5.4084806293752017</v>
      </c>
      <c r="F27" s="48">
        <f t="shared" si="6"/>
        <v>6.0751023392601216</v>
      </c>
      <c r="G27" s="48">
        <f t="shared" si="6"/>
        <v>119.72260036499199</v>
      </c>
    </row>
    <row r="28" spans="1:7" s="47" customFormat="1" x14ac:dyDescent="0.25">
      <c r="B28" s="48"/>
      <c r="C28" s="48"/>
      <c r="D28" s="48"/>
      <c r="E28" s="48"/>
      <c r="F28" s="48"/>
      <c r="G28" s="48"/>
    </row>
    <row r="29" spans="1:7" x14ac:dyDescent="0.25">
      <c r="A29" t="s">
        <v>248</v>
      </c>
      <c r="B29" s="49">
        <v>0.08</v>
      </c>
    </row>
    <row r="30" spans="1:7" x14ac:dyDescent="0.25">
      <c r="A30" t="s">
        <v>249</v>
      </c>
      <c r="B30" s="49">
        <v>0.02</v>
      </c>
    </row>
    <row r="31" spans="1:7" x14ac:dyDescent="0.25">
      <c r="A31" t="s">
        <v>250</v>
      </c>
      <c r="B31" s="51">
        <f>SUM(B27:G27)</f>
        <v>141.49638991971079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Normal="100" workbookViewId="0"/>
  </sheetViews>
  <sheetFormatPr defaultColWidth="8.7109375" defaultRowHeight="15" x14ac:dyDescent="0.25"/>
  <cols>
    <col min="1" max="1" width="44" customWidth="1"/>
    <col min="2" max="6" width="18" customWidth="1"/>
  </cols>
  <sheetData>
    <row r="1" spans="1:6" ht="18" x14ac:dyDescent="0.25">
      <c r="A1" s="5" t="s">
        <v>150</v>
      </c>
    </row>
    <row r="3" spans="1:6" x14ac:dyDescent="0.25">
      <c r="A3" s="14" t="s">
        <v>151</v>
      </c>
      <c r="B3" s="14" t="s">
        <v>152</v>
      </c>
      <c r="C3" s="14" t="s">
        <v>153</v>
      </c>
      <c r="D3" s="14" t="s">
        <v>154</v>
      </c>
      <c r="E3" s="14" t="s">
        <v>155</v>
      </c>
      <c r="F3" s="14" t="s">
        <v>156</v>
      </c>
    </row>
    <row r="4" spans="1:6" x14ac:dyDescent="0.25">
      <c r="A4" s="13" t="s">
        <v>157</v>
      </c>
      <c r="B4" s="42">
        <v>4.6942741525423699</v>
      </c>
      <c r="C4" s="42">
        <v>0</v>
      </c>
      <c r="D4" s="34">
        <v>3599.1549808219202</v>
      </c>
      <c r="E4" s="34">
        <v>0</v>
      </c>
      <c r="F4" s="34">
        <v>11867</v>
      </c>
    </row>
    <row r="5" spans="1:6" x14ac:dyDescent="0.25">
      <c r="A5" t="s">
        <v>158</v>
      </c>
      <c r="B5" s="42">
        <v>3.02434588983051</v>
      </c>
      <c r="C5" s="42">
        <v>-1.6699282627118599</v>
      </c>
      <c r="D5" s="34">
        <v>3073.68422082192</v>
      </c>
      <c r="E5" s="34">
        <v>-525.47075999999902</v>
      </c>
      <c r="F5" s="34">
        <v>11867</v>
      </c>
    </row>
    <row r="6" spans="1:6" x14ac:dyDescent="0.25">
      <c r="A6" t="s">
        <v>159</v>
      </c>
      <c r="B6" s="42">
        <v>6.3642024152542298</v>
      </c>
      <c r="C6" s="42">
        <v>1.6699282627118599</v>
      </c>
      <c r="D6" s="34">
        <v>4124.6257408219199</v>
      </c>
      <c r="E6" s="34">
        <v>525.47076000000004</v>
      </c>
      <c r="F6" s="34">
        <v>11867</v>
      </c>
    </row>
    <row r="7" spans="1:6" x14ac:dyDescent="0.25">
      <c r="A7" t="s">
        <v>160</v>
      </c>
      <c r="B7" s="42">
        <v>3.0861950847457602</v>
      </c>
      <c r="C7" s="42">
        <v>-1.6080790677966099</v>
      </c>
      <c r="D7" s="34">
        <v>3093.1461008219198</v>
      </c>
      <c r="E7" s="34">
        <v>-506.00887999999901</v>
      </c>
      <c r="F7" s="34">
        <v>11867</v>
      </c>
    </row>
    <row r="8" spans="1:6" x14ac:dyDescent="0.25">
      <c r="A8" t="s">
        <v>161</v>
      </c>
      <c r="B8" s="42">
        <v>6.30235322033898</v>
      </c>
      <c r="C8" s="42">
        <v>1.6080790677966099</v>
      </c>
      <c r="D8" s="34">
        <v>4105.16386082192</v>
      </c>
      <c r="E8" s="34">
        <v>506.00887999999998</v>
      </c>
      <c r="F8" s="34">
        <v>11867</v>
      </c>
    </row>
    <row r="9" spans="1:6" x14ac:dyDescent="0.25">
      <c r="A9" t="s">
        <v>162</v>
      </c>
      <c r="B9" s="42">
        <v>5.2330558474576296</v>
      </c>
      <c r="C9" s="42">
        <v>0.53878169491525596</v>
      </c>
      <c r="D9" s="34">
        <v>3734.43419616438</v>
      </c>
      <c r="E9" s="34">
        <v>135.27921534246701</v>
      </c>
      <c r="F9" s="34">
        <v>13343.8</v>
      </c>
    </row>
    <row r="10" spans="1:6" x14ac:dyDescent="0.25">
      <c r="A10" t="s">
        <v>163</v>
      </c>
      <c r="B10" s="42">
        <v>4.1554924576271199</v>
      </c>
      <c r="C10" s="42">
        <v>-0.53878169491525196</v>
      </c>
      <c r="D10" s="34">
        <v>3463.8757654794499</v>
      </c>
      <c r="E10" s="34">
        <v>-135.27921534246599</v>
      </c>
      <c r="F10" s="34">
        <v>10390.200000000001</v>
      </c>
    </row>
    <row r="12" spans="1:6" x14ac:dyDescent="0.25">
      <c r="A12" s="1" t="s">
        <v>164</v>
      </c>
      <c r="B12" s="1"/>
      <c r="C12" s="1"/>
      <c r="D12" s="1"/>
      <c r="E12" s="1"/>
      <c r="F12" s="1"/>
    </row>
  </sheetData>
  <mergeCells count="1"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1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26" customWidth="1"/>
    <col min="3" max="3" width="12" customWidth="1"/>
    <col min="4" max="4" width="14" customWidth="1"/>
    <col min="5" max="5" width="60" customWidth="1"/>
    <col min="6" max="6" width="50" customWidth="1"/>
    <col min="7" max="7" width="12" customWidth="1"/>
    <col min="8" max="8" width="18" customWidth="1"/>
  </cols>
  <sheetData>
    <row r="1" spans="1:8" ht="18" x14ac:dyDescent="0.25">
      <c r="A1" s="5" t="s">
        <v>165</v>
      </c>
    </row>
    <row r="3" spans="1:8" x14ac:dyDescent="0.25">
      <c r="A3" s="14" t="s">
        <v>166</v>
      </c>
      <c r="B3" s="14" t="s">
        <v>167</v>
      </c>
      <c r="C3" s="14" t="s">
        <v>168</v>
      </c>
      <c r="D3" s="14" t="s">
        <v>169</v>
      </c>
      <c r="E3" s="14" t="s">
        <v>44</v>
      </c>
      <c r="F3" s="14" t="s">
        <v>45</v>
      </c>
      <c r="G3" s="14" t="s">
        <v>46</v>
      </c>
      <c r="H3" s="14" t="s">
        <v>170</v>
      </c>
    </row>
    <row r="4" spans="1:8" ht="105" x14ac:dyDescent="0.25">
      <c r="A4" t="s">
        <v>171</v>
      </c>
      <c r="B4" t="s">
        <v>32</v>
      </c>
      <c r="C4">
        <v>2027</v>
      </c>
      <c r="D4" s="43">
        <v>3634</v>
      </c>
      <c r="E4" s="44"/>
      <c r="F4" s="44" t="s">
        <v>50</v>
      </c>
      <c r="G4" s="45" t="s">
        <v>51</v>
      </c>
      <c r="H4" s="46" t="s">
        <v>172</v>
      </c>
    </row>
    <row r="5" spans="1:8" ht="60" x14ac:dyDescent="0.25">
      <c r="A5" t="s">
        <v>171</v>
      </c>
      <c r="B5" t="s">
        <v>32</v>
      </c>
      <c r="C5">
        <v>2028</v>
      </c>
      <c r="D5" s="43">
        <v>4332</v>
      </c>
      <c r="E5" s="44"/>
      <c r="F5" s="44" t="s">
        <v>173</v>
      </c>
      <c r="G5" s="45" t="s">
        <v>57</v>
      </c>
      <c r="H5" s="46" t="s">
        <v>172</v>
      </c>
    </row>
    <row r="6" spans="1:8" ht="30" x14ac:dyDescent="0.25">
      <c r="A6" t="s">
        <v>171</v>
      </c>
      <c r="B6" t="s">
        <v>32</v>
      </c>
      <c r="C6">
        <v>2029</v>
      </c>
      <c r="D6" s="43">
        <v>5143</v>
      </c>
      <c r="E6" s="44"/>
      <c r="F6" s="44" t="s">
        <v>174</v>
      </c>
      <c r="G6" s="45" t="s">
        <v>57</v>
      </c>
      <c r="H6" s="46" t="s">
        <v>172</v>
      </c>
    </row>
    <row r="7" spans="1:8" ht="45" x14ac:dyDescent="0.25">
      <c r="A7" t="s">
        <v>171</v>
      </c>
      <c r="B7" t="s">
        <v>32</v>
      </c>
      <c r="C7">
        <v>2030</v>
      </c>
      <c r="D7" s="43">
        <v>5986</v>
      </c>
      <c r="E7" s="44"/>
      <c r="F7" s="44" t="s">
        <v>175</v>
      </c>
      <c r="G7" s="45" t="s">
        <v>57</v>
      </c>
      <c r="H7" s="46" t="s">
        <v>172</v>
      </c>
    </row>
    <row r="8" spans="1:8" ht="30" x14ac:dyDescent="0.25">
      <c r="A8" t="s">
        <v>171</v>
      </c>
      <c r="B8" t="s">
        <v>32</v>
      </c>
      <c r="C8">
        <v>2031</v>
      </c>
      <c r="D8" s="43">
        <v>6732</v>
      </c>
      <c r="E8" s="44"/>
      <c r="F8" s="44" t="s">
        <v>176</v>
      </c>
      <c r="G8" s="45" t="s">
        <v>177</v>
      </c>
      <c r="H8" s="46" t="s">
        <v>172</v>
      </c>
    </row>
    <row r="9" spans="1:8" ht="30" x14ac:dyDescent="0.25">
      <c r="A9" t="s">
        <v>171</v>
      </c>
      <c r="B9" t="s">
        <v>32</v>
      </c>
      <c r="C9">
        <v>2032</v>
      </c>
      <c r="D9" s="43">
        <v>7384</v>
      </c>
      <c r="E9" s="44"/>
      <c r="F9" s="44" t="s">
        <v>178</v>
      </c>
      <c r="G9" s="45" t="s">
        <v>177</v>
      </c>
      <c r="H9" s="46" t="s">
        <v>172</v>
      </c>
    </row>
    <row r="10" spans="1:8" ht="30" x14ac:dyDescent="0.25">
      <c r="A10" t="s">
        <v>179</v>
      </c>
      <c r="B10" t="s">
        <v>32</v>
      </c>
      <c r="C10">
        <v>2027</v>
      </c>
      <c r="D10" s="43">
        <v>2204.6</v>
      </c>
      <c r="E10" s="44"/>
      <c r="F10" s="44" t="s">
        <v>56</v>
      </c>
      <c r="G10" s="45" t="s">
        <v>57</v>
      </c>
      <c r="H10" s="46" t="s">
        <v>172</v>
      </c>
    </row>
    <row r="11" spans="1:8" ht="30" x14ac:dyDescent="0.25">
      <c r="A11" t="s">
        <v>179</v>
      </c>
      <c r="B11" t="s">
        <v>32</v>
      </c>
      <c r="C11">
        <v>2028</v>
      </c>
      <c r="D11" s="43">
        <v>2706</v>
      </c>
      <c r="E11" s="44"/>
      <c r="F11" s="44" t="s">
        <v>180</v>
      </c>
      <c r="G11" s="45" t="s">
        <v>57</v>
      </c>
      <c r="H11" s="46" t="s">
        <v>172</v>
      </c>
    </row>
    <row r="12" spans="1:8" x14ac:dyDescent="0.25">
      <c r="A12" t="s">
        <v>179</v>
      </c>
      <c r="B12" t="s">
        <v>32</v>
      </c>
      <c r="C12">
        <v>2029</v>
      </c>
      <c r="D12" s="43">
        <v>3150</v>
      </c>
      <c r="E12" s="44"/>
      <c r="F12" s="44" t="s">
        <v>181</v>
      </c>
      <c r="G12" s="45" t="s">
        <v>177</v>
      </c>
      <c r="H12" s="46" t="s">
        <v>172</v>
      </c>
    </row>
    <row r="13" spans="1:8" x14ac:dyDescent="0.25">
      <c r="A13" t="s">
        <v>179</v>
      </c>
      <c r="B13" t="s">
        <v>32</v>
      </c>
      <c r="C13">
        <v>2030</v>
      </c>
      <c r="D13" s="43">
        <v>3530.8</v>
      </c>
      <c r="E13" s="44"/>
      <c r="F13" s="44" t="s">
        <v>182</v>
      </c>
      <c r="G13" s="45" t="s">
        <v>177</v>
      </c>
      <c r="H13" s="46" t="s">
        <v>172</v>
      </c>
    </row>
    <row r="14" spans="1:8" x14ac:dyDescent="0.25">
      <c r="A14" t="s">
        <v>179</v>
      </c>
      <c r="B14" t="s">
        <v>32</v>
      </c>
      <c r="C14">
        <v>2031</v>
      </c>
      <c r="D14" s="43">
        <v>3852.2</v>
      </c>
      <c r="E14" s="44"/>
      <c r="F14" s="44" t="s">
        <v>183</v>
      </c>
      <c r="G14" s="45" t="s">
        <v>177</v>
      </c>
      <c r="H14" s="46" t="s">
        <v>172</v>
      </c>
    </row>
    <row r="15" spans="1:8" x14ac:dyDescent="0.25">
      <c r="A15" t="s">
        <v>179</v>
      </c>
      <c r="B15" t="s">
        <v>32</v>
      </c>
      <c r="C15">
        <v>2032</v>
      </c>
      <c r="D15" s="43">
        <v>4123</v>
      </c>
      <c r="E15" s="44"/>
      <c r="F15" s="44" t="s">
        <v>184</v>
      </c>
      <c r="G15" s="45" t="s">
        <v>177</v>
      </c>
      <c r="H15" s="46" t="s">
        <v>172</v>
      </c>
    </row>
    <row r="16" spans="1:8" ht="30" x14ac:dyDescent="0.25">
      <c r="A16" t="s">
        <v>185</v>
      </c>
      <c r="B16" t="s">
        <v>32</v>
      </c>
      <c r="C16">
        <v>2027</v>
      </c>
      <c r="D16" s="43">
        <v>215</v>
      </c>
      <c r="E16" s="44"/>
      <c r="F16" s="44" t="s">
        <v>61</v>
      </c>
      <c r="G16" s="45" t="s">
        <v>57</v>
      </c>
      <c r="H16" s="46" t="s">
        <v>172</v>
      </c>
    </row>
    <row r="17" spans="1:8" x14ac:dyDescent="0.25">
      <c r="A17" t="s">
        <v>185</v>
      </c>
      <c r="B17" t="s">
        <v>32</v>
      </c>
      <c r="C17">
        <v>2028</v>
      </c>
      <c r="D17" s="43">
        <v>250</v>
      </c>
      <c r="E17" s="44"/>
      <c r="F17" s="44" t="s">
        <v>186</v>
      </c>
      <c r="G17" s="45" t="s">
        <v>57</v>
      </c>
      <c r="H17" s="46" t="s">
        <v>172</v>
      </c>
    </row>
    <row r="18" spans="1:8" x14ac:dyDescent="0.25">
      <c r="A18" t="s">
        <v>185</v>
      </c>
      <c r="B18" t="s">
        <v>32</v>
      </c>
      <c r="C18">
        <v>2029</v>
      </c>
      <c r="D18" s="43">
        <v>285</v>
      </c>
      <c r="E18" s="44"/>
      <c r="F18" s="44" t="s">
        <v>187</v>
      </c>
      <c r="G18" s="45" t="s">
        <v>177</v>
      </c>
      <c r="H18" s="46" t="s">
        <v>172</v>
      </c>
    </row>
    <row r="19" spans="1:8" x14ac:dyDescent="0.25">
      <c r="A19" t="s">
        <v>185</v>
      </c>
      <c r="B19" t="s">
        <v>32</v>
      </c>
      <c r="C19">
        <v>2030</v>
      </c>
      <c r="D19" s="43">
        <v>315</v>
      </c>
      <c r="E19" s="44"/>
      <c r="F19" s="44" t="s">
        <v>188</v>
      </c>
      <c r="G19" s="45" t="s">
        <v>177</v>
      </c>
      <c r="H19" s="46" t="s">
        <v>172</v>
      </c>
    </row>
    <row r="20" spans="1:8" x14ac:dyDescent="0.25">
      <c r="A20" t="s">
        <v>185</v>
      </c>
      <c r="B20" t="s">
        <v>32</v>
      </c>
      <c r="C20">
        <v>2031</v>
      </c>
      <c r="D20" s="43">
        <v>340</v>
      </c>
      <c r="E20" s="44"/>
      <c r="F20" s="44" t="s">
        <v>189</v>
      </c>
      <c r="G20" s="45" t="s">
        <v>177</v>
      </c>
      <c r="H20" s="46" t="s">
        <v>172</v>
      </c>
    </row>
    <row r="21" spans="1:8" x14ac:dyDescent="0.25">
      <c r="A21" t="s">
        <v>185</v>
      </c>
      <c r="B21" t="s">
        <v>32</v>
      </c>
      <c r="C21">
        <v>2032</v>
      </c>
      <c r="D21" s="43">
        <v>360</v>
      </c>
      <c r="E21" s="44"/>
      <c r="F21" s="44" t="s">
        <v>190</v>
      </c>
      <c r="G21" s="45" t="s">
        <v>177</v>
      </c>
      <c r="H21" s="46" t="s">
        <v>172</v>
      </c>
    </row>
    <row r="22" spans="1:8" ht="60" x14ac:dyDescent="0.25">
      <c r="A22" t="s">
        <v>120</v>
      </c>
      <c r="B22" t="s">
        <v>191</v>
      </c>
      <c r="C22">
        <v>2027</v>
      </c>
      <c r="D22" s="43">
        <v>1937.152</v>
      </c>
      <c r="E22" s="44" t="s">
        <v>65</v>
      </c>
      <c r="F22" s="44" t="s">
        <v>66</v>
      </c>
      <c r="G22" s="45" t="s">
        <v>51</v>
      </c>
      <c r="H22" t="s">
        <v>192</v>
      </c>
    </row>
    <row r="23" spans="1:8" ht="60" x14ac:dyDescent="0.25">
      <c r="A23" t="s">
        <v>121</v>
      </c>
      <c r="B23" t="s">
        <v>193</v>
      </c>
      <c r="C23">
        <v>2027</v>
      </c>
      <c r="D23" s="43">
        <v>2481.9760000000001</v>
      </c>
      <c r="E23" s="44" t="s">
        <v>68</v>
      </c>
      <c r="F23" s="44" t="s">
        <v>69</v>
      </c>
      <c r="G23" s="45" t="s">
        <v>51</v>
      </c>
      <c r="H23" t="s">
        <v>192</v>
      </c>
    </row>
    <row r="24" spans="1:8" ht="75" x14ac:dyDescent="0.25">
      <c r="A24" t="s">
        <v>122</v>
      </c>
      <c r="B24" t="s">
        <v>193</v>
      </c>
      <c r="C24">
        <v>2027</v>
      </c>
      <c r="D24" s="43">
        <v>2421.44</v>
      </c>
      <c r="E24" s="44" t="s">
        <v>71</v>
      </c>
      <c r="F24" s="44" t="s">
        <v>72</v>
      </c>
      <c r="G24" s="45" t="s">
        <v>57</v>
      </c>
      <c r="H24" t="s">
        <v>192</v>
      </c>
    </row>
    <row r="25" spans="1:8" ht="30" x14ac:dyDescent="0.25">
      <c r="A25" t="s">
        <v>123</v>
      </c>
      <c r="B25" t="s">
        <v>193</v>
      </c>
      <c r="C25">
        <v>2027</v>
      </c>
      <c r="D25" s="43">
        <v>514.55600000000004</v>
      </c>
      <c r="E25" s="44" t="s">
        <v>74</v>
      </c>
      <c r="F25" s="44" t="s">
        <v>75</v>
      </c>
      <c r="G25" s="45" t="s">
        <v>51</v>
      </c>
      <c r="H25" t="s">
        <v>192</v>
      </c>
    </row>
    <row r="26" spans="1:8" ht="60" x14ac:dyDescent="0.25">
      <c r="A26" t="s">
        <v>124</v>
      </c>
      <c r="B26" t="s">
        <v>194</v>
      </c>
      <c r="C26">
        <v>2027</v>
      </c>
      <c r="D26" s="43">
        <v>195</v>
      </c>
      <c r="E26" s="44" t="s">
        <v>77</v>
      </c>
      <c r="F26" s="44" t="s">
        <v>78</v>
      </c>
      <c r="G26" s="45" t="s">
        <v>51</v>
      </c>
      <c r="H26" t="s">
        <v>192</v>
      </c>
    </row>
    <row r="27" spans="1:8" ht="30" x14ac:dyDescent="0.25">
      <c r="A27" t="s">
        <v>120</v>
      </c>
      <c r="B27" t="s">
        <v>191</v>
      </c>
      <c r="C27">
        <v>2028</v>
      </c>
      <c r="D27" s="43">
        <v>2259.2800000000002</v>
      </c>
      <c r="E27" s="44" t="s">
        <v>195</v>
      </c>
      <c r="F27" s="44" t="s">
        <v>196</v>
      </c>
      <c r="G27" s="45" t="s">
        <v>57</v>
      </c>
      <c r="H27" t="s">
        <v>192</v>
      </c>
    </row>
    <row r="28" spans="1:8" ht="45" x14ac:dyDescent="0.25">
      <c r="A28" t="s">
        <v>121</v>
      </c>
      <c r="B28" t="s">
        <v>193</v>
      </c>
      <c r="C28">
        <v>2028</v>
      </c>
      <c r="D28" s="43">
        <v>2696.56</v>
      </c>
      <c r="E28" s="44" t="s">
        <v>197</v>
      </c>
      <c r="F28" s="44" t="s">
        <v>198</v>
      </c>
      <c r="G28" s="45" t="s">
        <v>57</v>
      </c>
      <c r="H28" t="s">
        <v>192</v>
      </c>
    </row>
    <row r="29" spans="1:8" ht="30" x14ac:dyDescent="0.25">
      <c r="A29" t="s">
        <v>122</v>
      </c>
      <c r="B29" t="s">
        <v>193</v>
      </c>
      <c r="C29">
        <v>2028</v>
      </c>
      <c r="D29" s="43">
        <v>2623.68</v>
      </c>
      <c r="E29" s="44" t="s">
        <v>199</v>
      </c>
      <c r="F29" s="44" t="s">
        <v>200</v>
      </c>
      <c r="G29" s="45" t="s">
        <v>57</v>
      </c>
      <c r="H29" t="s">
        <v>192</v>
      </c>
    </row>
    <row r="30" spans="1:8" x14ac:dyDescent="0.25">
      <c r="A30" t="s">
        <v>123</v>
      </c>
      <c r="B30" t="s">
        <v>193</v>
      </c>
      <c r="C30">
        <v>2028</v>
      </c>
      <c r="D30" s="43">
        <v>546.6</v>
      </c>
      <c r="E30" s="44" t="s">
        <v>201</v>
      </c>
      <c r="F30" s="44" t="s">
        <v>202</v>
      </c>
      <c r="G30" s="45" t="s">
        <v>57</v>
      </c>
      <c r="H30" t="s">
        <v>192</v>
      </c>
    </row>
    <row r="31" spans="1:8" ht="30" x14ac:dyDescent="0.25">
      <c r="A31" t="s">
        <v>124</v>
      </c>
      <c r="B31" t="s">
        <v>194</v>
      </c>
      <c r="C31">
        <v>2028</v>
      </c>
      <c r="D31" s="43">
        <v>180</v>
      </c>
      <c r="E31" s="44" t="s">
        <v>203</v>
      </c>
      <c r="F31" s="44" t="s">
        <v>204</v>
      </c>
      <c r="G31" s="45" t="s">
        <v>57</v>
      </c>
      <c r="H31" t="s">
        <v>192</v>
      </c>
    </row>
    <row r="32" spans="1:8" ht="45" x14ac:dyDescent="0.25">
      <c r="A32" t="s">
        <v>120</v>
      </c>
      <c r="B32" t="s">
        <v>191</v>
      </c>
      <c r="C32">
        <v>2029</v>
      </c>
      <c r="D32" s="43">
        <v>2573.4</v>
      </c>
      <c r="E32" s="44" t="s">
        <v>205</v>
      </c>
      <c r="F32" s="44" t="s">
        <v>206</v>
      </c>
      <c r="G32" s="45" t="s">
        <v>57</v>
      </c>
      <c r="H32" t="s">
        <v>192</v>
      </c>
    </row>
    <row r="33" spans="1:8" ht="45" x14ac:dyDescent="0.25">
      <c r="A33" t="s">
        <v>121</v>
      </c>
      <c r="B33" t="s">
        <v>193</v>
      </c>
      <c r="C33">
        <v>2029</v>
      </c>
      <c r="D33" s="43">
        <v>2916.52</v>
      </c>
      <c r="E33" s="44" t="s">
        <v>207</v>
      </c>
      <c r="F33" s="44" t="s">
        <v>208</v>
      </c>
      <c r="G33" s="45" t="s">
        <v>57</v>
      </c>
      <c r="H33" t="s">
        <v>192</v>
      </c>
    </row>
    <row r="34" spans="1:8" x14ac:dyDescent="0.25">
      <c r="A34" t="s">
        <v>122</v>
      </c>
      <c r="B34" t="s">
        <v>193</v>
      </c>
      <c r="C34">
        <v>2029</v>
      </c>
      <c r="D34" s="43">
        <v>2830.74</v>
      </c>
      <c r="E34" s="44" t="s">
        <v>209</v>
      </c>
      <c r="F34" s="44" t="s">
        <v>210</v>
      </c>
      <c r="G34" s="45" t="s">
        <v>57</v>
      </c>
      <c r="H34" t="s">
        <v>192</v>
      </c>
    </row>
    <row r="35" spans="1:8" x14ac:dyDescent="0.25">
      <c r="A35" t="s">
        <v>123</v>
      </c>
      <c r="B35" t="s">
        <v>193</v>
      </c>
      <c r="C35">
        <v>2029</v>
      </c>
      <c r="D35" s="43">
        <v>557.57000000000005</v>
      </c>
      <c r="E35" s="44" t="s">
        <v>201</v>
      </c>
      <c r="F35" s="44" t="s">
        <v>211</v>
      </c>
      <c r="G35" s="45" t="s">
        <v>57</v>
      </c>
      <c r="H35" t="s">
        <v>192</v>
      </c>
    </row>
    <row r="36" spans="1:8" x14ac:dyDescent="0.25">
      <c r="A36" t="s">
        <v>124</v>
      </c>
      <c r="B36" t="s">
        <v>194</v>
      </c>
      <c r="C36">
        <v>2029</v>
      </c>
      <c r="D36" s="43">
        <v>160</v>
      </c>
      <c r="E36" s="44" t="s">
        <v>212</v>
      </c>
      <c r="F36" s="44" t="s">
        <v>213</v>
      </c>
      <c r="G36" s="45" t="s">
        <v>57</v>
      </c>
      <c r="H36" t="s">
        <v>192</v>
      </c>
    </row>
    <row r="37" spans="1:8" x14ac:dyDescent="0.25">
      <c r="A37" t="s">
        <v>120</v>
      </c>
      <c r="B37" t="s">
        <v>191</v>
      </c>
      <c r="C37">
        <v>2030</v>
      </c>
      <c r="D37" s="43">
        <v>2851.2220000000002</v>
      </c>
      <c r="E37" s="44" t="s">
        <v>214</v>
      </c>
      <c r="F37" s="44" t="s">
        <v>215</v>
      </c>
      <c r="G37" s="45" t="s">
        <v>177</v>
      </c>
      <c r="H37" t="s">
        <v>192</v>
      </c>
    </row>
    <row r="38" spans="1:8" x14ac:dyDescent="0.25">
      <c r="A38" t="s">
        <v>121</v>
      </c>
      <c r="B38" t="s">
        <v>193</v>
      </c>
      <c r="C38">
        <v>2030</v>
      </c>
      <c r="D38" s="43">
        <v>3047.8580000000002</v>
      </c>
      <c r="E38" s="44" t="s">
        <v>216</v>
      </c>
      <c r="F38" s="44" t="s">
        <v>217</v>
      </c>
      <c r="G38" s="45" t="s">
        <v>177</v>
      </c>
      <c r="H38" t="s">
        <v>192</v>
      </c>
    </row>
    <row r="39" spans="1:8" x14ac:dyDescent="0.25">
      <c r="A39" t="s">
        <v>122</v>
      </c>
      <c r="B39" t="s">
        <v>193</v>
      </c>
      <c r="C39">
        <v>2030</v>
      </c>
      <c r="D39" s="43">
        <v>2949.54</v>
      </c>
      <c r="E39" s="44" t="s">
        <v>218</v>
      </c>
      <c r="F39" s="44" t="s">
        <v>219</v>
      </c>
      <c r="G39" s="45" t="s">
        <v>177</v>
      </c>
      <c r="H39" t="s">
        <v>192</v>
      </c>
    </row>
    <row r="40" spans="1:8" x14ac:dyDescent="0.25">
      <c r="A40" t="s">
        <v>123</v>
      </c>
      <c r="B40" t="s">
        <v>193</v>
      </c>
      <c r="C40">
        <v>2030</v>
      </c>
      <c r="D40" s="43">
        <v>589.90800000000002</v>
      </c>
      <c r="E40" s="44" t="s">
        <v>201</v>
      </c>
      <c r="F40" s="44" t="s">
        <v>220</v>
      </c>
      <c r="G40" s="45" t="s">
        <v>177</v>
      </c>
      <c r="H40" t="s">
        <v>192</v>
      </c>
    </row>
    <row r="41" spans="1:8" x14ac:dyDescent="0.25">
      <c r="A41" t="s">
        <v>124</v>
      </c>
      <c r="B41" t="s">
        <v>194</v>
      </c>
      <c r="C41">
        <v>2030</v>
      </c>
      <c r="D41" s="43">
        <v>150</v>
      </c>
      <c r="E41" s="44" t="s">
        <v>221</v>
      </c>
      <c r="F41" s="44" t="s">
        <v>222</v>
      </c>
      <c r="G41" s="45" t="s">
        <v>177</v>
      </c>
      <c r="H41" t="s">
        <v>192</v>
      </c>
    </row>
    <row r="42" spans="1:8" x14ac:dyDescent="0.25">
      <c r="A42" t="s">
        <v>120</v>
      </c>
      <c r="B42" t="s">
        <v>191</v>
      </c>
      <c r="C42">
        <v>2031</v>
      </c>
      <c r="D42" s="43">
        <v>3113.3969999999999</v>
      </c>
      <c r="E42" s="44" t="s">
        <v>223</v>
      </c>
      <c r="F42" s="44" t="s">
        <v>224</v>
      </c>
      <c r="G42" s="45" t="s">
        <v>177</v>
      </c>
      <c r="H42" t="s">
        <v>192</v>
      </c>
    </row>
    <row r="43" spans="1:8" x14ac:dyDescent="0.25">
      <c r="A43" t="s">
        <v>121</v>
      </c>
      <c r="B43" t="s">
        <v>193</v>
      </c>
      <c r="C43">
        <v>2031</v>
      </c>
      <c r="D43" s="43">
        <v>3168.018</v>
      </c>
      <c r="E43" s="44" t="s">
        <v>225</v>
      </c>
      <c r="F43" s="44" t="s">
        <v>226</v>
      </c>
      <c r="G43" s="45" t="s">
        <v>177</v>
      </c>
      <c r="H43" t="s">
        <v>192</v>
      </c>
    </row>
    <row r="44" spans="1:8" x14ac:dyDescent="0.25">
      <c r="A44" t="s">
        <v>122</v>
      </c>
      <c r="B44" t="s">
        <v>193</v>
      </c>
      <c r="C44">
        <v>2031</v>
      </c>
      <c r="D44" s="43">
        <v>3058.7759999999998</v>
      </c>
      <c r="E44" s="44" t="s">
        <v>227</v>
      </c>
      <c r="F44" s="44" t="s">
        <v>228</v>
      </c>
      <c r="G44" s="45" t="s">
        <v>177</v>
      </c>
      <c r="H44" t="s">
        <v>192</v>
      </c>
    </row>
    <row r="45" spans="1:8" x14ac:dyDescent="0.25">
      <c r="A45" t="s">
        <v>123</v>
      </c>
      <c r="B45" t="s">
        <v>193</v>
      </c>
      <c r="C45">
        <v>2031</v>
      </c>
      <c r="D45" s="43">
        <v>600.83100000000002</v>
      </c>
      <c r="E45" s="44" t="s">
        <v>225</v>
      </c>
      <c r="F45" s="44" t="s">
        <v>229</v>
      </c>
      <c r="G45" s="45" t="s">
        <v>177</v>
      </c>
      <c r="H45" t="s">
        <v>192</v>
      </c>
    </row>
    <row r="46" spans="1:8" x14ac:dyDescent="0.25">
      <c r="A46" t="s">
        <v>124</v>
      </c>
      <c r="B46" t="s">
        <v>194</v>
      </c>
      <c r="C46">
        <v>2031</v>
      </c>
      <c r="D46" s="43">
        <v>145</v>
      </c>
      <c r="E46" s="44" t="s">
        <v>230</v>
      </c>
      <c r="F46" s="44" t="s">
        <v>231</v>
      </c>
      <c r="G46" s="45" t="s">
        <v>177</v>
      </c>
      <c r="H46" t="s">
        <v>192</v>
      </c>
    </row>
    <row r="47" spans="1:8" ht="30" x14ac:dyDescent="0.25">
      <c r="A47" t="s">
        <v>120</v>
      </c>
      <c r="B47" t="s">
        <v>191</v>
      </c>
      <c r="C47">
        <v>2032</v>
      </c>
      <c r="D47" s="43">
        <v>3322.76</v>
      </c>
      <c r="E47" s="44" t="s">
        <v>232</v>
      </c>
      <c r="F47" s="44" t="s">
        <v>233</v>
      </c>
      <c r="G47" s="45" t="s">
        <v>177</v>
      </c>
      <c r="H47" t="s">
        <v>192</v>
      </c>
    </row>
    <row r="48" spans="1:8" x14ac:dyDescent="0.25">
      <c r="A48" t="s">
        <v>121</v>
      </c>
      <c r="B48" t="s">
        <v>193</v>
      </c>
      <c r="C48">
        <v>2032</v>
      </c>
      <c r="D48" s="43">
        <v>3204.09</v>
      </c>
      <c r="E48" s="44" t="s">
        <v>234</v>
      </c>
      <c r="F48" s="44" t="s">
        <v>235</v>
      </c>
      <c r="G48" s="45" t="s">
        <v>177</v>
      </c>
      <c r="H48" t="s">
        <v>192</v>
      </c>
    </row>
    <row r="49" spans="1:8" x14ac:dyDescent="0.25">
      <c r="A49" t="s">
        <v>122</v>
      </c>
      <c r="B49" t="s">
        <v>193</v>
      </c>
      <c r="C49">
        <v>2032</v>
      </c>
      <c r="D49" s="43">
        <v>3085.42</v>
      </c>
      <c r="E49" s="44" t="s">
        <v>230</v>
      </c>
      <c r="F49" s="44" t="s">
        <v>236</v>
      </c>
      <c r="G49" s="45" t="s">
        <v>177</v>
      </c>
      <c r="H49" t="s">
        <v>192</v>
      </c>
    </row>
    <row r="50" spans="1:8" x14ac:dyDescent="0.25">
      <c r="A50" t="s">
        <v>123</v>
      </c>
      <c r="B50" t="s">
        <v>193</v>
      </c>
      <c r="C50">
        <v>2032</v>
      </c>
      <c r="D50" s="43">
        <v>593.35</v>
      </c>
      <c r="E50" s="44" t="s">
        <v>237</v>
      </c>
      <c r="F50" s="44" t="s">
        <v>238</v>
      </c>
      <c r="G50" s="45" t="s">
        <v>177</v>
      </c>
      <c r="H50" t="s">
        <v>192</v>
      </c>
    </row>
    <row r="51" spans="1:8" x14ac:dyDescent="0.25">
      <c r="A51" t="s">
        <v>124</v>
      </c>
      <c r="B51" t="s">
        <v>194</v>
      </c>
      <c r="C51">
        <v>2032</v>
      </c>
      <c r="D51" s="43">
        <v>140</v>
      </c>
      <c r="E51" s="44" t="s">
        <v>230</v>
      </c>
      <c r="F51" s="44" t="s">
        <v>239</v>
      </c>
      <c r="G51" s="45" t="s">
        <v>177</v>
      </c>
      <c r="H51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zoomScaleNormal="100" workbookViewId="0"/>
  </sheetViews>
  <sheetFormatPr defaultColWidth="8.7109375" defaultRowHeight="15" x14ac:dyDescent="0.25"/>
  <sheetData>
    <row r="1" spans="1:4" ht="18" x14ac:dyDescent="0.25">
      <c r="A1" s="5" t="s">
        <v>240</v>
      </c>
    </row>
    <row r="3" spans="1:4" x14ac:dyDescent="0.25">
      <c r="A3" s="14" t="s">
        <v>241</v>
      </c>
      <c r="B3" s="14" t="s">
        <v>242</v>
      </c>
      <c r="C3" s="14" t="s">
        <v>243</v>
      </c>
      <c r="D3" s="14" t="s">
        <v>244</v>
      </c>
    </row>
    <row r="4" spans="1:4" x14ac:dyDescent="0.25">
      <c r="A4" s="13" t="s">
        <v>9</v>
      </c>
      <c r="B4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Summary</vt:lpstr>
      <vt:lpstr>Assumptions</vt:lpstr>
      <vt:lpstr>Revenue Build</vt:lpstr>
      <vt:lpstr>P&amp;L</vt:lpstr>
      <vt:lpstr>Cash Flow</vt:lpstr>
      <vt:lpstr>Sensitivities</vt:lpstr>
      <vt:lpstr>Audit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0</cp:revision>
  <dcterms:created xsi:type="dcterms:W3CDTF">2026-05-27T23:18:50Z</dcterms:created>
  <dcterms:modified xsi:type="dcterms:W3CDTF">2026-06-01T02:28:09Z</dcterms:modified>
  <dc:language>en-US</dc:language>
</cp:coreProperties>
</file>