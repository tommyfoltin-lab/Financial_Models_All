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820bf33b8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PM" sheetId="1" r:id="Rd61f8f30c8d946b9"/>
    <x:sheet xmlns:r="http://schemas.openxmlformats.org/officeDocument/2006/relationships" name="BAC" sheetId="2" r:id="Rae4c01c645984cee"/>
    <x:sheet xmlns:r="http://schemas.openxmlformats.org/officeDocument/2006/relationships" name="C" sheetId="3" r:id="Rcc8c6d3d6eb4412c"/>
    <x:sheet xmlns:r="http://schemas.openxmlformats.org/officeDocument/2006/relationships" name="WFC" sheetId="4" r:id="R90d64a43c6554e87"/>
    <x:sheet xmlns:r="http://schemas.openxmlformats.org/officeDocument/2006/relationships" name="GS" sheetId="5" r:id="Rffa1f8ec2ac2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;[Red]($#,##0.00);-"/>
    <x:numFmt numFmtId="201" formatCode="$#,##0;[Red]($#,##0);-"/>
    <x:numFmt numFmtId="202" formatCode="0.0x;[Red](0.0x);-"/>
    <x:numFmt numFmtId="203" formatCode="#,##0.0;[Red](#,##0.0);-"/>
    <x:numFmt numFmtId="204" formatCode="0.0%;[Red](0.0%);-"/>
  </x:numFmts>
  <x:fonts count="12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11"/>
      <x:color rgb="FFFFFFFF"/>
      <x:name val="Carlito"/>
    </x:font>
    <x:font>
      <x:sz val="11"/>
      <x:color rgb="FF666666"/>
      <x:name val="Carlito"/>
    </x:font>
    <x:font>
      <x:b/>
      <x:sz val="11"/>
      <x:color rgb="FF666666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/>
    </x:xf>
    <x:xf numFmtId="0" fontId="6" fillId="0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/>
    </x:xf>
    <x:xf numFmtId="0" fontId="6" fillId="0" borderId="1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right"/>
    </x:xf>
    <x:xf numFmtId="0" fontId="9" fillId="2" borderId="0" xfId="0" applyNumberFormat="1" applyFont="1" applyFill="1" applyBorder="1" applyAlignment="1">
      <x:alignment horizontal="right"/>
    </x:xf>
    <x:xf numFmtId="0" fontId="8" fillId="0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8" fillId="0" borderId="1" xfId="0" applyNumberFormat="1" applyFont="1" applyFill="1" applyBorder="1" applyAlignment="1">
      <x:alignment horizontal="right"/>
    </x:xf>
    <x:xf numFmtId="0" fontId="9" fillId="2" borderId="1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horizontal="right"/>
    </x:xf>
    <x:xf numFmtId="0" fontId="10" fillId="0" borderId="1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8" fillId="4" borderId="0" xfId="0" applyNumberFormat="1" applyFont="1" applyFill="1" applyBorder="1" applyAlignment="1">
      <x:alignment horizontal="right"/>
    </x:xf>
    <x:xf numFmtId="0" fontId="8" fillId="4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right"/>
    </x:xf>
    <x:xf numFmtId="0" fontId="11" fillId="3" borderId="0" xfId="0" applyNumberFormat="1" applyFont="1" applyFill="1" applyBorder="1" applyAlignment="1">
      <x:alignment horizontal="right"/>
    </x:xf>
    <x:xf numFmtId="0" fontId="10" fillId="3" borderId="1" xfId="0" applyNumberFormat="1" applyFont="1" applyFill="1" applyBorder="1" applyAlignment="1">
      <x:alignment horizontal="right"/>
    </x:xf>
    <x:xf numFmtId="0" fontId="11" fillId="3" borderId="1" xfId="0" applyNumberFormat="1" applyFont="1" applyFill="1" applyBorder="1" applyAlignment="1">
      <x:alignment horizontal="right"/>
    </x:xf>
    <x:xf numFmtId="200" fontId="8" fillId="0" borderId="0" xfId="0" applyNumberFormat="1" applyFont="1" applyFill="1" applyBorder="1" applyAlignment="1">
      <x:alignment horizontal="right"/>
    </x:xf>
    <x:xf numFmtId="200" fontId="8" fillId="0" borderId="1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201" fontId="8" fillId="0" borderId="1" xfId="0" applyNumberFormat="1" applyFont="1" applyFill="1" applyBorder="1" applyAlignment="1">
      <x:alignment horizontal="right"/>
    </x:xf>
    <x:xf numFmtId="202" fontId="8" fillId="0" borderId="0" xfId="0" applyNumberFormat="1" applyFont="1" applyFill="1" applyBorder="1" applyAlignment="1">
      <x:alignment horizontal="right"/>
    </x:xf>
    <x:xf numFmtId="202" fontId="10" fillId="0" borderId="0" xfId="0" applyNumberFormat="1" applyFont="1" applyFill="1" applyBorder="1" applyAlignment="1">
      <x:alignment horizontal="right"/>
    </x:xf>
    <x:xf numFmtId="202" fontId="8" fillId="0" borderId="1" xfId="0" applyNumberFormat="1" applyFont="1" applyFill="1" applyBorder="1" applyAlignment="1">
      <x:alignment horizontal="right"/>
    </x:xf>
    <x:xf numFmtId="202" fontId="10" fillId="0" borderId="1" xfId="0" applyNumberFormat="1" applyFont="1" applyFill="1" applyBorder="1" applyAlignment="1">
      <x:alignment horizontal="right"/>
    </x:xf>
    <x:xf numFmtId="203" fontId="8" fillId="0" borderId="0" xfId="0" applyNumberFormat="1" applyFont="1" applyFill="1" applyBorder="1" applyAlignment="1">
      <x:alignment horizontal="right"/>
    </x:xf>
    <x:xf numFmtId="203" fontId="8" fillId="0" borderId="1" xfId="0" applyNumberFormat="1" applyFont="1" applyFill="1" applyBorder="1" applyAlignment="1">
      <x:alignment horizontal="right"/>
    </x:xf>
    <x:xf numFmtId="204" fontId="8" fillId="0" borderId="0" xfId="0" applyNumberFormat="1" applyFont="1" applyFill="1" applyBorder="1" applyAlignment="1">
      <x:alignment horizontal="right"/>
    </x:xf>
    <x:xf numFmtId="204" fontId="8" fillId="0" borderId="1" xfId="0" applyNumberFormat="1" applyFont="1" applyFill="1" applyBorder="1" applyAlignment="1">
      <x:alignment horizontal="right"/>
    </x:xf>
    <x:xf numFmtId="204" fontId="10" fillId="0" borderId="0" xfId="0" applyNumberFormat="1" applyFont="1" applyFill="1" applyBorder="1" applyAlignment="1">
      <x:alignment horizontal="right"/>
    </x:xf>
    <x:xf numFmtId="204" fontId="8" fillId="4" borderId="0" xfId="0" applyNumberFormat="1" applyFont="1" applyFill="1" applyBorder="1" applyAlignment="1">
      <x:alignment horizontal="right"/>
    </x:xf>
    <x:xf numFmtId="204" fontId="10" fillId="0" borderId="1" xfId="0" applyNumberFormat="1" applyFont="1" applyFill="1" applyBorder="1" applyAlignment="1">
      <x:alignment horizontal="right"/>
    </x:xf>
    <x:xf numFmtId="204" fontId="8" fillId="4" borderId="1" xfId="0" applyNumberFormat="1" applyFont="1" applyFill="1" applyBorder="1" applyAlignment="1">
      <x:alignment horizontal="right"/>
    </x:xf>
    <x:xf numFmtId="200" fontId="10" fillId="0" borderId="0" xfId="0" applyNumberFormat="1" applyFont="1" applyFill="1" applyBorder="1" applyAlignment="1">
      <x:alignment horizontal="right"/>
    </x:xf>
    <x:xf numFmtId="200" fontId="10" fillId="0" borderId="1" xfId="0" applyNumberFormat="1" applyFont="1" applyFill="1" applyBorder="1" applyAlignment="1">
      <x:alignment horizontal="right"/>
    </x:xf>
    <x:xf numFmtId="204" fontId="11" fillId="3" borderId="0" xfId="0" applyNumberFormat="1" applyFont="1" applyFill="1" applyBorder="1" applyAlignment="1">
      <x:alignment horizontal="right"/>
    </x:xf>
    <x:xf numFmtId="204" fontId="11" fillId="3" borderId="1" xfId="0" applyNumberFormat="1" applyFont="1" applyFill="1" applyBorder="1" applyAlignment="1">
      <x:alignment horizontal="right"/>
    </x:xf>
    <x:xf numFmtId="204" fontId="2" fillId="5" borderId="0" xfId="0" applyNumberFormat="1" applyFont="1" applyFill="1" applyBorder="1" applyAlignment="1">
      <x:alignment horizontal="center"/>
    </x:xf>
    <x:xf numFmtId="204" fontId="2" fillId="5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feaf372364d4a" /><Relationship Type="http://schemas.openxmlformats.org/officeDocument/2006/relationships/theme" Target="/xl/theme/theme1.xml" Id="Rb874592d9d904991" /><Relationship Type="http://schemas.openxmlformats.org/officeDocument/2006/relationships/sharedStrings" Target="/xl/sharedStrings.xml" Id="R37f8e1a6c05443be" /><Relationship Type="http://schemas.openxmlformats.org/officeDocument/2006/relationships/worksheet" Target="/xl/worksheets/sheet1.xml" Id="Rd61f8f30c8d946b9" /><Relationship Type="http://schemas.openxmlformats.org/officeDocument/2006/relationships/worksheet" Target="/xl/worksheets/sheet2.xml" Id="Rae4c01c645984cee" /><Relationship Type="http://schemas.openxmlformats.org/officeDocument/2006/relationships/worksheet" Target="/xl/worksheets/sheet3.xml" Id="Rcc8c6d3d6eb4412c" /><Relationship Type="http://schemas.openxmlformats.org/officeDocument/2006/relationships/worksheet" Target="/xl/worksheets/sheet4.xml" Id="R90d64a43c6554e87" /><Relationship Type="http://schemas.openxmlformats.org/officeDocument/2006/relationships/worksheet" Target="/xl/worksheets/sheet5.xml" Id="Rffa1f8ec2ac249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24" customHeight="1">
      <x:c r="A1" s="5" t="str">
        <x:v>JPMorgan Chase &amp; Co. (JPM)</x:v>
      </x:c>
      <x:c r="B1" s="5"/>
      <x:c r="C1" s="5"/>
      <x:c r="D1" s="5"/>
    </x:row>
    <x:row r="2">
      <x:c r="A2" s="12" t="str">
        <x:v>Market data as of</x:v>
      </x:c>
      <x:c r="B2" s="12" t="str">
        <x:v>2026-07-07</x:v>
      </x:c>
      <x:c r="C2" s="12" t="str">
        <x:v>Financial period</x:v>
      </x:c>
      <x:c r="D2" s="12" t="str">
        <x:v>1Q26</x:v>
      </x:c>
    </x:row>
    <x:row r="4">
      <x:c r="A4" s="17" t="str">
        <x:v>Market Data</x:v>
      </x:c>
      <x:c r="B4" s="17"/>
      <x:c r="C4" s="17"/>
      <x:c r="D4" s="17"/>
    </x:row>
    <x:row r="5">
      <x:c r="A5" s="22" t="str">
        <x:v>Stock price</x:v>
      </x:c>
      <x:c r="B5" s="56" t="n">
        <x:v>339.22</x:v>
      </x:c>
      <x:c r="C5" s="28" t="str">
        <x:v>$ / share</x:v>
      </x:c>
    </x:row>
    <x:row r="6">
      <x:c r="A6" s="22" t="str">
        <x:v>Market capitalization</x:v>
      </x:c>
      <x:c r="B6" s="58" t="n">
        <x:v>938825.272</x:v>
      </x:c>
      <x:c r="C6" s="28" t="str">
        <x:v>$mm</x:v>
      </x:c>
    </x:row>
    <x:row r="7">
      <x:c r="A7" s="22" t="str">
        <x:v>Price / earnings</x:v>
      </x:c>
      <x:c r="B7" s="60" t="n">
        <x:v>16.793069306930693</x:v>
      </x:c>
      <x:c r="C7" s="28" t="str">
        <x:v>x</x:v>
      </x:c>
    </x:row>
    <x:row r="8">
      <x:c r="A8" s="22" t="str">
        <x:v>Current price / book value</x:v>
      </x:c>
      <x:c r="B8" s="61" t="n">
        <x:f>B5/B18</x:f>
        <x:v>2.642311886586696</x:v>
      </x:c>
      <x:c r="C8" s="28" t="str">
        <x:v>x</x:v>
      </x:c>
    </x:row>
    <x:row r="9">
      <x:c r="A9" s="22" t="str">
        <x:v>Current price / tangible book value</x:v>
      </x:c>
      <x:c r="B9" s="61" t="n">
        <x:f>B5/B19</x:f>
        <x:v>3.1158262147515385</x:v>
      </x:c>
      <x:c r="C9" s="28" t="str">
        <x:v>x</x:v>
      </x:c>
    </x:row>
    <x:row r="10">
      <x:c r="A10" s="22"/>
      <x:c r="B10" s="34"/>
      <x:c r="C10" s="28"/>
    </x:row>
    <x:row r="11">
      <x:c r="A11" s="21" t="str">
        <x:v>Latest Financials</x:v>
      </x:c>
      <x:c r="B11" s="35"/>
      <x:c r="C11" s="27"/>
      <x:c r="D11" s="17"/>
    </x:row>
    <x:row r="12">
      <x:c r="A12" s="22" t="str">
        <x:v>Revenue</x:v>
      </x:c>
      <x:c r="B12" s="58" t="n">
        <x:v>49836</x:v>
      </x:c>
      <x:c r="C12" s="28" t="str">
        <x:v>$mm</x:v>
      </x:c>
    </x:row>
    <x:row r="13">
      <x:c r="A13" s="22" t="str">
        <x:v>Net income</x:v>
      </x:c>
      <x:c r="B13" s="58" t="n">
        <x:v>16494</x:v>
      </x:c>
      <x:c r="C13" s="28" t="str">
        <x:v>$mm</x:v>
      </x:c>
    </x:row>
    <x:row r="14">
      <x:c r="A14" s="22" t="str">
        <x:v>Net income to common</x:v>
      </x:c>
      <x:c r="B14" s="58" t="n">
        <x:v>16218</x:v>
      </x:c>
      <x:c r="C14" s="28" t="str">
        <x:v>$mm</x:v>
      </x:c>
    </x:row>
    <x:row r="15">
      <x:c r="A15" s="22" t="str">
        <x:v>Diluted EPS</x:v>
      </x:c>
      <x:c r="B15" s="56" t="n">
        <x:v>5.94</x:v>
      </x:c>
      <x:c r="C15" s="28" t="str">
        <x:v>$ / share</x:v>
      </x:c>
    </x:row>
    <x:row r="16">
      <x:c r="A16" s="22" t="str">
        <x:v>Average diluted shares</x:v>
      </x:c>
      <x:c r="B16" s="64" t="n">
        <x:v>2720.2</x:v>
      </x:c>
      <x:c r="C16" s="28" t="str">
        <x:v>mm</x:v>
      </x:c>
    </x:row>
    <x:row r="17">
      <x:c r="A17" s="22" t="str">
        <x:v>Period-end common shares</x:v>
      </x:c>
      <x:c r="B17" s="64" t="n">
        <x:v>2679.5</x:v>
      </x:c>
      <x:c r="C17" s="28" t="str">
        <x:v>mm</x:v>
      </x:c>
    </x:row>
    <x:row r="18">
      <x:c r="A18" s="22" t="str">
        <x:v>Book value per share</x:v>
      </x:c>
      <x:c r="B18" s="56" t="n">
        <x:v>128.38</x:v>
      </x:c>
      <x:c r="C18" s="28" t="str">
        <x:v>$ / share</x:v>
      </x:c>
    </x:row>
    <x:row r="19">
      <x:c r="A19" s="22" t="str">
        <x:v>Tangible book value per share</x:v>
      </x:c>
      <x:c r="B19" s="56" t="n">
        <x:v>108.87</x:v>
      </x:c>
      <x:c r="C19" s="28" t="str">
        <x:v>$ / share</x:v>
      </x:c>
    </x:row>
    <x:row r="20">
      <x:c r="A20" s="22" t="str">
        <x:v>Tangible common equity</x:v>
      </x:c>
      <x:c r="B20" s="58" t="n">
        <x:v>291708</x:v>
      </x:c>
      <x:c r="C20" s="28" t="str">
        <x:v>$mm</x:v>
      </x:c>
    </x:row>
    <x:row r="21">
      <x:c r="A21" s="22" t="str">
        <x:v>Average tangible common equity</x:v>
      </x:c>
      <x:c r="B21" s="58" t="n">
        <x:v>288710</x:v>
      </x:c>
      <x:c r="C21" s="28" t="str">
        <x:v>$mm</x:v>
      </x:c>
    </x:row>
    <x:row r="22">
      <x:c r="A22" s="22" t="str">
        <x:v>Return on common equity</x:v>
      </x:c>
      <x:c r="B22" s="66" t="n">
        <x:v>0.19</x:v>
      </x:c>
      <x:c r="C22" s="28" t="str">
        <x:v>%</x:v>
      </x:c>
    </x:row>
    <x:row r="23">
      <x:c r="A23" s="22" t="str">
        <x:v>Return on tangible common equity</x:v>
      </x:c>
      <x:c r="B23" s="66" t="n">
        <x:v>0.23</x:v>
      </x:c>
      <x:c r="C23" s="28" t="str">
        <x:v>%</x:v>
      </x:c>
    </x:row>
    <x:row r="24">
      <x:c r="A24" s="22" t="str">
        <x:v>Common equity tier 1 ratio</x:v>
      </x:c>
      <x:c r="B24" s="66" t="n">
        <x:v>0.143</x:v>
      </x:c>
      <x:c r="C24" s="28" t="str">
        <x:v>%</x:v>
      </x:c>
    </x:row>
    <x:row r="25">
      <x:c r="A25" s="22" t="str">
        <x:v>Total assets</x:v>
      </x:c>
      <x:c r="B25" s="58" t="n">
        <x:v>4900475</x:v>
      </x:c>
      <x:c r="C25" s="28" t="str">
        <x:v>$mm</x:v>
      </x:c>
    </x:row>
    <x:row r="26">
      <x:c r="A26" s="22" t="str">
        <x:v>Loans</x:v>
      </x:c>
      <x:c r="B26" s="58" t="n">
        <x:v>1503520</x:v>
      </x:c>
      <x:c r="C26" s="28" t="str">
        <x:v>$mm</x:v>
      </x:c>
    </x:row>
    <x:row r="27">
      <x:c r="A27" s="22" t="str">
        <x:v>Deposits</x:v>
      </x:c>
      <x:c r="B27" s="58" t="n">
        <x:v>2675520</x:v>
      </x:c>
      <x:c r="C27" s="28" t="str">
        <x:v>$mm</x:v>
      </x:c>
    </x:row>
    <x:row r="28">
      <x:c r="A28" s="22" t="str">
        <x:v>Efficiency ratio</x:v>
      </x:c>
      <x:c r="B28" s="66" t="n">
        <x:v>0.54</x:v>
      </x:c>
      <x:c r="C28" s="28" t="str">
        <x:v>%</x:v>
      </x:c>
    </x:row>
    <x:row r="29">
      <x:c r="A29" s="22" t="str">
        <x:v>Net interest margin</x:v>
      </x:c>
      <x:c r="B29" s="66"/>
      <x:c r="C29" s="28" t="str"/>
    </x:row>
    <x:row r="30">
      <x:c r="A30" s="21" t="str">
        <x:v>Bank Valuation</x:v>
      </x:c>
      <x:c r="B30" s="35"/>
      <x:c r="C30" s="27"/>
      <x:c r="D30" s="17"/>
    </x:row>
    <x:row r="31">
      <x:c r="A31" s="22" t="str">
        <x:v>Base ROTCE used</x:v>
      </x:c>
      <x:c r="B31" s="68" t="n">
        <x:f>B23</x:f>
        <x:v>0.23</x:v>
      </x:c>
      <x:c r="C31" s="28" t="str">
        <x:v>%</x:v>
      </x:c>
    </x:row>
    <x:row r="32">
      <x:c r="A32" s="22" t="str">
        <x:v>Cost of equity</x:v>
      </x:c>
      <x:c r="B32" s="69" t="n">
        <x:v>0.105</x:v>
      </x:c>
      <x:c r="C32" s="28" t="str">
        <x:v>%</x:v>
      </x:c>
    </x:row>
    <x:row r="33">
      <x:c r="A33" s="22" t="str">
        <x:v>Long-term TBVPS growth</x:v>
      </x:c>
      <x:c r="B33" s="69" t="n">
        <x:v>0.03</x:v>
      </x:c>
      <x:c r="C33" s="28" t="str">
        <x:v>%</x:v>
      </x:c>
    </x:row>
    <x:row r="34">
      <x:c r="A34" s="22" t="str">
        <x:v>Justified price / tangible book value</x:v>
      </x:c>
      <x:c r="B34" s="61" t="n">
        <x:f>(B31-B33)/(B32-B33)</x:f>
        <x:v>2.666666666666667</x:v>
      </x:c>
      <x:c r="C34" s="28" t="str">
        <x:v>x</x:v>
      </x:c>
    </x:row>
    <x:row r="35">
      <x:c r="A35" s="22" t="str">
        <x:v>Current price / tangible book value</x:v>
      </x:c>
      <x:c r="B35" s="61" t="n">
        <x:f>B9</x:f>
        <x:v>3.1158262147515385</x:v>
      </x:c>
      <x:c r="C35" s="28" t="str">
        <x:v>x</x:v>
      </x:c>
    </x:row>
    <x:row r="36">
      <x:c r="A36" s="22" t="str">
        <x:v>Fair value per share</x:v>
      </x:c>
      <x:c r="B36" s="72" t="n">
        <x:f>B19*B34</x:f>
        <x:v>290.32000000000005</x:v>
      </x:c>
      <x:c r="C36" s="28" t="str">
        <x:v>$ / share</x:v>
      </x:c>
    </x:row>
    <x:row r="37">
      <x:c r="A37" s="22" t="str">
        <x:v>Upside / downside</x:v>
      </x:c>
      <x:c r="B37" s="68" t="n">
        <x:f>B36/B5-1</x:f>
        <x:v>-0.14415423618890388</x:v>
      </x:c>
      <x:c r="C37" s="28" t="str">
        <x:v>%</x:v>
      </x:c>
    </x:row>
    <x:row r="38">
      <x:c r="A38" s="22" t="str">
        <x:v>P/TBV gap</x:v>
      </x:c>
      <x:c r="B38" s="61" t="n">
        <x:f>B34-B35</x:f>
        <x:v>-0.4491595480848716</x:v>
      </x:c>
      <x:c r="C38" s="28" t="str">
        <x:v>x</x:v>
      </x:c>
    </x:row>
    <x:row r="41">
      <x:c r="A41" s="17" t="str">
        <x:v>Fair Value Sensitivity</x:v>
      </x:c>
      <x:c r="B41" s="17"/>
      <x:c r="C41" s="17"/>
      <x:c r="D41" s="17"/>
    </x:row>
    <x:row r="42">
      <x:c r="A42" s="48" t="str">
        <x:v>ROTCE / COE</x:v>
      </x:c>
      <x:c r="B42" s="76" t="n">
        <x:v>0.095</x:v>
      </x:c>
      <x:c r="C42" s="76" t="n">
        <x:v>0.1</x:v>
      </x:c>
      <x:c r="D42" s="76" t="n">
        <x:v>0.105</x:v>
      </x:c>
      <x:c r="E42" s="76" t="n">
        <x:v>0.11</x:v>
      </x:c>
      <x:c r="F42" s="76" t="n">
        <x:v>0.115</x:v>
      </x:c>
    </x:row>
    <x:row r="43">
      <x:c r="A43" s="74" t="n">
        <x:f>B31-0.04</x:f>
        <x:v>0.19</x:v>
      </x:c>
      <x:c r="B43" s="72" t="n">
        <x:f>$B$19*(($A43-$B$33)/(B$42-$B$33))</x:f>
        <x:v>267.9876923076923</x:v>
      </x:c>
      <x:c r="C43" s="72" t="n">
        <x:f>$B$19*(($A43-$B$33)/(C$42-$B$33))</x:f>
        <x:v>248.84571428571428</x:v>
      </x:c>
      <x:c r="D43" s="72" t="n">
        <x:f>$B$19*(($A43-$B$33)/(D$42-$B$33))</x:f>
        <x:v>232.256</x:v>
      </x:c>
      <x:c r="E43" s="72" t="n">
        <x:f>$B$19*(($A43-$B$33)/(E$42-$B$33))</x:f>
        <x:v>217.74</x:v>
      </x:c>
      <x:c r="F43" s="72" t="n">
        <x:f>$B$19*(($A43-$B$33)/(F$42-$B$33))</x:f>
        <x:v>204.93176470588236</x:v>
      </x:c>
    </x:row>
    <x:row r="44">
      <x:c r="A44" s="74" t="n">
        <x:f>B31-0.02</x:f>
        <x:v>0.21000000000000002</x:v>
      </x:c>
      <x:c r="B44" s="72" t="n">
        <x:f>$B$19*(($A44-$B$33)/(B$42-$B$33))</x:f>
        <x:v>301.4861538461539</x:v>
      </x:c>
      <x:c r="C44" s="72" t="n">
        <x:f>$B$19*(($A44-$B$33)/(C$42-$B$33))</x:f>
        <x:v>279.9514285714286</x:v>
      </x:c>
      <x:c r="D44" s="72" t="n">
        <x:f>$B$19*(($A44-$B$33)/(D$42-$B$33))</x:f>
        <x:v>261.28800000000007</x:v>
      </x:c>
      <x:c r="E44" s="72" t="n">
        <x:f>$B$19*(($A44-$B$33)/(E$42-$B$33))</x:f>
        <x:v>244.9575</x:v>
      </x:c>
      <x:c r="F44" s="72" t="n">
        <x:f>$B$19*(($A44-$B$33)/(F$42-$B$33))</x:f>
        <x:v>230.54823529411766</x:v>
      </x:c>
    </x:row>
    <x:row r="45">
      <x:c r="A45" s="74" t="n">
        <x:f>B31</x:f>
        <x:v>0.23</x:v>
      </x:c>
      <x:c r="B45" s="72" t="n">
        <x:f>$B$19*(($A45-$B$33)/(B$42-$B$33))</x:f>
        <x:v>334.98461538461544</x:v>
      </x:c>
      <x:c r="C45" s="72" t="n">
        <x:f>$B$19*(($A45-$B$33)/(C$42-$B$33))</x:f>
        <x:v>311.0571428571429</x:v>
      </x:c>
      <x:c r="D45" s="72" t="n">
        <x:f>$B$19*(($A45-$B$33)/(D$42-$B$33))</x:f>
        <x:v>290.32000000000005</x:v>
      </x:c>
      <x:c r="E45" s="72" t="n">
        <x:f>$B$19*(($A45-$B$33)/(E$42-$B$33))</x:f>
        <x:v>272.175</x:v>
      </x:c>
      <x:c r="F45" s="72" t="n">
        <x:f>$B$19*(($A45-$B$33)/(F$42-$B$33))</x:f>
        <x:v>256.16470588235296</x:v>
      </x:c>
    </x:row>
    <x:row r="46">
      <x:c r="A46" s="74" t="n">
        <x:f>B31+0.02</x:f>
        <x:v>0.25</x:v>
      </x:c>
      <x:c r="B46" s="72" t="n">
        <x:f>$B$19*(($A46-$B$33)/(B$42-$B$33))</x:f>
        <x:v>368.4830769230769</x:v>
      </x:c>
      <x:c r="C46" s="72" t="n">
        <x:f>$B$19*(($A46-$B$33)/(C$42-$B$33))</x:f>
        <x:v>342.16285714285715</x:v>
      </x:c>
      <x:c r="D46" s="72" t="n">
        <x:f>$B$19*(($A46-$B$33)/(D$42-$B$33))</x:f>
        <x:v>319.35200000000003</x:v>
      </x:c>
      <x:c r="E46" s="72" t="n">
        <x:f>$B$19*(($A46-$B$33)/(E$42-$B$33))</x:f>
        <x:v>299.39250000000004</x:v>
      </x:c>
      <x:c r="F46" s="72" t="n">
        <x:f>$B$19*(($A46-$B$33)/(F$42-$B$33))</x:f>
        <x:v>281.7811764705882</x:v>
      </x:c>
    </x:row>
    <x:row r="47">
      <x:c r="A47" s="74" t="n">
        <x:f>B31+0.04</x:f>
        <x:v>0.27</x:v>
      </x:c>
      <x:c r="B47" s="72" t="n">
        <x:f>$B$19*(($A47-$B$33)/(B$42-$B$33))</x:f>
        <x:v>401.9815384615385</x:v>
      </x:c>
      <x:c r="C47" s="72" t="n">
        <x:f>$B$19*(($A47-$B$33)/(C$42-$B$33))</x:f>
        <x:v>373.2685714285714</x:v>
      </x:c>
      <x:c r="D47" s="72" t="n">
        <x:f>$B$19*(($A47-$B$33)/(D$42-$B$33))</x:f>
        <x:v>348.384</x:v>
      </x:c>
      <x:c r="E47" s="72" t="n">
        <x:f>$B$19*(($A47-$B$33)/(E$42-$B$33))</x:f>
        <x:v>326.61</x:v>
      </x:c>
      <x:c r="F47" s="72" t="n">
        <x:f>$B$19*(($A47-$B$33)/(F$42-$B$33))</x:f>
        <x:v>307.39764705882357</x:v>
      </x:c>
    </x:row>
  </x:sheetData>
  <x:mergeCells>
    <x:mergeCell ref="A1:D1"/>
    <x:mergeCell ref="A4:D4"/>
    <x:mergeCell ref="A11:D11"/>
    <x:mergeCell ref="A30:D30"/>
    <x:mergeCell ref="A41:D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24" customHeight="1">
      <x:c r="A1" s="5" t="str">
        <x:v>Bank of America Corporation (BAC)</x:v>
      </x:c>
      <x:c r="B1" s="5"/>
      <x:c r="C1" s="5"/>
      <x:c r="D1" s="5"/>
    </x:row>
    <x:row r="2">
      <x:c r="A2" s="12" t="str">
        <x:v>Market data as of</x:v>
      </x:c>
      <x:c r="B2" s="12" t="str">
        <x:v>2026-07-07</x:v>
      </x:c>
      <x:c r="C2" s="12" t="str">
        <x:v>Financial period</x:v>
      </x:c>
      <x:c r="D2" s="12" t="str">
        <x:v>1Q26</x:v>
      </x:c>
    </x:row>
    <x:row r="4">
      <x:c r="A4" s="17" t="str">
        <x:v>Market Data</x:v>
      </x:c>
      <x:c r="B4" s="17"/>
      <x:c r="C4" s="17"/>
      <x:c r="D4" s="17"/>
    </x:row>
    <x:row r="5">
      <x:c r="A5" s="22" t="str">
        <x:v>Stock price</x:v>
      </x:c>
      <x:c r="B5" s="56" t="n">
        <x:v>59.86</x:v>
      </x:c>
      <x:c r="C5" s="28" t="str">
        <x:v>$ / share</x:v>
      </x:c>
    </x:row>
    <x:row r="6">
      <x:c r="A6" s="22" t="str">
        <x:v>Market capitalization</x:v>
      </x:c>
      <x:c r="B6" s="58" t="n">
        <x:v>444011.55</x:v>
      </x:c>
      <x:c r="C6" s="28" t="str">
        <x:v>$mm</x:v>
      </x:c>
    </x:row>
    <x:row r="7">
      <x:c r="A7" s="22" t="str">
        <x:v>Price / earnings</x:v>
      </x:c>
      <x:c r="B7" s="60" t="n">
        <x:v>14.853598014888336</x:v>
      </x:c>
      <x:c r="C7" s="28" t="str">
        <x:v>x</x:v>
      </x:c>
    </x:row>
    <x:row r="8">
      <x:c r="A8" s="22" t="str">
        <x:v>Current price / book value</x:v>
      </x:c>
      <x:c r="B8" s="61" t="n">
        <x:f>B5/B18</x:f>
        <x:v>1.5483704086911538</x:v>
      </x:c>
      <x:c r="C8" s="28" t="str">
        <x:v>x</x:v>
      </x:c>
    </x:row>
    <x:row r="9">
      <x:c r="A9" s="22" t="str">
        <x:v>Current price / tangible book value</x:v>
      </x:c>
      <x:c r="B9" s="61" t="n">
        <x:f>B5/B19</x:f>
        <x:v>2.075589459084605</x:v>
      </x:c>
      <x:c r="C9" s="28" t="str">
        <x:v>x</x:v>
      </x:c>
    </x:row>
    <x:row r="10">
      <x:c r="A10" s="22"/>
      <x:c r="B10" s="34"/>
      <x:c r="C10" s="28"/>
    </x:row>
    <x:row r="11">
      <x:c r="A11" s="21" t="str">
        <x:v>Latest Financials</x:v>
      </x:c>
      <x:c r="B11" s="35"/>
      <x:c r="C11" s="27"/>
      <x:c r="D11" s="17"/>
    </x:row>
    <x:row r="12">
      <x:c r="A12" s="22" t="str">
        <x:v>Revenue</x:v>
      </x:c>
      <x:c r="B12" s="58" t="n">
        <x:v>30272</x:v>
      </x:c>
      <x:c r="C12" s="28" t="str">
        <x:v>$mm</x:v>
      </x:c>
    </x:row>
    <x:row r="13">
      <x:c r="A13" s="22" t="str">
        <x:v>Net income</x:v>
      </x:c>
      <x:c r="B13" s="58" t="n">
        <x:v>8584</x:v>
      </x:c>
      <x:c r="C13" s="28" t="str">
        <x:v>$mm</x:v>
      </x:c>
    </x:row>
    <x:row r="14">
      <x:c r="A14" s="22" t="str">
        <x:v>Net income to common</x:v>
      </x:c>
      <x:c r="B14" s="58" t="n">
        <x:v>8155</x:v>
      </x:c>
      <x:c r="C14" s="28" t="str">
        <x:v>$mm</x:v>
      </x:c>
    </x:row>
    <x:row r="15">
      <x:c r="A15" s="22" t="str">
        <x:v>Diluted EPS</x:v>
      </x:c>
      <x:c r="B15" s="56" t="n">
        <x:v>1.11</x:v>
      </x:c>
      <x:c r="C15" s="28" t="str">
        <x:v>$ / share</x:v>
      </x:c>
    </x:row>
    <x:row r="16">
      <x:c r="A16" s="22" t="str">
        <x:v>Average diluted shares</x:v>
      </x:c>
      <x:c r="B16" s="64" t="n">
        <x:v>7417.5</x:v>
      </x:c>
      <x:c r="C16" s="28" t="str">
        <x:v>mm</x:v>
      </x:c>
    </x:row>
    <x:row r="17">
      <x:c r="A17" s="22" t="str">
        <x:v>Period-end common shares</x:v>
      </x:c>
      <x:c r="B17" s="64" t="n">
        <x:v>7129.9</x:v>
      </x:c>
      <x:c r="C17" s="28" t="str">
        <x:v>mm</x:v>
      </x:c>
    </x:row>
    <x:row r="18">
      <x:c r="A18" s="22" t="str">
        <x:v>Book value per share</x:v>
      </x:c>
      <x:c r="B18" s="56" t="n">
        <x:v>38.66</x:v>
      </x:c>
      <x:c r="C18" s="28" t="str">
        <x:v>$ / share</x:v>
      </x:c>
    </x:row>
    <x:row r="19">
      <x:c r="A19" s="22" t="str">
        <x:v>Tangible book value per share</x:v>
      </x:c>
      <x:c r="B19" s="56" t="n">
        <x:v>28.84</x:v>
      </x:c>
      <x:c r="C19" s="28" t="str">
        <x:v>$ / share</x:v>
      </x:c>
    </x:row>
    <x:row r="20">
      <x:c r="A20" s="22" t="str">
        <x:v>Tangible common equity</x:v>
      </x:c>
      <x:c r="B20" s="58" t="n">
        <x:v>205651</x:v>
      </x:c>
      <x:c r="C20" s="28" t="str">
        <x:v>$mm</x:v>
      </x:c>
    </x:row>
    <x:row r="21">
      <x:c r="A21" s="22" t="str">
        <x:v>Average tangible common equity</x:v>
      </x:c>
      <x:c r="B21" s="58" t="n">
        <x:v>206723</x:v>
      </x:c>
      <x:c r="C21" s="28" t="str">
        <x:v>$mm</x:v>
      </x:c>
    </x:row>
    <x:row r="22">
      <x:c r="A22" s="22" t="str">
        <x:v>Return on common equity</x:v>
      </x:c>
      <x:c r="B22" s="66" t="n">
        <x:v>0.1195</x:v>
      </x:c>
      <x:c r="C22" s="28" t="str">
        <x:v>%</x:v>
      </x:c>
    </x:row>
    <x:row r="23">
      <x:c r="A23" s="22" t="str">
        <x:v>Return on tangible common equity</x:v>
      </x:c>
      <x:c r="B23" s="66" t="n">
        <x:v>0.16</x:v>
      </x:c>
      <x:c r="C23" s="28" t="str">
        <x:v>%</x:v>
      </x:c>
    </x:row>
    <x:row r="24">
      <x:c r="A24" s="22" t="str">
        <x:v>Common equity tier 1 ratio</x:v>
      </x:c>
      <x:c r="B24" s="66" t="n">
        <x:v>0.112</x:v>
      </x:c>
      <x:c r="C24" s="28" t="str">
        <x:v>%</x:v>
      </x:c>
    </x:row>
    <x:row r="25">
      <x:c r="A25" s="22" t="str">
        <x:v>Total assets</x:v>
      </x:c>
      <x:c r="B25" s="58" t="n">
        <x:v>3496186</x:v>
      </x:c>
      <x:c r="C25" s="28" t="str">
        <x:v>$mm</x:v>
      </x:c>
    </x:row>
    <x:row r="26">
      <x:c r="A26" s="22" t="str">
        <x:v>Loans</x:v>
      </x:c>
      <x:c r="B26" s="58" t="n">
        <x:v>1205035</x:v>
      </x:c>
      <x:c r="C26" s="28" t="str">
        <x:v>$mm</x:v>
      </x:c>
    </x:row>
    <x:row r="27">
      <x:c r="A27" s="22" t="str">
        <x:v>Deposits</x:v>
      </x:c>
      <x:c r="B27" s="58" t="n">
        <x:v>2037663</x:v>
      </x:c>
      <x:c r="C27" s="28" t="str">
        <x:v>$mm</x:v>
      </x:c>
    </x:row>
    <x:row r="28">
      <x:c r="A28" s="22" t="str">
        <x:v>Efficiency ratio</x:v>
      </x:c>
      <x:c r="B28" s="66" t="n">
        <x:v>0.61</x:v>
      </x:c>
      <x:c r="C28" s="28" t="str">
        <x:v>%</x:v>
      </x:c>
    </x:row>
    <x:row r="29">
      <x:c r="A29" s="22" t="str">
        <x:v>Net interest margin</x:v>
      </x:c>
      <x:c r="B29" s="66"/>
      <x:c r="C29" s="28" t="str"/>
    </x:row>
    <x:row r="30">
      <x:c r="A30" s="21" t="str">
        <x:v>Bank Valuation</x:v>
      </x:c>
      <x:c r="B30" s="35"/>
      <x:c r="C30" s="27"/>
      <x:c r="D30" s="17"/>
    </x:row>
    <x:row r="31">
      <x:c r="A31" s="22" t="str">
        <x:v>Base ROTCE used</x:v>
      </x:c>
      <x:c r="B31" s="68" t="n">
        <x:f>B23</x:f>
        <x:v>0.16</x:v>
      </x:c>
      <x:c r="C31" s="28" t="str">
        <x:v>%</x:v>
      </x:c>
    </x:row>
    <x:row r="32">
      <x:c r="A32" s="22" t="str">
        <x:v>Cost of equity</x:v>
      </x:c>
      <x:c r="B32" s="69" t="n">
        <x:v>0.105</x:v>
      </x:c>
      <x:c r="C32" s="28" t="str">
        <x:v>%</x:v>
      </x:c>
    </x:row>
    <x:row r="33">
      <x:c r="A33" s="22" t="str">
        <x:v>Long-term TBVPS growth</x:v>
      </x:c>
      <x:c r="B33" s="69" t="n">
        <x:v>0.03</x:v>
      </x:c>
      <x:c r="C33" s="28" t="str">
        <x:v>%</x:v>
      </x:c>
    </x:row>
    <x:row r="34">
      <x:c r="A34" s="22" t="str">
        <x:v>Justified price / tangible book value</x:v>
      </x:c>
      <x:c r="B34" s="61" t="n">
        <x:f>(B31-B33)/(B32-B33)</x:f>
        <x:v>1.7333333333333334</x:v>
      </x:c>
      <x:c r="C34" s="28" t="str">
        <x:v>x</x:v>
      </x:c>
    </x:row>
    <x:row r="35">
      <x:c r="A35" s="22" t="str">
        <x:v>Current price / tangible book value</x:v>
      </x:c>
      <x:c r="B35" s="61" t="n">
        <x:f>B9</x:f>
        <x:v>2.075589459084605</x:v>
      </x:c>
      <x:c r="C35" s="28" t="str">
        <x:v>x</x:v>
      </x:c>
    </x:row>
    <x:row r="36">
      <x:c r="A36" s="22" t="str">
        <x:v>Fair value per share</x:v>
      </x:c>
      <x:c r="B36" s="72" t="n">
        <x:f>B19*B34</x:f>
        <x:v>49.989333333333335</x:v>
      </x:c>
      <x:c r="C36" s="28" t="str">
        <x:v>$ / share</x:v>
      </x:c>
    </x:row>
    <x:row r="37">
      <x:c r="A37" s="22" t="str">
        <x:v>Upside / downside</x:v>
      </x:c>
      <x:c r="B37" s="68" t="n">
        <x:f>B36/B5-1</x:f>
        <x:v>-0.1648958681367635</x:v>
      </x:c>
      <x:c r="C37" s="28" t="str">
        <x:v>%</x:v>
      </x:c>
    </x:row>
    <x:row r="38">
      <x:c r="A38" s="22" t="str">
        <x:v>P/TBV gap</x:v>
      </x:c>
      <x:c r="B38" s="61" t="n">
        <x:f>B34-B35</x:f>
        <x:v>-0.3422561257512715</x:v>
      </x:c>
      <x:c r="C38" s="28" t="str">
        <x:v>x</x:v>
      </x:c>
    </x:row>
    <x:row r="41">
      <x:c r="A41" s="17" t="str">
        <x:v>Fair Value Sensitivity</x:v>
      </x:c>
      <x:c r="B41" s="17"/>
      <x:c r="C41" s="17"/>
      <x:c r="D41" s="17"/>
    </x:row>
    <x:row r="42">
      <x:c r="A42" s="48" t="str">
        <x:v>ROTCE / COE</x:v>
      </x:c>
      <x:c r="B42" s="76" t="n">
        <x:v>0.095</x:v>
      </x:c>
      <x:c r="C42" s="76" t="n">
        <x:v>0.1</x:v>
      </x:c>
      <x:c r="D42" s="76" t="n">
        <x:v>0.105</x:v>
      </x:c>
      <x:c r="E42" s="76" t="n">
        <x:v>0.11</x:v>
      </x:c>
      <x:c r="F42" s="76" t="n">
        <x:v>0.115</x:v>
      </x:c>
    </x:row>
    <x:row r="43">
      <x:c r="A43" s="74" t="n">
        <x:f>B31-0.04</x:f>
        <x:v>0.12</x:v>
      </x:c>
      <x:c r="B43" s="72" t="n">
        <x:f>$B$19*(($A43-$B$33)/(B$42-$B$33))</x:f>
        <x:v>39.93230769230769</x:v>
      </x:c>
      <x:c r="C43" s="72" t="n">
        <x:f>$B$19*(($A43-$B$33)/(C$42-$B$33))</x:f>
        <x:v>37.08</x:v>
      </x:c>
      <x:c r="D43" s="72" t="n">
        <x:f>$B$19*(($A43-$B$33)/(D$42-$B$33))</x:f>
        <x:v>34.608</x:v>
      </x:c>
      <x:c r="E43" s="72" t="n">
        <x:f>$B$19*(($A43-$B$33)/(E$42-$B$33))</x:f>
        <x:v>32.445</x:v>
      </x:c>
      <x:c r="F43" s="72" t="n">
        <x:f>$B$19*(($A43-$B$33)/(F$42-$B$33))</x:f>
        <x:v>30.53647058823529</x:v>
      </x:c>
    </x:row>
    <x:row r="44">
      <x:c r="A44" s="74" t="n">
        <x:f>B31-0.02</x:f>
        <x:v>0.14</x:v>
      </x:c>
      <x:c r="B44" s="72" t="n">
        <x:f>$B$19*(($A44-$B$33)/(B$42-$B$33))</x:f>
        <x:v>48.806153846153855</x:v>
      </x:c>
      <x:c r="C44" s="72" t="n">
        <x:f>$B$19*(($A44-$B$33)/(C$42-$B$33))</x:f>
        <x:v>45.32</x:v>
      </x:c>
      <x:c r="D44" s="72" t="n">
        <x:f>$B$19*(($A44-$B$33)/(D$42-$B$33))</x:f>
        <x:v>42.298666666666676</x:v>
      </x:c>
      <x:c r="E44" s="72" t="n">
        <x:f>$B$19*(($A44-$B$33)/(E$42-$B$33))</x:f>
        <x:v>39.65500000000001</x:v>
      </x:c>
      <x:c r="F44" s="72" t="n">
        <x:f>$B$19*(($A44-$B$33)/(F$42-$B$33))</x:f>
        <x:v>37.322352941176476</x:v>
      </x:c>
    </x:row>
    <x:row r="45">
      <x:c r="A45" s="74" t="n">
        <x:f>B31</x:f>
        <x:v>0.16</x:v>
      </x:c>
      <x:c r="B45" s="72" t="n">
        <x:f>$B$19*(($A45-$B$33)/(B$42-$B$33))</x:f>
        <x:v>57.68</x:v>
      </x:c>
      <x:c r="C45" s="72" t="n">
        <x:f>$B$19*(($A45-$B$33)/(C$42-$B$33))</x:f>
        <x:v>53.559999999999995</x:v>
      </x:c>
      <x:c r="D45" s="72" t="n">
        <x:f>$B$19*(($A45-$B$33)/(D$42-$B$33))</x:f>
        <x:v>49.989333333333335</x:v>
      </x:c>
      <x:c r="E45" s="72" t="n">
        <x:f>$B$19*(($A45-$B$33)/(E$42-$B$33))</x:f>
        <x:v>46.865</x:v>
      </x:c>
      <x:c r="F45" s="72" t="n">
        <x:f>$B$19*(($A45-$B$33)/(F$42-$B$33))</x:f>
        <x:v>44.10823529411764</x:v>
      </x:c>
    </x:row>
    <x:row r="46">
      <x:c r="A46" s="74" t="n">
        <x:f>B31+0.02</x:f>
        <x:v>0.18</x:v>
      </x:c>
      <x:c r="B46" s="72" t="n">
        <x:f>$B$19*(($A46-$B$33)/(B$42-$B$33))</x:f>
        <x:v>66.55384615384615</x:v>
      </x:c>
      <x:c r="C46" s="72" t="n">
        <x:f>$B$19*(($A46-$B$33)/(C$42-$B$33))</x:f>
        <x:v>61.8</x:v>
      </x:c>
      <x:c r="D46" s="72" t="n">
        <x:f>$B$19*(($A46-$B$33)/(D$42-$B$33))</x:f>
        <x:v>57.68</x:v>
      </x:c>
      <x:c r="E46" s="72" t="n">
        <x:f>$B$19*(($A46-$B$33)/(E$42-$B$33))</x:f>
        <x:v>54.075</x:v>
      </x:c>
      <x:c r="F46" s="72" t="n">
        <x:f>$B$19*(($A46-$B$33)/(F$42-$B$33))</x:f>
        <x:v>50.89411764705881</x:v>
      </x:c>
    </x:row>
    <x:row r="47">
      <x:c r="A47" s="74" t="n">
        <x:f>B31+0.04</x:f>
        <x:v>0.2</x:v>
      </x:c>
      <x:c r="B47" s="72" t="n">
        <x:f>$B$19*(($A47-$B$33)/(B$42-$B$33))</x:f>
        <x:v>75.42769230769231</x:v>
      </x:c>
      <x:c r="C47" s="72" t="n">
        <x:f>$B$19*(($A47-$B$33)/(C$42-$B$33))</x:f>
        <x:v>70.03999999999999</x:v>
      </x:c>
      <x:c r="D47" s="72" t="n">
        <x:f>$B$19*(($A47-$B$33)/(D$42-$B$33))</x:f>
        <x:v>65.37066666666668</x:v>
      </x:c>
      <x:c r="E47" s="72" t="n">
        <x:f>$B$19*(($A47-$B$33)/(E$42-$B$33))</x:f>
        <x:v>61.285</x:v>
      </x:c>
      <x:c r="F47" s="72" t="n">
        <x:f>$B$19*(($A47-$B$33)/(F$42-$B$33))</x:f>
        <x:v>57.68</x:v>
      </x:c>
    </x:row>
  </x:sheetData>
  <x:mergeCells>
    <x:mergeCell ref="A1:D1"/>
    <x:mergeCell ref="A4:D4"/>
    <x:mergeCell ref="A11:D11"/>
    <x:mergeCell ref="A30:D30"/>
    <x:mergeCell ref="A41:D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24" customHeight="1">
      <x:c r="A1" s="5" t="str">
        <x:v>Citigroup Inc. (C)</x:v>
      </x:c>
      <x:c r="B1" s="5"/>
      <x:c r="C1" s="5"/>
      <x:c r="D1" s="5"/>
    </x:row>
    <x:row r="2">
      <x:c r="A2" s="12" t="str">
        <x:v>Market data as of</x:v>
      </x:c>
      <x:c r="B2" s="12" t="str">
        <x:v>2026-07-07</x:v>
      </x:c>
      <x:c r="C2" s="12" t="str">
        <x:v>Financial period</x:v>
      </x:c>
      <x:c r="D2" s="12" t="str">
        <x:v>1Q26</x:v>
      </x:c>
    </x:row>
    <x:row r="4">
      <x:c r="A4" s="17" t="str">
        <x:v>Market Data</x:v>
      </x:c>
      <x:c r="B4" s="17"/>
      <x:c r="C4" s="17"/>
      <x:c r="D4" s="17"/>
    </x:row>
    <x:row r="5">
      <x:c r="A5" s="22" t="str">
        <x:v>Stock price</x:v>
      </x:c>
      <x:c r="B5" s="56" t="n">
        <x:v>140.77</x:v>
      </x:c>
      <x:c r="C5" s="28" t="str">
        <x:v>$ / share</x:v>
      </x:c>
    </x:row>
    <x:row r="6">
      <x:c r="A6" s="22" t="str">
        <x:v>Market capitalization</x:v>
      </x:c>
      <x:c r="B6" s="58" t="n">
        <x:v>250007.52</x:v>
      </x:c>
      <x:c r="C6" s="28" t="str">
        <x:v>$mm</x:v>
      </x:c>
    </x:row>
    <x:row r="7">
      <x:c r="A7" s="22" t="str">
        <x:v>Price / earnings</x:v>
      </x:c>
      <x:c r="B7" s="60" t="n">
        <x:v>17.400494437577258</x:v>
      </x:c>
      <x:c r="C7" s="28" t="str">
        <x:v>x</x:v>
      </x:c>
    </x:row>
    <x:row r="8">
      <x:c r="A8" s="22" t="str">
        <x:v>Current price / book value</x:v>
      </x:c>
      <x:c r="B8" s="61" t="n">
        <x:f>B5/B18</x:f>
        <x:v>1.2544109784352167</x:v>
      </x:c>
      <x:c r="C8" s="28" t="str">
        <x:v>x</x:v>
      </x:c>
    </x:row>
    <x:row r="9">
      <x:c r="A9" s="22" t="str">
        <x:v>Current price / tangible book value</x:v>
      </x:c>
      <x:c r="B9" s="61" t="n">
        <x:f>B5/B19</x:f>
        <x:v>1.421775578224422</x:v>
      </x:c>
      <x:c r="C9" s="28" t="str">
        <x:v>x</x:v>
      </x:c>
    </x:row>
    <x:row r="10">
      <x:c r="A10" s="22"/>
      <x:c r="B10" s="34"/>
      <x:c r="C10" s="28"/>
    </x:row>
    <x:row r="11">
      <x:c r="A11" s="21" t="str">
        <x:v>Latest Financials</x:v>
      </x:c>
      <x:c r="B11" s="35"/>
      <x:c r="C11" s="27"/>
      <x:c r="D11" s="17"/>
    </x:row>
    <x:row r="12">
      <x:c r="A12" s="22" t="str">
        <x:v>Revenue</x:v>
      </x:c>
      <x:c r="B12" s="58" t="n">
        <x:v>24633</x:v>
      </x:c>
      <x:c r="C12" s="28" t="str">
        <x:v>$mm</x:v>
      </x:c>
    </x:row>
    <x:row r="13">
      <x:c r="A13" s="22" t="str">
        <x:v>Net income</x:v>
      </x:c>
      <x:c r="B13" s="58" t="n">
        <x:v>5785</x:v>
      </x:c>
      <x:c r="C13" s="28" t="str">
        <x:v>$mm</x:v>
      </x:c>
    </x:row>
    <x:row r="14">
      <x:c r="A14" s="22" t="str">
        <x:v>Net income to common</x:v>
      </x:c>
      <x:c r="B14" s="58" t="n">
        <x:v>5480</x:v>
      </x:c>
      <x:c r="C14" s="28" t="str">
        <x:v>$mm</x:v>
      </x:c>
    </x:row>
    <x:row r="15">
      <x:c r="A15" s="22" t="str">
        <x:v>Diluted EPS</x:v>
      </x:c>
      <x:c r="B15" s="56" t="n">
        <x:v>3.06</x:v>
      </x:c>
      <x:c r="C15" s="28" t="str">
        <x:v>$ / share</x:v>
      </x:c>
    </x:row>
    <x:row r="16">
      <x:c r="A16" s="22" t="str">
        <x:v>Average diluted shares</x:v>
      </x:c>
      <x:c r="B16" s="64" t="n">
        <x:v>1776</x:v>
      </x:c>
      <x:c r="C16" s="28" t="str">
        <x:v>mm</x:v>
      </x:c>
    </x:row>
    <x:row r="17">
      <x:c r="A17" s="22" t="str">
        <x:v>Period-end common shares</x:v>
      </x:c>
      <x:c r="B17" s="64" t="n">
        <x:v>1705.6</x:v>
      </x:c>
      <x:c r="C17" s="28" t="str">
        <x:v>mm</x:v>
      </x:c>
    </x:row>
    <x:row r="18">
      <x:c r="A18" s="22" t="str">
        <x:v>Book value per share</x:v>
      </x:c>
      <x:c r="B18" s="56" t="n">
        <x:v>112.22</x:v>
      </x:c>
      <x:c r="C18" s="28" t="str">
        <x:v>$ / share</x:v>
      </x:c>
    </x:row>
    <x:row r="19">
      <x:c r="A19" s="22" t="str">
        <x:v>Tangible book value per share</x:v>
      </x:c>
      <x:c r="B19" s="56" t="n">
        <x:v>99.01</x:v>
      </x:c>
      <x:c r="C19" s="28" t="str">
        <x:v>$ / share</x:v>
      </x:c>
    </x:row>
    <x:row r="20">
      <x:c r="A20" s="22" t="str">
        <x:v>Tangible common equity</x:v>
      </x:c>
      <x:c r="B20" s="58" t="n">
        <x:v>168873</x:v>
      </x:c>
      <x:c r="C20" s="28" t="str">
        <x:v>$mm</x:v>
      </x:c>
    </x:row>
    <x:row r="21">
      <x:c r="A21" s="22" t="str">
        <x:v>Average tangible common equity</x:v>
      </x:c>
      <x:c r="B21" s="58" t="n">
        <x:v>169246</x:v>
      </x:c>
      <x:c r="C21" s="28" t="str">
        <x:v>$mm</x:v>
      </x:c>
    </x:row>
    <x:row r="22">
      <x:c r="A22" s="22" t="str">
        <x:v>Return on common equity</x:v>
      </x:c>
      <x:c r="B22" s="66" t="n">
        <x:v>0.115</x:v>
      </x:c>
      <x:c r="C22" s="28" t="str">
        <x:v>%</x:v>
      </x:c>
    </x:row>
    <x:row r="23">
      <x:c r="A23" s="22" t="str">
        <x:v>Return on tangible common equity</x:v>
      </x:c>
      <x:c r="B23" s="66" t="n">
        <x:v>0.131</x:v>
      </x:c>
      <x:c r="C23" s="28" t="str">
        <x:v>%</x:v>
      </x:c>
    </x:row>
    <x:row r="24">
      <x:c r="A24" s="22" t="str">
        <x:v>Common equity tier 1 ratio</x:v>
      </x:c>
      <x:c r="B24" s="66" t="n">
        <x:v>0.127</x:v>
      </x:c>
      <x:c r="C24" s="28" t="str">
        <x:v>%</x:v>
      </x:c>
    </x:row>
    <x:row r="25">
      <x:c r="A25" s="22" t="str">
        <x:v>Total assets</x:v>
      </x:c>
      <x:c r="B25" s="58" t="n">
        <x:v>2777700</x:v>
      </x:c>
      <x:c r="C25" s="28" t="str">
        <x:v>$mm</x:v>
      </x:c>
    </x:row>
    <x:row r="26">
      <x:c r="A26" s="22" t="str">
        <x:v>Loans</x:v>
      </x:c>
      <x:c r="B26" s="58" t="n">
        <x:v>761600</x:v>
      </x:c>
      <x:c r="C26" s="28" t="str">
        <x:v>$mm</x:v>
      </x:c>
    </x:row>
    <x:row r="27">
      <x:c r="A27" s="22" t="str">
        <x:v>Deposits</x:v>
      </x:c>
      <x:c r="B27" s="58" t="n">
        <x:v>1446200</x:v>
      </x:c>
      <x:c r="C27" s="28" t="str">
        <x:v>$mm</x:v>
      </x:c>
    </x:row>
    <x:row r="28">
      <x:c r="A28" s="22" t="str">
        <x:v>Efficiency ratio</x:v>
      </x:c>
      <x:c r="B28" s="66" t="n">
        <x:v>0.581</x:v>
      </x:c>
      <x:c r="C28" s="28" t="str">
        <x:v>%</x:v>
      </x:c>
    </x:row>
    <x:row r="29">
      <x:c r="A29" s="22" t="str">
        <x:v>Net interest margin</x:v>
      </x:c>
      <x:c r="B29" s="66"/>
      <x:c r="C29" s="28" t="str"/>
    </x:row>
    <x:row r="30">
      <x:c r="A30" s="21" t="str">
        <x:v>Bank Valuation</x:v>
      </x:c>
      <x:c r="B30" s="35"/>
      <x:c r="C30" s="27"/>
      <x:c r="D30" s="17"/>
    </x:row>
    <x:row r="31">
      <x:c r="A31" s="22" t="str">
        <x:v>Base ROTCE used</x:v>
      </x:c>
      <x:c r="B31" s="68" t="n">
        <x:f>B23</x:f>
        <x:v>0.131</x:v>
      </x:c>
      <x:c r="C31" s="28" t="str">
        <x:v>%</x:v>
      </x:c>
    </x:row>
    <x:row r="32">
      <x:c r="A32" s="22" t="str">
        <x:v>Cost of equity</x:v>
      </x:c>
      <x:c r="B32" s="69" t="n">
        <x:v>0.11</x:v>
      </x:c>
      <x:c r="C32" s="28" t="str">
        <x:v>%</x:v>
      </x:c>
    </x:row>
    <x:row r="33">
      <x:c r="A33" s="22" t="str">
        <x:v>Long-term TBVPS growth</x:v>
      </x:c>
      <x:c r="B33" s="69" t="n">
        <x:v>0.03</x:v>
      </x:c>
      <x:c r="C33" s="28" t="str">
        <x:v>%</x:v>
      </x:c>
    </x:row>
    <x:row r="34">
      <x:c r="A34" s="22" t="str">
        <x:v>Justified price / tangible book value</x:v>
      </x:c>
      <x:c r="B34" s="61" t="n">
        <x:f>(B31-B33)/(B32-B33)</x:f>
        <x:v>1.2625</x:v>
      </x:c>
      <x:c r="C34" s="28" t="str">
        <x:v>x</x:v>
      </x:c>
    </x:row>
    <x:row r="35">
      <x:c r="A35" s="22" t="str">
        <x:v>Current price / tangible book value</x:v>
      </x:c>
      <x:c r="B35" s="61" t="n">
        <x:f>B9</x:f>
        <x:v>1.421775578224422</x:v>
      </x:c>
      <x:c r="C35" s="28" t="str">
        <x:v>x</x:v>
      </x:c>
    </x:row>
    <x:row r="36">
      <x:c r="A36" s="22" t="str">
        <x:v>Fair value per share</x:v>
      </x:c>
      <x:c r="B36" s="72" t="n">
        <x:f>B19*B34</x:f>
        <x:v>125.000125</x:v>
      </x:c>
      <x:c r="C36" s="28" t="str">
        <x:v>$ / share</x:v>
      </x:c>
    </x:row>
    <x:row r="37">
      <x:c r="A37" s="22" t="str">
        <x:v>Upside / downside</x:v>
      </x:c>
      <x:c r="B37" s="68" t="n">
        <x:f>B36/B5-1</x:f>
        <x:v>-0.1120258222632664</x:v>
      </x:c>
      <x:c r="C37" s="28" t="str">
        <x:v>%</x:v>
      </x:c>
    </x:row>
    <x:row r="38">
      <x:c r="A38" s="22" t="str">
        <x:v>P/TBV gap</x:v>
      </x:c>
      <x:c r="B38" s="61" t="n">
        <x:f>B34-B35</x:f>
        <x:v>-0.15927557822442195</x:v>
      </x:c>
      <x:c r="C38" s="28" t="str">
        <x:v>x</x:v>
      </x:c>
    </x:row>
    <x:row r="41">
      <x:c r="A41" s="17" t="str">
        <x:v>Fair Value Sensitivity</x:v>
      </x:c>
      <x:c r="B41" s="17"/>
      <x:c r="C41" s="17"/>
      <x:c r="D41" s="17"/>
    </x:row>
    <x:row r="42">
      <x:c r="A42" s="48" t="str">
        <x:v>ROTCE / COE</x:v>
      </x:c>
      <x:c r="B42" s="76" t="n">
        <x:v>0.095</x:v>
      </x:c>
      <x:c r="C42" s="76" t="n">
        <x:v>0.1</x:v>
      </x:c>
      <x:c r="D42" s="76" t="n">
        <x:v>0.105</x:v>
      </x:c>
      <x:c r="E42" s="76" t="n">
        <x:v>0.11</x:v>
      </x:c>
      <x:c r="F42" s="76" t="n">
        <x:v>0.115</x:v>
      </x:c>
    </x:row>
    <x:row r="43">
      <x:c r="A43" s="74" t="n">
        <x:f>B31-0.04</x:f>
        <x:v>0.091</x:v>
      </x:c>
      <x:c r="B43" s="72" t="n">
        <x:f>$B$19*(($A43-$B$33)/(B$42-$B$33))</x:f>
        <x:v>92.91707692307693</x:v>
      </x:c>
      <x:c r="C43" s="72" t="n">
        <x:f>$B$19*(($A43-$B$33)/(C$42-$B$33))</x:f>
        <x:v>86.28014285714285</x:v>
      </x:c>
      <x:c r="D43" s="72" t="n">
        <x:f>$B$19*(($A43-$B$33)/(D$42-$B$33))</x:f>
        <x:v>80.52813333333334</x:v>
      </x:c>
      <x:c r="E43" s="72" t="n">
        <x:f>$B$19*(($A43-$B$33)/(E$42-$B$33))</x:f>
        <x:v>75.495125</x:v>
      </x:c>
      <x:c r="F43" s="72" t="n">
        <x:f>$B$19*(($A43-$B$33)/(F$42-$B$33))</x:f>
        <x:v>71.05423529411765</x:v>
      </x:c>
    </x:row>
    <x:row r="44">
      <x:c r="A44" s="74" t="n">
        <x:f>B31-0.02</x:f>
        <x:v>0.111</x:v>
      </x:c>
      <x:c r="B44" s="72" t="n">
        <x:f>$B$19*(($A44-$B$33)/(B$42-$B$33))</x:f>
        <x:v>123.38169230769232</x:v>
      </x:c>
      <x:c r="C44" s="72" t="n">
        <x:f>$B$19*(($A44-$B$33)/(C$42-$B$33))</x:f>
        <x:v>114.56871428571428</x:v>
      </x:c>
      <x:c r="D44" s="72" t="n">
        <x:f>$B$19*(($A44-$B$33)/(D$42-$B$33))</x:f>
        <x:v>106.93080000000002</x:v>
      </x:c>
      <x:c r="E44" s="72" t="n">
        <x:f>$B$19*(($A44-$B$33)/(E$42-$B$33))</x:f>
        <x:v>100.247625</x:v>
      </x:c>
      <x:c r="F44" s="72" t="n">
        <x:f>$B$19*(($A44-$B$33)/(F$42-$B$33))</x:f>
        <x:v>94.35070588235294</x:v>
      </x:c>
    </x:row>
    <x:row r="45">
      <x:c r="A45" s="74" t="n">
        <x:f>B31</x:f>
        <x:v>0.131</x:v>
      </x:c>
      <x:c r="B45" s="72" t="n">
        <x:f>$B$19*(($A45-$B$33)/(B$42-$B$33))</x:f>
        <x:v>153.8463076923077</x:v>
      </x:c>
      <x:c r="C45" s="72" t="n">
        <x:f>$B$19*(($A45-$B$33)/(C$42-$B$33))</x:f>
        <x:v>142.85728571428572</x:v>
      </x:c>
      <x:c r="D45" s="72" t="n">
        <x:f>$B$19*(($A45-$B$33)/(D$42-$B$33))</x:f>
        <x:v>133.3334666666667</x:v>
      </x:c>
      <x:c r="E45" s="72" t="n">
        <x:f>$B$19*(($A45-$B$33)/(E$42-$B$33))</x:f>
        <x:v>125.000125</x:v>
      </x:c>
      <x:c r="F45" s="72" t="n">
        <x:f>$B$19*(($A45-$B$33)/(F$42-$B$33))</x:f>
        <x:v>117.64717647058824</x:v>
      </x:c>
    </x:row>
    <x:row r="46">
      <x:c r="A46" s="74" t="n">
        <x:f>B31+0.02</x:f>
        <x:v>0.151</x:v>
      </x:c>
      <x:c r="B46" s="72" t="n">
        <x:f>$B$19*(($A46-$B$33)/(B$42-$B$33))</x:f>
        <x:v>184.31092307692307</x:v>
      </x:c>
      <x:c r="C46" s="72" t="n">
        <x:f>$B$19*(($A46-$B$33)/(C$42-$B$33))</x:f>
        <x:v>171.14585714285712</x:v>
      </x:c>
      <x:c r="D46" s="72" t="n">
        <x:f>$B$19*(($A46-$B$33)/(D$42-$B$33))</x:f>
        <x:v>159.73613333333333</x:v>
      </x:c>
      <x:c r="E46" s="72" t="n">
        <x:f>$B$19*(($A46-$B$33)/(E$42-$B$33))</x:f>
        <x:v>149.752625</x:v>
      </x:c>
      <x:c r="F46" s="72" t="n">
        <x:f>$B$19*(($A46-$B$33)/(F$42-$B$33))</x:f>
        <x:v>140.94364705882353</x:v>
      </x:c>
    </x:row>
    <x:row r="47">
      <x:c r="A47" s="74" t="n">
        <x:f>B31+0.04</x:f>
        <x:v>0.171</x:v>
      </x:c>
      <x:c r="B47" s="72" t="n">
        <x:f>$B$19*(($A47-$B$33)/(B$42-$B$33))</x:f>
        <x:v>214.7755384615385</x:v>
      </x:c>
      <x:c r="C47" s="72" t="n">
        <x:f>$B$19*(($A47-$B$33)/(C$42-$B$33))</x:f>
        <x:v>199.43442857142858</x:v>
      </x:c>
      <x:c r="D47" s="72" t="n">
        <x:f>$B$19*(($A47-$B$33)/(D$42-$B$33))</x:f>
        <x:v>186.13880000000003</x:v>
      </x:c>
      <x:c r="E47" s="72" t="n">
        <x:f>$B$19*(($A47-$B$33)/(E$42-$B$33))</x:f>
        <x:v>174.50512500000002</x:v>
      </x:c>
      <x:c r="F47" s="72" t="n">
        <x:f>$B$19*(($A47-$B$33)/(F$42-$B$33))</x:f>
        <x:v>164.24011764705884</x:v>
      </x:c>
    </x:row>
  </x:sheetData>
  <x:mergeCells>
    <x:mergeCell ref="A1:D1"/>
    <x:mergeCell ref="A4:D4"/>
    <x:mergeCell ref="A11:D11"/>
    <x:mergeCell ref="A30:D30"/>
    <x:mergeCell ref="A41:D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24" customHeight="1">
      <x:c r="A1" s="5" t="str">
        <x:v>Wells Fargo &amp; Company (WFC)</x:v>
      </x:c>
      <x:c r="B1" s="5"/>
      <x:c r="C1" s="5"/>
      <x:c r="D1" s="5"/>
    </x:row>
    <x:row r="2">
      <x:c r="A2" s="12" t="str">
        <x:v>Market data as of</x:v>
      </x:c>
      <x:c r="B2" s="12" t="str">
        <x:v>2026-07-07</x:v>
      </x:c>
      <x:c r="C2" s="12" t="str">
        <x:v>Financial period</x:v>
      </x:c>
      <x:c r="D2" s="12" t="str">
        <x:v>1Q26</x:v>
      </x:c>
    </x:row>
    <x:row r="4">
      <x:c r="A4" s="17" t="str">
        <x:v>Market Data</x:v>
      </x:c>
      <x:c r="B4" s="17"/>
      <x:c r="C4" s="17"/>
      <x:c r="D4" s="17"/>
    </x:row>
    <x:row r="5">
      <x:c r="A5" s="22" t="str">
        <x:v>Stock price</x:v>
      </x:c>
      <x:c r="B5" s="56" t="n">
        <x:v>87.18</x:v>
      </x:c>
      <x:c r="C5" s="28" t="str">
        <x:v>$ / share</x:v>
      </x:c>
    </x:row>
    <x:row r="6">
      <x:c r="A6" s="22" t="str">
        <x:v>Market capitalization</x:v>
      </x:c>
      <x:c r="B6" s="58" t="n">
        <x:v>271801.086</x:v>
      </x:c>
      <x:c r="C6" s="28" t="str">
        <x:v>$mm</x:v>
      </x:c>
    </x:row>
    <x:row r="7">
      <x:c r="A7" s="22" t="str">
        <x:v>Price / earnings</x:v>
      </x:c>
      <x:c r="B7" s="60" t="n">
        <x:v>13.47449768160742</x:v>
      </x:c>
      <x:c r="C7" s="28" t="str">
        <x:v>x</x:v>
      </x:c>
    </x:row>
    <x:row r="8">
      <x:c r="A8" s="22" t="str">
        <x:v>Current price / book value</x:v>
      </x:c>
      <x:c r="B8" s="61" t="n">
        <x:f>B5/B18</x:f>
        <x:v>1.6371830985915494</x:v>
      </x:c>
      <x:c r="C8" s="28" t="str">
        <x:v>x</x:v>
      </x:c>
    </x:row>
    <x:row r="9">
      <x:c r="A9" s="22" t="str">
        <x:v>Current price / tangible book value</x:v>
      </x:c>
      <x:c r="B9" s="61" t="n">
        <x:f>B5/B19</x:f>
        <x:v>1.9381947532236552</x:v>
      </x:c>
      <x:c r="C9" s="28" t="str">
        <x:v>x</x:v>
      </x:c>
    </x:row>
    <x:row r="10">
      <x:c r="A10" s="22"/>
      <x:c r="B10" s="34"/>
      <x:c r="C10" s="28"/>
    </x:row>
    <x:row r="11">
      <x:c r="A11" s="21" t="str">
        <x:v>Latest Financials</x:v>
      </x:c>
      <x:c r="B11" s="35"/>
      <x:c r="C11" s="27"/>
      <x:c r="D11" s="17"/>
    </x:row>
    <x:row r="12">
      <x:c r="A12" s="22" t="str">
        <x:v>Revenue</x:v>
      </x:c>
      <x:c r="B12" s="58" t="n">
        <x:v>21446</x:v>
      </x:c>
      <x:c r="C12" s="28" t="str">
        <x:v>$mm</x:v>
      </x:c>
    </x:row>
    <x:row r="13">
      <x:c r="A13" s="22" t="str">
        <x:v>Net income</x:v>
      </x:c>
      <x:c r="B13" s="58" t="n">
        <x:v>5253</x:v>
      </x:c>
      <x:c r="C13" s="28" t="str">
        <x:v>$mm</x:v>
      </x:c>
    </x:row>
    <x:row r="14">
      <x:c r="A14" s="22" t="str">
        <x:v>Net income to common</x:v>
      </x:c>
      <x:c r="B14" s="58" t="n">
        <x:v>5000</x:v>
      </x:c>
      <x:c r="C14" s="28" t="str">
        <x:v>$mm</x:v>
      </x:c>
    </x:row>
    <x:row r="15">
      <x:c r="A15" s="22" t="str">
        <x:v>Diluted EPS</x:v>
      </x:c>
      <x:c r="B15" s="56" t="n">
        <x:v>1.6</x:v>
      </x:c>
      <x:c r="C15" s="28" t="str">
        <x:v>$ / share</x:v>
      </x:c>
    </x:row>
    <x:row r="16">
      <x:c r="A16" s="22" t="str">
        <x:v>Average diluted shares</x:v>
      </x:c>
      <x:c r="B16" s="64" t="n">
        <x:v>3117.7</x:v>
      </x:c>
      <x:c r="C16" s="28" t="str">
        <x:v>mm</x:v>
      </x:c>
    </x:row>
    <x:row r="17">
      <x:c r="A17" s="22" t="str">
        <x:v>Period-end common shares</x:v>
      </x:c>
      <x:c r="B17" s="64" t="n">
        <x:v>3064.3</x:v>
      </x:c>
      <x:c r="C17" s="28" t="str">
        <x:v>mm</x:v>
      </x:c>
    </x:row>
    <x:row r="18">
      <x:c r="A18" s="22" t="str">
        <x:v>Book value per share</x:v>
      </x:c>
      <x:c r="B18" s="56" t="n">
        <x:v>53.25</x:v>
      </x:c>
      <x:c r="C18" s="28" t="str">
        <x:v>$ / share</x:v>
      </x:c>
    </x:row>
    <x:row r="19">
      <x:c r="A19" s="22" t="str">
        <x:v>Tangible book value per share</x:v>
      </x:c>
      <x:c r="B19" s="56" t="n">
        <x:v>44.98</x:v>
      </x:c>
      <x:c r="C19" s="28" t="str">
        <x:v>$ / share</x:v>
      </x:c>
    </x:row>
    <x:row r="20">
      <x:c r="A20" s="22" t="str">
        <x:v>Tangible common equity</x:v>
      </x:c>
      <x:c r="B20" s="58" t="n">
        <x:v>137817</x:v>
      </x:c>
      <x:c r="C20" s="28" t="str">
        <x:v>$mm</x:v>
      </x:c>
    </x:row>
    <x:row r="21">
      <x:c r="A21" s="22" t="str">
        <x:v>Average tangible common equity</x:v>
      </x:c>
      <x:c r="B21" s="58" t="n">
        <x:v>140188</x:v>
      </x:c>
      <x:c r="C21" s="28" t="str">
        <x:v>$mm</x:v>
      </x:c>
    </x:row>
    <x:row r="22">
      <x:c r="A22" s="22" t="str">
        <x:v>Return on common equity</x:v>
      </x:c>
      <x:c r="B22" s="66" t="n">
        <x:v>0.122</x:v>
      </x:c>
      <x:c r="C22" s="28" t="str">
        <x:v>%</x:v>
      </x:c>
    </x:row>
    <x:row r="23">
      <x:c r="A23" s="22" t="str">
        <x:v>Return on tangible common equity</x:v>
      </x:c>
      <x:c r="B23" s="66" t="n">
        <x:v>0.145</x:v>
      </x:c>
      <x:c r="C23" s="28" t="str">
        <x:v>%</x:v>
      </x:c>
    </x:row>
    <x:row r="24">
      <x:c r="A24" s="22" t="str">
        <x:v>Common equity tier 1 ratio</x:v>
      </x:c>
      <x:c r="B24" s="66" t="n">
        <x:v>0.103</x:v>
      </x:c>
      <x:c r="C24" s="28" t="str">
        <x:v>%</x:v>
      </x:c>
    </x:row>
    <x:row r="25">
      <x:c r="A25" s="22" t="str">
        <x:v>Total assets</x:v>
      </x:c>
      <x:c r="B25" s="58" t="n">
        <x:v>2205752</x:v>
      </x:c>
      <x:c r="C25" s="28" t="str">
        <x:v>$mm</x:v>
      </x:c>
    </x:row>
    <x:row r="26">
      <x:c r="A26" s="22" t="str">
        <x:v>Loans</x:v>
      </x:c>
      <x:c r="B26" s="58" t="n">
        <x:v>1016787</x:v>
      </x:c>
      <x:c r="C26" s="28" t="str">
        <x:v>$mm</x:v>
      </x:c>
    </x:row>
    <x:row r="27">
      <x:c r="A27" s="22" t="str">
        <x:v>Deposits</x:v>
      </x:c>
      <x:c r="B27" s="58" t="n">
        <x:v>1454939</x:v>
      </x:c>
      <x:c r="C27" s="28" t="str">
        <x:v>$mm</x:v>
      </x:c>
    </x:row>
    <x:row r="28">
      <x:c r="A28" s="22" t="str">
        <x:v>Efficiency ratio</x:v>
      </x:c>
      <x:c r="B28" s="66" t="n">
        <x:v>0.67</x:v>
      </x:c>
      <x:c r="C28" s="28" t="str">
        <x:v>%</x:v>
      </x:c>
    </x:row>
    <x:row r="29">
      <x:c r="A29" s="22" t="str">
        <x:v>Net interest margin</x:v>
      </x:c>
      <x:c r="B29" s="66" t="n">
        <x:v>0.0247</x:v>
      </x:c>
      <x:c r="C29" s="28" t="str">
        <x:v>%</x:v>
      </x:c>
    </x:row>
    <x:row r="30">
      <x:c r="A30" s="21" t="str">
        <x:v>Bank Valuation</x:v>
      </x:c>
      <x:c r="B30" s="35"/>
      <x:c r="C30" s="27"/>
      <x:c r="D30" s="17"/>
    </x:row>
    <x:row r="31">
      <x:c r="A31" s="22" t="str">
        <x:v>Base ROTCE used</x:v>
      </x:c>
      <x:c r="B31" s="68" t="n">
        <x:f>B23</x:f>
        <x:v>0.145</x:v>
      </x:c>
      <x:c r="C31" s="28" t="str">
        <x:v>%</x:v>
      </x:c>
    </x:row>
    <x:row r="32">
      <x:c r="A32" s="22" t="str">
        <x:v>Cost of equity</x:v>
      </x:c>
      <x:c r="B32" s="69" t="n">
        <x:v>0.105</x:v>
      </x:c>
      <x:c r="C32" s="28" t="str">
        <x:v>%</x:v>
      </x:c>
    </x:row>
    <x:row r="33">
      <x:c r="A33" s="22" t="str">
        <x:v>Long-term TBVPS growth</x:v>
      </x:c>
      <x:c r="B33" s="69" t="n">
        <x:v>0.03</x:v>
      </x:c>
      <x:c r="C33" s="28" t="str">
        <x:v>%</x:v>
      </x:c>
    </x:row>
    <x:row r="34">
      <x:c r="A34" s="22" t="str">
        <x:v>Justified price / tangible book value</x:v>
      </x:c>
      <x:c r="B34" s="61" t="n">
        <x:f>(B31-B33)/(B32-B33)</x:f>
        <x:v>1.5333333333333332</x:v>
      </x:c>
      <x:c r="C34" s="28" t="str">
        <x:v>x</x:v>
      </x:c>
    </x:row>
    <x:row r="35">
      <x:c r="A35" s="22" t="str">
        <x:v>Current price / tangible book value</x:v>
      </x:c>
      <x:c r="B35" s="61" t="n">
        <x:f>B9</x:f>
        <x:v>1.9381947532236552</x:v>
      </x:c>
      <x:c r="C35" s="28" t="str">
        <x:v>x</x:v>
      </x:c>
    </x:row>
    <x:row r="36">
      <x:c r="A36" s="22" t="str">
        <x:v>Fair value per share</x:v>
      </x:c>
      <x:c r="B36" s="72" t="n">
        <x:f>B19*B34</x:f>
        <x:v>68.96933333333332</x:v>
      </x:c>
      <x:c r="C36" s="28" t="str">
        <x:v>$ / share</x:v>
      </x:c>
    </x:row>
    <x:row r="37">
      <x:c r="A37" s="22" t="str">
        <x:v>Upside / downside</x:v>
      </x:c>
      <x:c r="B37" s="68" t="n">
        <x:f>B36/B5-1</x:f>
        <x:v>-0.2088858300833526</x:v>
      </x:c>
      <x:c r="C37" s="28" t="str">
        <x:v>%</x:v>
      </x:c>
    </x:row>
    <x:row r="38">
      <x:c r="A38" s="22" t="str">
        <x:v>P/TBV gap</x:v>
      </x:c>
      <x:c r="B38" s="61" t="n">
        <x:f>B34-B35</x:f>
        <x:v>-0.404861419890322</x:v>
      </x:c>
      <x:c r="C38" s="28" t="str">
        <x:v>x</x:v>
      </x:c>
    </x:row>
    <x:row r="41">
      <x:c r="A41" s="17" t="str">
        <x:v>Fair Value Sensitivity</x:v>
      </x:c>
      <x:c r="B41" s="17"/>
      <x:c r="C41" s="17"/>
      <x:c r="D41" s="17"/>
    </x:row>
    <x:row r="42">
      <x:c r="A42" s="48" t="str">
        <x:v>ROTCE / COE</x:v>
      </x:c>
      <x:c r="B42" s="76" t="n">
        <x:v>0.095</x:v>
      </x:c>
      <x:c r="C42" s="76" t="n">
        <x:v>0.1</x:v>
      </x:c>
      <x:c r="D42" s="76" t="n">
        <x:v>0.105</x:v>
      </x:c>
      <x:c r="E42" s="76" t="n">
        <x:v>0.11</x:v>
      </x:c>
      <x:c r="F42" s="76" t="n">
        <x:v>0.115</x:v>
      </x:c>
    </x:row>
    <x:row r="43">
      <x:c r="A43" s="74" t="n">
        <x:f>B31-0.04</x:f>
        <x:v>0.10499999999999998</x:v>
      </x:c>
      <x:c r="B43" s="72" t="n">
        <x:f>$B$19*(($A43-$B$33)/(B$42-$B$33))</x:f>
        <x:v>51.899999999999984</x:v>
      </x:c>
      <x:c r="C43" s="72" t="n">
        <x:f>$B$19*(($A43-$B$33)/(C$42-$B$33))</x:f>
        <x:v>48.19285714285713</x:v>
      </x:c>
      <x:c r="D43" s="72" t="n">
        <x:f>$B$19*(($A43-$B$33)/(D$42-$B$33))</x:f>
        <x:v>44.97999999999999</x:v>
      </x:c>
      <x:c r="E43" s="72" t="n">
        <x:f>$B$19*(($A43-$B$33)/(E$42-$B$33))</x:f>
        <x:v>42.16874999999999</x:v>
      </x:c>
      <x:c r="F43" s="72" t="n">
        <x:f>$B$19*(($A43-$B$33)/(F$42-$B$33))</x:f>
        <x:v>39.68823529411763</x:v>
      </x:c>
    </x:row>
    <x:row r="44">
      <x:c r="A44" s="74" t="n">
        <x:f>B31-0.02</x:f>
        <x:v>0.12499999999999999</x:v>
      </x:c>
      <x:c r="B44" s="72" t="n">
        <x:f>$B$19*(($A44-$B$33)/(B$42-$B$33))</x:f>
        <x:v>65.73999999999998</x:v>
      </x:c>
      <x:c r="C44" s="72" t="n">
        <x:f>$B$19*(($A44-$B$33)/(C$42-$B$33))</x:f>
        <x:v>61.04428571428569</x:v>
      </x:c>
      <x:c r="D44" s="72" t="n">
        <x:f>$B$19*(($A44-$B$33)/(D$42-$B$33))</x:f>
        <x:v>56.97466666666666</x:v>
      </x:c>
      <x:c r="E44" s="72" t="n">
        <x:f>$B$19*(($A44-$B$33)/(E$42-$B$33))</x:f>
        <x:v>53.413749999999986</x:v>
      </x:c>
      <x:c r="F44" s="72" t="n">
        <x:f>$B$19*(($A44-$B$33)/(F$42-$B$33))</x:f>
        <x:v>50.27176470588234</x:v>
      </x:c>
    </x:row>
    <x:row r="45">
      <x:c r="A45" s="74" t="n">
        <x:f>B31</x:f>
        <x:v>0.145</x:v>
      </x:c>
      <x:c r="B45" s="72" t="n">
        <x:f>$B$19*(($A45-$B$33)/(B$42-$B$33))</x:f>
        <x:v>79.57999999999998</x:v>
      </x:c>
      <x:c r="C45" s="72" t="n">
        <x:f>$B$19*(($A45-$B$33)/(C$42-$B$33))</x:f>
        <x:v>73.89571428571426</x:v>
      </x:c>
      <x:c r="D45" s="72" t="n">
        <x:f>$B$19*(($A45-$B$33)/(D$42-$B$33))</x:f>
        <x:v>68.96933333333332</x:v>
      </x:c>
      <x:c r="E45" s="72" t="n">
        <x:f>$B$19*(($A45-$B$33)/(E$42-$B$33))</x:f>
        <x:v>64.65874999999998</x:v>
      </x:c>
      <x:c r="F45" s="72" t="n">
        <x:f>$B$19*(($A45-$B$33)/(F$42-$B$33))</x:f>
        <x:v>60.85529411764705</x:v>
      </x:c>
    </x:row>
    <x:row r="46">
      <x:c r="A46" s="74" t="n">
        <x:f>B31+0.02</x:f>
        <x:v>0.16499999999999998</x:v>
      </x:c>
      <x:c r="B46" s="72" t="n">
        <x:f>$B$19*(($A46-$B$33)/(B$42-$B$33))</x:f>
        <x:v>93.41999999999999</x:v>
      </x:c>
      <x:c r="C46" s="72" t="n">
        <x:f>$B$19*(($A46-$B$33)/(C$42-$B$33))</x:f>
        <x:v>86.74714285714283</x:v>
      </x:c>
      <x:c r="D46" s="72" t="n">
        <x:f>$B$19*(($A46-$B$33)/(D$42-$B$33))</x:f>
        <x:v>80.96399999999998</x:v>
      </x:c>
      <x:c r="E46" s="72" t="n">
        <x:f>$B$19*(($A46-$B$33)/(E$42-$B$33))</x:f>
        <x:v>75.90374999999999</x:v>
      </x:c>
      <x:c r="F46" s="72" t="n">
        <x:f>$B$19*(($A46-$B$33)/(F$42-$B$33))</x:f>
        <x:v>71.43882352941175</x:v>
      </x:c>
    </x:row>
    <x:row r="47">
      <x:c r="A47" s="74" t="n">
        <x:f>B31+0.04</x:f>
        <x:v>0.185</x:v>
      </x:c>
      <x:c r="B47" s="72" t="n">
        <x:f>$B$19*(($A47-$B$33)/(B$42-$B$33))</x:f>
        <x:v>107.25999999999999</x:v>
      </x:c>
      <x:c r="C47" s="72" t="n">
        <x:f>$B$19*(($A47-$B$33)/(C$42-$B$33))</x:f>
        <x:v>99.5985714285714</x:v>
      </x:c>
      <x:c r="D47" s="72" t="n">
        <x:f>$B$19*(($A47-$B$33)/(D$42-$B$33))</x:f>
        <x:v>92.95866666666667</x:v>
      </x:c>
      <x:c r="E47" s="72" t="n">
        <x:f>$B$19*(($A47-$B$33)/(E$42-$B$33))</x:f>
        <x:v>87.14874999999999</x:v>
      </x:c>
      <x:c r="F47" s="72" t="n">
        <x:f>$B$19*(($A47-$B$33)/(F$42-$B$33))</x:f>
        <x:v>82.02235294117646</x:v>
      </x:c>
    </x:row>
  </x:sheetData>
  <x:mergeCells>
    <x:mergeCell ref="A1:D1"/>
    <x:mergeCell ref="A4:D4"/>
    <x:mergeCell ref="A11:D11"/>
    <x:mergeCell ref="A30:D30"/>
    <x:mergeCell ref="A41:D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</x:cols>
  <x:sheetData>
    <x:row r="1" ht="24" customHeight="1">
      <x:c r="A1" s="5" t="str">
        <x:v>The Goldman Sachs Group, Inc. (GS)</x:v>
      </x:c>
      <x:c r="B1" s="5"/>
      <x:c r="C1" s="5"/>
      <x:c r="D1" s="5"/>
    </x:row>
    <x:row r="2">
      <x:c r="A2" s="12" t="str">
        <x:v>Market data as of</x:v>
      </x:c>
      <x:c r="B2" s="12" t="str">
        <x:v>2026-07-07</x:v>
      </x:c>
      <x:c r="C2" s="12" t="str">
        <x:v>Financial period</x:v>
      </x:c>
      <x:c r="D2" s="12" t="str">
        <x:v>1Q26</x:v>
      </x:c>
    </x:row>
    <x:row r="4">
      <x:c r="A4" s="17" t="str">
        <x:v>Market Data</x:v>
      </x:c>
      <x:c r="B4" s="17"/>
      <x:c r="C4" s="17"/>
      <x:c r="D4" s="17"/>
    </x:row>
    <x:row r="5">
      <x:c r="A5" s="22" t="str">
        <x:v>Stock price</x:v>
      </x:c>
      <x:c r="B5" s="56" t="n">
        <x:v>1042.98</x:v>
      </x:c>
      <x:c r="C5" s="28" t="str">
        <x:v>$ / share</x:v>
      </x:c>
    </x:row>
    <x:row r="6">
      <x:c r="A6" s="22" t="str">
        <x:v>Market capitalization</x:v>
      </x:c>
      <x:c r="B6" s="58" t="n">
        <x:v>321237.84</x:v>
      </x:c>
      <x:c r="C6" s="28" t="str">
        <x:v>$mm</x:v>
      </x:c>
    </x:row>
    <x:row r="7">
      <x:c r="A7" s="22" t="str">
        <x:v>Price / earnings</x:v>
      </x:c>
      <x:c r="B7" s="60" t="n">
        <x:v>19.04986301369863</x:v>
      </x:c>
      <x:c r="C7" s="28" t="str">
        <x:v>x</x:v>
      </x:c>
    </x:row>
    <x:row r="8">
      <x:c r="A8" s="22" t="str">
        <x:v>Current price / book value</x:v>
      </x:c>
      <x:c r="B8" s="61" t="n">
        <x:f>B5/B18</x:f>
        <x:v>2.8876214734627204</x:v>
      </x:c>
      <x:c r="C8" s="28" t="str">
        <x:v>x</x:v>
      </x:c>
    </x:row>
    <x:row r="9">
      <x:c r="A9" s="22" t="str">
        <x:v>Current price / tangible book value</x:v>
      </x:c>
      <x:c r="B9" s="61" t="n">
        <x:f>B5/B19</x:f>
        <x:v>3.10152254073986</x:v>
      </x:c>
      <x:c r="C9" s="28" t="str">
        <x:v>x</x:v>
      </x:c>
    </x:row>
    <x:row r="10">
      <x:c r="A10" s="22"/>
      <x:c r="B10" s="34"/>
      <x:c r="C10" s="28"/>
    </x:row>
    <x:row r="11">
      <x:c r="A11" s="21" t="str">
        <x:v>Latest Financials</x:v>
      </x:c>
      <x:c r="B11" s="35"/>
      <x:c r="C11" s="27"/>
      <x:c r="D11" s="17"/>
    </x:row>
    <x:row r="12">
      <x:c r="A12" s="22" t="str">
        <x:v>Revenue</x:v>
      </x:c>
      <x:c r="B12" s="58" t="n">
        <x:v>17227</x:v>
      </x:c>
      <x:c r="C12" s="28" t="str">
        <x:v>$mm</x:v>
      </x:c>
    </x:row>
    <x:row r="13">
      <x:c r="A13" s="22" t="str">
        <x:v>Net income</x:v>
      </x:c>
      <x:c r="B13" s="58" t="n">
        <x:v>5630</x:v>
      </x:c>
      <x:c r="C13" s="28" t="str">
        <x:v>$mm</x:v>
      </x:c>
    </x:row>
    <x:row r="14">
      <x:c r="A14" s="22" t="str">
        <x:v>Net income to common</x:v>
      </x:c>
      <x:c r="B14" s="58" t="n">
        <x:v>5403</x:v>
      </x:c>
      <x:c r="C14" s="28" t="str">
        <x:v>$mm</x:v>
      </x:c>
    </x:row>
    <x:row r="15">
      <x:c r="A15" s="22" t="str">
        <x:v>Diluted EPS</x:v>
      </x:c>
      <x:c r="B15" s="56" t="n">
        <x:v>17.55</x:v>
      </x:c>
      <x:c r="C15" s="28" t="str">
        <x:v>$ / share</x:v>
      </x:c>
    </x:row>
    <x:row r="16">
      <x:c r="A16" s="22" t="str">
        <x:v>Average diluted shares</x:v>
      </x:c>
      <x:c r="B16" s="64" t="n">
        <x:v>308</x:v>
      </x:c>
      <x:c r="C16" s="28" t="str">
        <x:v>mm</x:v>
      </x:c>
    </x:row>
    <x:row r="17">
      <x:c r="A17" s="22" t="str">
        <x:v>Period-end common shares</x:v>
      </x:c>
      <x:c r="B17" s="64" t="n">
        <x:v>302</x:v>
      </x:c>
      <x:c r="C17" s="28" t="str">
        <x:v>mm</x:v>
      </x:c>
    </x:row>
    <x:row r="18">
      <x:c r="A18" s="22" t="str">
        <x:v>Book value per share</x:v>
      </x:c>
      <x:c r="B18" s="56" t="n">
        <x:v>361.19</x:v>
      </x:c>
      <x:c r="C18" s="28" t="str">
        <x:v>$ / share</x:v>
      </x:c>
    </x:row>
    <x:row r="19">
      <x:c r="A19" s="22" t="str">
        <x:v>Tangible book value per share</x:v>
      </x:c>
      <x:c r="B19" s="56" t="n">
        <x:v>336.28</x:v>
      </x:c>
      <x:c r="C19" s="28" t="str">
        <x:v>$ / share</x:v>
      </x:c>
    </x:row>
    <x:row r="20">
      <x:c r="A20" s="22" t="str">
        <x:v>Tangible common equity</x:v>
      </x:c>
      <x:c r="B20" s="58" t="n">
        <x:v>101557</x:v>
      </x:c>
      <x:c r="C20" s="28" t="str">
        <x:v>$mm</x:v>
      </x:c>
    </x:row>
    <x:row r="21">
      <x:c r="A21" s="22" t="str">
        <x:v>Average tangible common equity</x:v>
      </x:c>
      <x:c r="B21" s="58" t="n">
        <x:v>101537</x:v>
      </x:c>
      <x:c r="C21" s="28" t="str">
        <x:v>$mm</x:v>
      </x:c>
    </x:row>
    <x:row r="22">
      <x:c r="A22" s="22" t="str">
        <x:v>Return on common equity</x:v>
      </x:c>
      <x:c r="B22" s="66" t="n">
        <x:v>0.198</x:v>
      </x:c>
      <x:c r="C22" s="28" t="str">
        <x:v>%</x:v>
      </x:c>
    </x:row>
    <x:row r="23">
      <x:c r="A23" s="22" t="str">
        <x:v>Return on tangible common equity</x:v>
      </x:c>
      <x:c r="B23" s="66" t="n">
        <x:v>0.213</x:v>
      </x:c>
      <x:c r="C23" s="28" t="str">
        <x:v>%</x:v>
      </x:c>
    </x:row>
    <x:row r="24">
      <x:c r="A24" s="22" t="str">
        <x:v>Common equity tier 1 ratio</x:v>
      </x:c>
      <x:c r="B24" s="66" t="n">
        <x:v>0.125</x:v>
      </x:c>
      <x:c r="C24" s="28" t="str">
        <x:v>%</x:v>
      </x:c>
    </x:row>
    <x:row r="25">
      <x:c r="A25" s="22" t="str">
        <x:v>Total assets</x:v>
      </x:c>
      <x:c r="B25" s="58" t="n">
        <x:v>2062000</x:v>
      </x:c>
      <x:c r="C25" s="28" t="str">
        <x:v>$mm</x:v>
      </x:c>
    </x:row>
    <x:row r="26">
      <x:c r="A26" s="22" t="str">
        <x:v>Loans</x:v>
      </x:c>
      <x:c r="B26" s="58" t="n">
        <x:v>253000</x:v>
      </x:c>
      <x:c r="C26" s="28" t="str">
        <x:v>$mm</x:v>
      </x:c>
    </x:row>
    <x:row r="27">
      <x:c r="A27" s="22" t="str">
        <x:v>Deposits</x:v>
      </x:c>
      <x:c r="B27" s="58" t="n">
        <x:v>561000</x:v>
      </x:c>
      <x:c r="C27" s="28" t="str">
        <x:v>$mm</x:v>
      </x:c>
    </x:row>
    <x:row r="28">
      <x:c r="A28" s="22" t="str">
        <x:v>Efficiency ratio</x:v>
      </x:c>
      <x:c r="B28" s="66" t="n">
        <x:v>0.605</x:v>
      </x:c>
      <x:c r="C28" s="28" t="str">
        <x:v>%</x:v>
      </x:c>
    </x:row>
    <x:row r="29">
      <x:c r="A29" s="22" t="str">
        <x:v>Net interest margin</x:v>
      </x:c>
      <x:c r="B29" s="66"/>
      <x:c r="C29" s="28" t="str"/>
    </x:row>
    <x:row r="30">
      <x:c r="A30" s="21" t="str">
        <x:v>Bank Valuation</x:v>
      </x:c>
      <x:c r="B30" s="35"/>
      <x:c r="C30" s="27"/>
      <x:c r="D30" s="17"/>
    </x:row>
    <x:row r="31">
      <x:c r="A31" s="22" t="str">
        <x:v>Base ROTCE used</x:v>
      </x:c>
      <x:c r="B31" s="68" t="n">
        <x:f>B23</x:f>
        <x:v>0.213</x:v>
      </x:c>
      <x:c r="C31" s="28" t="str">
        <x:v>%</x:v>
      </x:c>
    </x:row>
    <x:row r="32">
      <x:c r="A32" s="22" t="str">
        <x:v>Cost of equity</x:v>
      </x:c>
      <x:c r="B32" s="69" t="n">
        <x:v>0.115</x:v>
      </x:c>
      <x:c r="C32" s="28" t="str">
        <x:v>%</x:v>
      </x:c>
    </x:row>
    <x:row r="33">
      <x:c r="A33" s="22" t="str">
        <x:v>Long-term TBVPS growth</x:v>
      </x:c>
      <x:c r="B33" s="69" t="n">
        <x:v>0.03</x:v>
      </x:c>
      <x:c r="C33" s="28" t="str">
        <x:v>%</x:v>
      </x:c>
    </x:row>
    <x:row r="34">
      <x:c r="A34" s="22" t="str">
        <x:v>Justified price / tangible book value</x:v>
      </x:c>
      <x:c r="B34" s="61" t="n">
        <x:f>(B31-B33)/(B32-B33)</x:f>
        <x:v>2.152941176470588</x:v>
      </x:c>
      <x:c r="C34" s="28" t="str">
        <x:v>x</x:v>
      </x:c>
    </x:row>
    <x:row r="35">
      <x:c r="A35" s="22" t="str">
        <x:v>Current price / tangible book value</x:v>
      </x:c>
      <x:c r="B35" s="61" t="n">
        <x:f>B9</x:f>
        <x:v>3.10152254073986</x:v>
      </x:c>
      <x:c r="C35" s="28" t="str">
        <x:v>x</x:v>
      </x:c>
    </x:row>
    <x:row r="36">
      <x:c r="A36" s="22" t="str">
        <x:v>Fair value per share</x:v>
      </x:c>
      <x:c r="B36" s="72" t="n">
        <x:f>B19*B34</x:f>
        <x:v>723.9910588235293</x:v>
      </x:c>
      <x:c r="C36" s="28" t="str">
        <x:v>$ / share</x:v>
      </x:c>
    </x:row>
    <x:row r="37">
      <x:c r="A37" s="22" t="str">
        <x:v>Upside / downside</x:v>
      </x:c>
      <x:c r="B37" s="68" t="n">
        <x:f>B36/B5-1</x:f>
        <x:v>-0.30584377569701304</x:v>
      </x:c>
      <x:c r="C37" s="28" t="str">
        <x:v>%</x:v>
      </x:c>
    </x:row>
    <x:row r="38">
      <x:c r="A38" s="22" t="str">
        <x:v>P/TBV gap</x:v>
      </x:c>
      <x:c r="B38" s="61" t="n">
        <x:f>B34-B35</x:f>
        <x:v>-0.948581364269272</x:v>
      </x:c>
      <x:c r="C38" s="28" t="str">
        <x:v>x</x:v>
      </x:c>
    </x:row>
    <x:row r="41">
      <x:c r="A41" s="17" t="str">
        <x:v>Fair Value Sensitivity</x:v>
      </x:c>
      <x:c r="B41" s="17"/>
      <x:c r="C41" s="17"/>
      <x:c r="D41" s="17"/>
    </x:row>
    <x:row r="42">
      <x:c r="A42" s="48" t="str">
        <x:v>ROTCE / COE</x:v>
      </x:c>
      <x:c r="B42" s="76" t="n">
        <x:v>0.095</x:v>
      </x:c>
      <x:c r="C42" s="76" t="n">
        <x:v>0.1</x:v>
      </x:c>
      <x:c r="D42" s="76" t="n">
        <x:v>0.105</x:v>
      </x:c>
      <x:c r="E42" s="76" t="n">
        <x:v>0.11</x:v>
      </x:c>
      <x:c r="F42" s="76" t="n">
        <x:v>0.115</x:v>
      </x:c>
    </x:row>
    <x:row r="43">
      <x:c r="A43" s="74" t="n">
        <x:f>B31-0.04</x:f>
        <x:v>0.173</x:v>
      </x:c>
      <x:c r="B43" s="72" t="n">
        <x:f>$B$19*(($A43-$B$33)/(B$42-$B$33))</x:f>
        <x:v>739.8159999999998</x:v>
      </x:c>
      <x:c r="C43" s="72" t="n">
        <x:f>$B$19*(($A43-$B$33)/(C$42-$B$33))</x:f>
        <x:v>686.9719999999999</x:v>
      </x:c>
      <x:c r="D43" s="72" t="n">
        <x:f>$B$19*(($A43-$B$33)/(D$42-$B$33))</x:f>
        <x:v>641.1738666666665</x:v>
      </x:c>
      <x:c r="E43" s="72" t="n">
        <x:f>$B$19*(($A43-$B$33)/(E$42-$B$33))</x:f>
        <x:v>601.1004999999999</x:v>
      </x:c>
      <x:c r="F43" s="72" t="n">
        <x:f>$B$19*(($A43-$B$33)/(F$42-$B$33))</x:f>
        <x:v>565.7416470588234</x:v>
      </x:c>
    </x:row>
    <x:row r="44">
      <x:c r="A44" s="74" t="n">
        <x:f>B31-0.02</x:f>
        <x:v>0.193</x:v>
      </x:c>
      <x:c r="B44" s="72" t="n">
        <x:f>$B$19*(($A44-$B$33)/(B$42-$B$33))</x:f>
        <x:v>843.2867692307692</x:v>
      </x:c>
      <x:c r="C44" s="72" t="n">
        <x:f>$B$19*(($A44-$B$33)/(C$42-$B$33))</x:f>
        <x:v>783.0519999999998</x:v>
      </x:c>
      <x:c r="D44" s="72" t="n">
        <x:f>$B$19*(($A44-$B$33)/(D$42-$B$33))</x:f>
        <x:v>730.8485333333333</x:v>
      </x:c>
      <x:c r="E44" s="72" t="n">
        <x:f>$B$19*(($A44-$B$33)/(E$42-$B$33))</x:f>
        <x:v>685.1705</x:v>
      </x:c>
      <x:c r="F44" s="72" t="n">
        <x:f>$B$19*(($A44-$B$33)/(F$42-$B$33))</x:f>
        <x:v>644.8663529411764</x:v>
      </x:c>
    </x:row>
    <x:row r="45">
      <x:c r="A45" s="74" t="n">
        <x:f>B31</x:f>
        <x:v>0.213</x:v>
      </x:c>
      <x:c r="B45" s="72" t="n">
        <x:f>$B$19*(($A45-$B$33)/(B$42-$B$33))</x:f>
        <x:v>946.7575384615383</x:v>
      </x:c>
      <x:c r="C45" s="72" t="n">
        <x:f>$B$19*(($A45-$B$33)/(C$42-$B$33))</x:f>
        <x:v>879.1319999999998</x:v>
      </x:c>
      <x:c r="D45" s="72" t="n">
        <x:f>$B$19*(($A45-$B$33)/(D$42-$B$33))</x:f>
        <x:v>820.5231999999999</x:v>
      </x:c>
      <x:c r="E45" s="72" t="n">
        <x:f>$B$19*(($A45-$B$33)/(E$42-$B$33))</x:f>
        <x:v>769.2405</x:v>
      </x:c>
      <x:c r="F45" s="72" t="n">
        <x:f>$B$19*(($A45-$B$33)/(F$42-$B$33))</x:f>
        <x:v>723.9910588235293</x:v>
      </x:c>
    </x:row>
    <x:row r="46">
      <x:c r="A46" s="74" t="n">
        <x:f>B31+0.02</x:f>
        <x:v>0.23299999999999998</x:v>
      </x:c>
      <x:c r="B46" s="72" t="n">
        <x:f>$B$19*(($A46-$B$33)/(B$42-$B$33))</x:f>
        <x:v>1050.2283076923075</x:v>
      </x:c>
      <x:c r="C46" s="72" t="n">
        <x:f>$B$19*(($A46-$B$33)/(C$42-$B$33))</x:f>
        <x:v>975.2119999999998</x:v>
      </x:c>
      <x:c r="D46" s="72" t="n">
        <x:f>$B$19*(($A46-$B$33)/(D$42-$B$33))</x:f>
        <x:v>910.1978666666665</x:v>
      </x:c>
      <x:c r="E46" s="72" t="n">
        <x:f>$B$19*(($A46-$B$33)/(E$42-$B$33))</x:f>
        <x:v>853.3104999999998</x:v>
      </x:c>
      <x:c r="F46" s="72" t="n">
        <x:f>$B$19*(($A46-$B$33)/(F$42-$B$33))</x:f>
        <x:v>803.1157647058822</x:v>
      </x:c>
    </x:row>
    <x:row r="47">
      <x:c r="A47" s="74" t="n">
        <x:f>B31+0.04</x:f>
        <x:v>0.253</x:v>
      </x:c>
      <x:c r="B47" s="72" t="n">
        <x:f>$B$19*(($A47-$B$33)/(B$42-$B$33))</x:f>
        <x:v>1153.6990769230767</x:v>
      </x:c>
      <x:c r="C47" s="72" t="n">
        <x:f>$B$19*(($A47-$B$33)/(C$42-$B$33))</x:f>
        <x:v>1071.292</x:v>
      </x:c>
      <x:c r="D47" s="72" t="n">
        <x:f>$B$19*(($A47-$B$33)/(D$42-$B$33))</x:f>
        <x:v>999.8725333333333</x:v>
      </x:c>
      <x:c r="E47" s="72" t="n">
        <x:f>$B$19*(($A47-$B$33)/(E$42-$B$33))</x:f>
        <x:v>937.3805</x:v>
      </x:c>
      <x:c r="F47" s="72" t="n">
        <x:f>$B$19*(($A47-$B$33)/(F$42-$B$33))</x:f>
        <x:v>882.2404705882352</x:v>
      </x:c>
    </x:row>
  </x:sheetData>
  <x:mergeCells>
    <x:mergeCell ref="A1:D1"/>
    <x:mergeCell ref="A4:D4"/>
    <x:mergeCell ref="A11:D11"/>
    <x:mergeCell ref="A30:D30"/>
    <x:mergeCell ref="A41:D41"/>
  </x:mergeCells>
  <x:pageMargins left="0.7" right="0.7" top="0.75" bottom="0.75" header="0.3" footer="0.3"/>
</x:worksheet>
</file>