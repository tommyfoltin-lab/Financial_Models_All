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Control" sheetId="1" state="visible" r:id="rId1"/>
    <sheet xmlns:r="http://schemas.openxmlformats.org/officeDocument/2006/relationships" name="01 Dashboard" sheetId="2" state="visible" r:id="rId2"/>
    <sheet xmlns:r="http://schemas.openxmlformats.org/officeDocument/2006/relationships" name="02 Scenario Manager" sheetId="3" state="visible" r:id="rId3"/>
    <sheet xmlns:r="http://schemas.openxmlformats.org/officeDocument/2006/relationships" name="03 Revenue Build" sheetId="4" state="visible" r:id="rId4"/>
    <sheet xmlns:r="http://schemas.openxmlformats.org/officeDocument/2006/relationships" name="04 Installed Base" sheetId="5" state="visible" r:id="rId5"/>
    <sheet xmlns:r="http://schemas.openxmlformats.org/officeDocument/2006/relationships" name="05 CS3 Systems" sheetId="6" state="visible" r:id="rId6"/>
    <sheet xmlns:r="http://schemas.openxmlformats.org/officeDocument/2006/relationships" name="06 CS3 Clusters" sheetId="7" state="visible" r:id="rId7"/>
    <sheet xmlns:r="http://schemas.openxmlformats.org/officeDocument/2006/relationships" name="07 Cloud Revenue" sheetId="8" state="visible" r:id="rId8"/>
    <sheet xmlns:r="http://schemas.openxmlformats.org/officeDocument/2006/relationships" name="08 Services Support" sheetId="9" state="visible" r:id="rId9"/>
    <sheet xmlns:r="http://schemas.openxmlformats.org/officeDocument/2006/relationships" name="09 Wafer Die" sheetId="10" state="visible" r:id="rId10"/>
    <sheet xmlns:r="http://schemas.openxmlformats.org/officeDocument/2006/relationships" name="10 Yield Packaging" sheetId="11" state="visible" r:id="rId11"/>
    <sheet xmlns:r="http://schemas.openxmlformats.org/officeDocument/2006/relationships" name="11 MemoryX" sheetId="12" state="visible" r:id="rId12"/>
    <sheet xmlns:r="http://schemas.openxmlformats.org/officeDocument/2006/relationships" name="12 SwarmX" sheetId="13" state="visible" r:id="rId13"/>
    <sheet xmlns:r="http://schemas.openxmlformats.org/officeDocument/2006/relationships" name="13 Hardware Other" sheetId="14" state="visible" r:id="rId14"/>
    <sheet xmlns:r="http://schemas.openxmlformats.org/officeDocument/2006/relationships" name="14 COGS" sheetId="15" state="visible" r:id="rId15"/>
    <sheet xmlns:r="http://schemas.openxmlformats.org/officeDocument/2006/relationships" name="15 Headcount" sheetId="16" state="visible" r:id="rId16"/>
    <sheet xmlns:r="http://schemas.openxmlformats.org/officeDocument/2006/relationships" name="16 R&amp;D Teams" sheetId="17" state="visible" r:id="rId17"/>
    <sheet xmlns:r="http://schemas.openxmlformats.org/officeDocument/2006/relationships" name="17 OpEx" sheetId="18" state="visible" r:id="rId18"/>
    <sheet xmlns:r="http://schemas.openxmlformats.org/officeDocument/2006/relationships" name="18 CapEx" sheetId="19" state="visible" r:id="rId19"/>
    <sheet xmlns:r="http://schemas.openxmlformats.org/officeDocument/2006/relationships" name="19 Depreciation" sheetId="20" state="visible" r:id="rId20"/>
    <sheet xmlns:r="http://schemas.openxmlformats.org/officeDocument/2006/relationships" name="20 Working Capital" sheetId="21" state="visible" r:id="rId21"/>
    <sheet xmlns:r="http://schemas.openxmlformats.org/officeDocument/2006/relationships" name="21 Income Statement" sheetId="22" state="visible" r:id="rId22"/>
    <sheet xmlns:r="http://schemas.openxmlformats.org/officeDocument/2006/relationships" name="22 Balance Sheet" sheetId="23" state="visible" r:id="rId23"/>
    <sheet xmlns:r="http://schemas.openxmlformats.org/officeDocument/2006/relationships" name="23 Cash Flow" sheetId="24" state="visible" r:id="rId24"/>
    <sheet xmlns:r="http://schemas.openxmlformats.org/officeDocument/2006/relationships" name="24 DCF Valuation" sheetId="25" state="visible" r:id="rId25"/>
    <sheet xmlns:r="http://schemas.openxmlformats.org/officeDocument/2006/relationships" name="25 Checks" sheetId="26" state="visible" r:id="rId26"/>
    <sheet xmlns:r="http://schemas.openxmlformats.org/officeDocument/2006/relationships" name="26 Sources" sheetId="27" state="visible" r:id="rId27"/>
  </sheets>
  <definedNames/>
</workbook>
</file>

<file path=xl/styles.xml><?xml version="1.0" encoding="utf-8"?>
<styleSheet xmlns="http://schemas.openxmlformats.org/spreadsheetml/2006/main">
  <numFmts count="10">
    <numFmt numFmtId="164" formatCode="0.0%;[Red](0.0%);-"/>
    <numFmt numFmtId="165" formatCode="#,##0;[Red](#,##0);-"/>
    <numFmt numFmtId="166" formatCode="#,##0.0;[Red](#,##0.0);-"/>
    <numFmt numFmtId="167" formatCode="0.0%"/>
    <numFmt numFmtId="168" formatCode="0.0&quot;x&quot;"/>
    <numFmt numFmtId="169" formatCode="#,##0;(#,##0)"/>
    <numFmt numFmtId="170" formatCode="#,##0.000"/>
    <numFmt numFmtId="171" formatCode="#,##0.0000"/>
    <numFmt numFmtId="172" formatCode="0.000"/>
    <numFmt numFmtId="173" formatCode="&quot;$&quot;#,##0.00"/>
  </numFmts>
  <fonts count="18">
    <font>
      <name val="Carlito"/>
      <sz val="11"/>
    </font>
    <font>
      <name val="Carlito"/>
      <b val="1"/>
      <color rgb="FFFFFFFF"/>
      <sz val="12"/>
    </font>
    <font>
      <name val="Carlito"/>
      <i val="1"/>
      <sz val="11"/>
    </font>
    <font>
      <name val="Carlito"/>
      <b val="1"/>
      <sz val="11"/>
    </font>
    <font>
      <name val="Carlito"/>
      <color rgb="FF0000FF"/>
      <sz val="11"/>
    </font>
    <font>
      <name val="Carlito"/>
      <b val="1"/>
      <color rgb="FFFFFFFF"/>
      <sz val="11"/>
    </font>
    <font>
      <name val="Carlito"/>
      <color rgb="FF008000"/>
      <sz val="11"/>
    </font>
    <font>
      <name val="Carlito"/>
      <color rgb="FF000000"/>
      <sz val="11"/>
    </font>
    <font>
      <color rgb="000000CC"/>
    </font>
    <font>
      <color rgb="00008000"/>
    </font>
    <font>
      <color rgb="00000000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rlito"/>
      <b val="1"/>
      <color rgb="FF008000"/>
      <sz val="11"/>
    </font>
    <font>
      <name val="Carlito"/>
      <b val="1"/>
      <color rgb="FF000000"/>
      <sz val="11"/>
    </font>
    <font>
      <name val="Calibri"/>
      <b val="1"/>
      <color rgb="00000000"/>
      <sz val="11"/>
    </font>
    <font>
      <name val="Calibri"/>
      <b val="1"/>
      <color rgb="00008000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4">
    <border/>
    <border/>
    <border>
      <bottom style="medium">
        <color rgb="001F3864"/>
      </bottom>
    </border>
    <border>
      <top style="thin">
        <color rgb="00808080"/>
      </top>
    </border>
  </borders>
  <cellStyleXfs count="1">
    <xf numFmtId="0" fontId="0" fillId="0" borderId="1"/>
  </cellStyleXfs>
  <cellXfs count="1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right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3" fillId="0" borderId="0" pivotButton="0" quotePrefix="0" xfId="0"/>
    <xf numFmtId="0" fontId="3" fillId="0" borderId="1" pivotButton="0" quotePrefix="0" xfId="0"/>
    <xf numFmtId="0" fontId="5" fillId="2" borderId="0" pivotButton="0" quotePrefix="0" xfId="0"/>
    <xf numFmtId="0" fontId="5" fillId="2" borderId="1" pivotButton="0" quotePrefix="0" xfId="0"/>
    <xf numFmtId="164" fontId="4" fillId="5" borderId="0" pivotButton="0" quotePrefix="0" xfId="0"/>
    <xf numFmtId="164" fontId="4" fillId="5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7" fillId="0" borderId="1" pivotButton="0" quotePrefix="0" xfId="0"/>
    <xf numFmtId="165" fontId="6" fillId="0" borderId="0" pivotButton="0" quotePrefix="0" xfId="0"/>
    <xf numFmtId="165" fontId="7" fillId="0" borderId="0" pivotButton="0" quotePrefix="0" xfId="0"/>
    <xf numFmtId="165" fontId="6" fillId="0" borderId="1" pivotButton="0" quotePrefix="0" xfId="0"/>
    <xf numFmtId="165" fontId="7" fillId="0" borderId="1" pivotButton="0" quotePrefix="0" xfId="0"/>
    <xf numFmtId="164" fontId="7" fillId="0" borderId="0" pivotButton="0" quotePrefix="0" xfId="0"/>
    <xf numFmtId="164" fontId="7" fillId="0" borderId="1" pivotButton="0" quotePrefix="0" xfId="0"/>
    <xf numFmtId="165" fontId="4" fillId="5" borderId="0" pivotButton="0" quotePrefix="0" xfId="0"/>
    <xf numFmtId="165" fontId="4" fillId="5" borderId="1" pivotButton="0" quotePrefix="0" xfId="0"/>
    <xf numFmtId="164" fontId="6" fillId="0" borderId="0" pivotButton="0" quotePrefix="0" xfId="0"/>
    <xf numFmtId="164" fontId="6" fillId="0" borderId="1" pivotButton="0" quotePrefix="0" xfId="0"/>
    <xf numFmtId="0" fontId="7" fillId="5" borderId="0" pivotButton="0" quotePrefix="0" xfId="0"/>
    <xf numFmtId="0" fontId="7" fillId="5" borderId="1" pivotButton="0" quotePrefix="0" xfId="0"/>
    <xf numFmtId="164" fontId="7" fillId="5" borderId="0" pivotButton="0" quotePrefix="0" xfId="0"/>
    <xf numFmtId="164" fontId="7" fillId="5" borderId="1" pivotButton="0" quotePrefix="0" xfId="0"/>
    <xf numFmtId="166" fontId="7" fillId="0" borderId="0" pivotButton="0" quotePrefix="0" xfId="0"/>
    <xf numFmtId="166" fontId="7" fillId="0" borderId="1" pivotButton="0" quotePrefix="0" xfId="0"/>
    <xf numFmtId="165" fontId="1" fillId="2" borderId="0" applyAlignment="1" pivotButton="0" quotePrefix="0" xfId="0">
      <alignment horizontal="left"/>
    </xf>
    <xf numFmtId="165" fontId="1" fillId="2" borderId="1" applyAlignment="1" pivotButton="0" quotePrefix="0" xfId="0">
      <alignment horizontal="left"/>
    </xf>
    <xf numFmtId="0" fontId="1" fillId="2" borderId="0" applyAlignment="1" pivotButton="0" quotePrefix="0" xfId="0">
      <alignment horizontal="left" wrapText="1"/>
    </xf>
    <xf numFmtId="165" fontId="1" fillId="2" borderId="0" applyAlignment="1" pivotButton="0" quotePrefix="0" xfId="0">
      <alignment horizontal="left"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horizontal="left" wrapText="1"/>
    </xf>
    <xf numFmtId="165" fontId="1" fillId="2" borderId="1" applyAlignment="1" pivotButton="0" quotePrefix="0" xfId="0">
      <alignment horizontal="left" wrapText="1"/>
    </xf>
    <xf numFmtId="0" fontId="2" fillId="3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0" fontId="11" fillId="6" borderId="1" applyAlignment="1" pivotButton="0" quotePrefix="0" xfId="0">
      <alignment horizontal="left"/>
    </xf>
    <xf numFmtId="0" fontId="0" fillId="6" borderId="1" pivotButton="0" quotePrefix="0" xfId="0"/>
    <xf numFmtId="0" fontId="12" fillId="3" borderId="0" applyAlignment="1" pivotButton="0" quotePrefix="0" xfId="0">
      <alignment wrapText="1"/>
    </xf>
    <xf numFmtId="0" fontId="12" fillId="3" borderId="1" applyAlignment="1" pivotButton="0" quotePrefix="0" xfId="0">
      <alignment wrapText="1"/>
    </xf>
    <xf numFmtId="0" fontId="13" fillId="7" borderId="2" applyAlignment="1" pivotButton="0" quotePrefix="0" xfId="0">
      <alignment horizontal="left"/>
    </xf>
    <xf numFmtId="0" fontId="13" fillId="7" borderId="2" applyAlignment="1" pivotButton="0" quotePrefix="0" xfId="0">
      <alignment horizontal="center"/>
    </xf>
    <xf numFmtId="1" fontId="4" fillId="5" borderId="0" applyAlignment="1" pivotButton="0" quotePrefix="0" xfId="0">
      <alignment horizontal="right"/>
    </xf>
    <xf numFmtId="167" fontId="4" fillId="5" borderId="0" applyAlignment="1" pivotButton="0" quotePrefix="0" xfId="0">
      <alignment horizontal="right"/>
    </xf>
    <xf numFmtId="168" fontId="4" fillId="5" borderId="0" applyAlignment="1" pivotButton="0" quotePrefix="0" xfId="0">
      <alignment horizontal="right"/>
    </xf>
    <xf numFmtId="169" fontId="8" fillId="5" borderId="0" applyAlignment="1" pivotButton="0" quotePrefix="0" xfId="0">
      <alignment horizontal="right"/>
    </xf>
    <xf numFmtId="3" fontId="8" fillId="5" borderId="0" applyAlignment="1" pivotButton="0" quotePrefix="0" xfId="0">
      <alignment horizontal="right"/>
    </xf>
    <xf numFmtId="3" fontId="4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9" fontId="14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173" fontId="14" fillId="0" borderId="3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7" fontId="8" fillId="5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right"/>
    </xf>
    <xf numFmtId="169" fontId="7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3" fontId="15" fillId="0" borderId="3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69" fontId="15" fillId="0" borderId="3" applyAlignment="1" pivotButton="0" quotePrefix="0" xfId="0">
      <alignment horizontal="right"/>
    </xf>
    <xf numFmtId="4" fontId="8" fillId="5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3" fontId="9" fillId="5" borderId="0" applyAlignment="1" pivotButton="0" quotePrefix="0" xfId="0">
      <alignment horizontal="right"/>
    </xf>
    <xf numFmtId="3" fontId="10" fillId="0" borderId="0" applyAlignment="1" pivotButton="0" quotePrefix="0" xfId="0">
      <alignment horizontal="right"/>
    </xf>
    <xf numFmtId="167" fontId="10" fillId="5" borderId="0" applyAlignment="1" pivotButton="0" quotePrefix="0" xfId="0">
      <alignment horizontal="right"/>
    </xf>
    <xf numFmtId="4" fontId="8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4" fontId="7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70" fontId="8" fillId="5" borderId="0" applyAlignment="1" pivotButton="0" quotePrefix="0" xfId="0">
      <alignment horizontal="right"/>
    </xf>
    <xf numFmtId="169" fontId="10" fillId="5" borderId="0" applyAlignment="1" pivotButton="0" quotePrefix="0" xfId="0">
      <alignment horizontal="right"/>
    </xf>
    <xf numFmtId="170" fontId="8" fillId="0" borderId="0" applyAlignment="1" pivotButton="0" quotePrefix="0" xfId="0">
      <alignment horizontal="right"/>
    </xf>
    <xf numFmtId="169" fontId="16" fillId="0" borderId="3" applyAlignment="1" pivotButton="0" quotePrefix="0" xfId="0">
      <alignment horizontal="right"/>
    </xf>
    <xf numFmtId="171" fontId="8" fillId="5" borderId="0" applyAlignment="1" pivotButton="0" quotePrefix="0" xfId="0">
      <alignment horizontal="right"/>
    </xf>
    <xf numFmtId="167" fontId="16" fillId="0" borderId="3" applyAlignment="1" pivotButton="0" quotePrefix="0" xfId="0">
      <alignment horizontal="right"/>
    </xf>
    <xf numFmtId="3" fontId="15" fillId="5" borderId="3" applyAlignment="1" pivotButton="0" quotePrefix="0" xfId="0">
      <alignment horizontal="right"/>
    </xf>
    <xf numFmtId="169" fontId="4" fillId="5" borderId="0" applyAlignment="1" pivotButton="0" quotePrefix="0" xfId="0">
      <alignment horizontal="right"/>
    </xf>
    <xf numFmtId="1" fontId="8" fillId="5" borderId="0" applyAlignment="1" pivotButton="0" quotePrefix="0" xfId="0">
      <alignment horizontal="right"/>
    </xf>
    <xf numFmtId="169" fontId="8" fillId="0" borderId="0" applyAlignment="1" pivotButton="0" quotePrefix="0" xfId="0">
      <alignment horizontal="right"/>
    </xf>
    <xf numFmtId="169" fontId="17" fillId="0" borderId="3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72" fontId="7" fillId="0" borderId="0" applyAlignment="1" pivotButton="0" quotePrefix="0" xfId="0">
      <alignment horizontal="right"/>
    </xf>
    <xf numFmtId="173" fontId="15" fillId="0" borderId="3" applyAlignment="1" pivotButton="0" quotePrefix="0" xfId="0">
      <alignment horizontal="right"/>
    </xf>
    <xf numFmtId="0" fontId="13" fillId="7" borderId="0" pivotButton="0" quotePrefix="0" xfId="0"/>
    <xf numFmtId="0" fontId="13" fillId="7" borderId="0" applyAlignment="1" pivotButton="0" quotePrefix="0" xfId="0">
      <alignment horizontal="right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Gross Profit</v>
          </tx>
          <spPr>
            <a:ln xmlns:a="http://schemas.openxmlformats.org/drawingml/2006/main">
              <a:prstDash val="solid"/>
            </a:ln>
          </spPr>
          <cat>
            <strRef>
              <f>'01 Dashboard'!$D$5</f>
              <strCache>
                <ptCount val="0"/>
              </strCache>
            </strRef>
          </cat>
          <val>
            <numRef>
              <f>'01 Dashboard'!$E$5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EBIT</v>
          </tx>
          <spPr>
            <a:ln xmlns:a="http://schemas.openxmlformats.org/drawingml/2006/main">
              <a:prstDash val="solid"/>
            </a:ln>
          </spPr>
          <cat>
            <strRef>
              <f>'01 Dashboard'!$D$5</f>
              <strCache>
                <ptCount val="0"/>
              </strCache>
            </strRef>
          </cat>
          <val>
            <numRef>
              <f>'01 Dashboard'!$F$5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FCF</v>
          </tx>
          <spPr>
            <a:ln xmlns:a="http://schemas.openxmlformats.org/drawingml/2006/main">
              <a:prstDash val="solid"/>
            </a:ln>
          </spPr>
          <cat>
            <strRef>
              <f>'01 Dashboard'!$D$5</f>
              <strCache>
                <ptCount val="0"/>
              </strCache>
            </strRef>
          </cat>
          <val>
            <numRef>
              <f>'01 Dashboard'!$G$5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6</row>
      <rowOff>0</rowOff>
    </from>
    <to>
      <col>8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Cerebras Full Operating Model Template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all values in $mm except operational drivers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s="22" t="inlineStr">
        <is>
          <t>Model Start Year</t>
        </is>
      </c>
      <c r="B4" s="64" t="n">
        <v>2026</v>
      </c>
      <c r="C4" s="64" t="str"/>
      <c r="D4" s="64" t="str"/>
      <c r="E4" s="64" t="str"/>
      <c r="F4" s="64" t="str"/>
      <c r="G4" s="64" t="str"/>
    </row>
    <row r="5">
      <c r="A5" s="22" t="inlineStr">
        <is>
          <t>Model End Year</t>
        </is>
      </c>
      <c r="B5" s="64" t="n">
        <v>2031</v>
      </c>
      <c r="C5" s="64" t="str"/>
      <c r="D5" s="64" t="str"/>
      <c r="E5" s="64" t="str"/>
      <c r="F5" s="64" t="str"/>
      <c r="G5" s="64" t="str"/>
    </row>
    <row r="6">
      <c r="A6" s="22" t="inlineStr">
        <is>
          <t>Tax Rate</t>
        </is>
      </c>
      <c r="B6" s="65" t="n">
        <v>0.21</v>
      </c>
      <c r="C6" s="65" t="n">
        <v>0.21</v>
      </c>
      <c r="D6" s="65" t="n">
        <v>0.21</v>
      </c>
      <c r="E6" s="65" t="n">
        <v>0.21</v>
      </c>
      <c r="F6" s="65" t="n">
        <v>0.21</v>
      </c>
      <c r="G6" s="65" t="n">
        <v>0.21</v>
      </c>
    </row>
    <row r="7">
      <c r="A7" s="22" t="inlineStr">
        <is>
          <t>Discount Rate</t>
        </is>
      </c>
      <c r="B7" s="65" t="n">
        <v>0.12</v>
      </c>
      <c r="C7" s="65" t="n">
        <v>0.12</v>
      </c>
      <c r="D7" s="65" t="n">
        <v>0.12</v>
      </c>
      <c r="E7" s="65" t="n">
        <v>0.12</v>
      </c>
      <c r="F7" s="65" t="n">
        <v>0.12</v>
      </c>
      <c r="G7" s="65" t="n">
        <v>0.12</v>
      </c>
    </row>
    <row r="8">
      <c r="A8" s="22" t="inlineStr">
        <is>
          <t>Terminal Growth Rate</t>
        </is>
      </c>
      <c r="B8" s="65" t="n">
        <v>0.03</v>
      </c>
      <c r="C8" s="65" t="n">
        <v>0.03</v>
      </c>
      <c r="D8" s="65" t="n">
        <v>0.03</v>
      </c>
      <c r="E8" s="65" t="n">
        <v>0.03</v>
      </c>
      <c r="F8" s="65" t="n">
        <v>0.03</v>
      </c>
      <c r="G8" s="65" t="n">
        <v>0.03</v>
      </c>
    </row>
    <row r="9">
      <c r="A9" s="22" t="inlineStr">
        <is>
          <t>Terminal EV / EBIT Multiple</t>
        </is>
      </c>
      <c r="B9" s="66" t="n">
        <v>20</v>
      </c>
      <c r="C9" s="66" t="n">
        <v>20</v>
      </c>
      <c r="D9" s="66" t="n">
        <v>20</v>
      </c>
      <c r="E9" s="66" t="n">
        <v>20</v>
      </c>
      <c r="F9" s="66" t="n">
        <v>20</v>
      </c>
      <c r="G9" s="66" t="n">
        <v>20</v>
      </c>
    </row>
    <row r="10">
      <c r="A10" s="22" t="inlineStr">
        <is>
          <t>Cash</t>
        </is>
      </c>
      <c r="B10" s="67" t="n">
        <v>1336.909</v>
      </c>
      <c r="C10" s="67" t="n">
        <v>1336.909</v>
      </c>
      <c r="D10" s="67" t="n">
        <v>1336.909</v>
      </c>
      <c r="E10" s="67" t="n">
        <v>1336.909</v>
      </c>
      <c r="F10" s="67" t="n">
        <v>1336.909</v>
      </c>
      <c r="G10" s="67" t="n">
        <v>1336.909</v>
      </c>
    </row>
    <row r="11">
      <c r="A11" s="22" t="inlineStr">
        <is>
          <t>Debt</t>
        </is>
      </c>
      <c r="B11" s="67" t="n">
        <v>261.822</v>
      </c>
      <c r="C11" s="67" t="n">
        <v>261.822</v>
      </c>
      <c r="D11" s="67" t="n">
        <v>261.822</v>
      </c>
      <c r="E11" s="67" t="n">
        <v>261.822</v>
      </c>
      <c r="F11" s="67" t="n">
        <v>261.822</v>
      </c>
      <c r="G11" s="67" t="n">
        <v>261.822</v>
      </c>
    </row>
    <row r="12">
      <c r="A12" s="22" t="inlineStr">
        <is>
          <t>Diluted Shares</t>
        </is>
      </c>
      <c r="B12" s="68" t="n">
        <v>190</v>
      </c>
      <c r="C12" s="68" t="n">
        <v>190</v>
      </c>
      <c r="D12" s="68" t="n">
        <v>190</v>
      </c>
      <c r="E12" s="68" t="n">
        <v>190</v>
      </c>
      <c r="F12" s="68" t="n">
        <v>190</v>
      </c>
      <c r="G12" s="68" t="n">
        <v>190</v>
      </c>
    </row>
    <row r="13">
      <c r="A13" s="22" t="inlineStr">
        <is>
          <t>Use Perpetuity TV? 1=yes</t>
        </is>
      </c>
      <c r="B13" s="68" t="n">
        <v>0</v>
      </c>
      <c r="C13" s="68" t="n">
        <v>0</v>
      </c>
      <c r="D13" s="68" t="n">
        <v>0</v>
      </c>
      <c r="E13" s="68" t="n">
        <v>0</v>
      </c>
      <c r="F13" s="68" t="n">
        <v>0</v>
      </c>
      <c r="G13" s="68" t="n">
        <v>0</v>
      </c>
    </row>
    <row r="14">
      <c r="A14" s="22" t="inlineStr">
        <is>
          <t>Scenario Selected</t>
        </is>
      </c>
      <c r="B14" s="69" t="n">
        <v>1</v>
      </c>
      <c r="C14" s="69" t="inlineStr">
        <is>
          <t>Base case = 1, downside = 2, upside = 3</t>
        </is>
      </c>
      <c r="D14" s="69" t="str"/>
      <c r="E14" s="69" t="str"/>
      <c r="F14" s="69" t="str"/>
      <c r="G14" s="69" t="str"/>
    </row>
    <row r="15">
      <c r="A15" s="22" t="inlineStr">
        <is>
          <t>Notes</t>
        </is>
      </c>
      <c r="B15" s="70" t="inlineStr">
        <is>
          <t>Blue font = input. Green font = linked formula. Black font = calculation.</t>
        </is>
      </c>
      <c r="C15" s="70" t="str"/>
      <c r="D15" s="70" t="str"/>
      <c r="E15" s="70" t="str"/>
      <c r="F15" s="70" t="str"/>
      <c r="G15" s="70" t="str"/>
    </row>
  </sheetData>
  <mergeCells count="2">
    <mergeCell ref="B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Dashboard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summary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s="24" t="inlineStr">
        <is>
          <t>Metric</t>
        </is>
      </c>
      <c r="B4" s="71" t="inlineStr">
        <is>
          <t>2031</t>
        </is>
      </c>
      <c r="C4" s="70" t="n"/>
      <c r="D4" s="71" t="inlineStr">
        <is>
          <t>Revenue</t>
        </is>
      </c>
      <c r="E4" s="71" t="inlineStr">
        <is>
          <t>Gross Profit</t>
        </is>
      </c>
      <c r="F4" s="71" t="inlineStr">
        <is>
          <t>EBIT</t>
        </is>
      </c>
      <c r="G4" s="71" t="inlineStr">
        <is>
          <t>FCF</t>
        </is>
      </c>
    </row>
    <row r="5">
      <c r="A5" t="inlineStr">
        <is>
          <t>Revenue</t>
        </is>
      </c>
      <c r="B5" s="72">
        <f>'21 Income Statement'!G4</f>
        <v/>
      </c>
      <c r="C5" s="70" t="n"/>
      <c r="D5" s="73">
        <f>'21 Income Statement'!G4</f>
        <v/>
      </c>
      <c r="E5" s="73">
        <f>'21 Income Statement'!G6</f>
        <v/>
      </c>
      <c r="F5" s="73">
        <f>'21 Income Statement'!G9</f>
        <v/>
      </c>
      <c r="G5" s="73">
        <f>'23 Cash Flow'!G10</f>
        <v/>
      </c>
    </row>
    <row r="6">
      <c r="A6" s="22" t="inlineStr">
        <is>
          <t>Gross Profit</t>
        </is>
      </c>
      <c r="B6" s="74">
        <f>'21 Income Statement'!G6</f>
        <v/>
      </c>
      <c r="C6" s="75" t="n"/>
      <c r="D6" s="75" t="n"/>
      <c r="E6" s="75" t="n"/>
      <c r="F6" s="75" t="n"/>
      <c r="G6" s="75" t="n"/>
    </row>
    <row r="7">
      <c r="A7" t="inlineStr">
        <is>
          <t>Gross Margin</t>
        </is>
      </c>
      <c r="B7" s="76">
        <f>'21 Income Statement'!G7</f>
        <v/>
      </c>
      <c r="C7" s="70" t="n"/>
      <c r="D7" s="70" t="n"/>
      <c r="E7" s="70" t="n"/>
      <c r="F7" s="70" t="n"/>
      <c r="G7" s="70" t="n"/>
    </row>
    <row r="8">
      <c r="A8" s="22" t="inlineStr">
        <is>
          <t>EBIT</t>
        </is>
      </c>
      <c r="B8" s="74">
        <f>'21 Income Statement'!G9</f>
        <v/>
      </c>
      <c r="C8" s="75" t="n"/>
      <c r="D8" s="75" t="n"/>
      <c r="E8" s="75" t="n"/>
      <c r="F8" s="75" t="n"/>
      <c r="G8" s="75" t="n"/>
    </row>
    <row r="9">
      <c r="A9" t="inlineStr">
        <is>
          <t>EBIT Margin</t>
        </is>
      </c>
      <c r="B9" s="76">
        <f>'21 Income Statement'!G10</f>
        <v/>
      </c>
      <c r="C9" s="70" t="n"/>
      <c r="D9" s="70" t="n"/>
      <c r="E9" s="70" t="n"/>
      <c r="F9" s="70" t="n"/>
      <c r="G9" s="70" t="n"/>
    </row>
    <row r="10">
      <c r="A10" s="22" t="inlineStr">
        <is>
          <t>Free Cash Flow</t>
        </is>
      </c>
      <c r="B10" s="74">
        <f>'23 Cash Flow'!G10</f>
        <v/>
      </c>
      <c r="C10" s="75" t="n"/>
      <c r="D10" s="75" t="n"/>
      <c r="E10" s="75" t="n"/>
      <c r="F10" s="75" t="n"/>
      <c r="G10" s="75" t="n"/>
    </row>
    <row r="11">
      <c r="A11" t="inlineStr">
        <is>
          <t>Installed Base</t>
        </is>
      </c>
      <c r="B11" s="77">
        <f>'03 Revenue Build'!G8</f>
        <v/>
      </c>
      <c r="C11" s="70" t="n"/>
      <c r="D11" s="70" t="n"/>
      <c r="E11" s="70" t="n"/>
      <c r="F11" s="70" t="n"/>
      <c r="G11" s="70" t="n"/>
    </row>
    <row r="12">
      <c r="A12" s="22" t="inlineStr">
        <is>
          <t>Enterprise Value</t>
        </is>
      </c>
      <c r="B12" s="74">
        <f>'24 DCF Valuation'!G14</f>
        <v/>
      </c>
      <c r="C12" s="75" t="n"/>
      <c r="D12" s="75" t="n"/>
      <c r="E12" s="75" t="n"/>
      <c r="F12" s="75" t="n"/>
      <c r="G12" s="75" t="n"/>
    </row>
    <row r="13">
      <c r="A13" s="22" t="inlineStr">
        <is>
          <t>Equity Value</t>
        </is>
      </c>
      <c r="B13" s="74">
        <f>'24 DCF Valuation'!G17</f>
        <v/>
      </c>
      <c r="C13" s="75" t="n"/>
      <c r="D13" s="75" t="n"/>
      <c r="E13" s="75" t="n"/>
      <c r="F13" s="75" t="n"/>
      <c r="G13" s="75" t="n"/>
    </row>
    <row r="14">
      <c r="A14" s="22" t="inlineStr">
        <is>
          <t>Implied Share Price</t>
        </is>
      </c>
      <c r="B14" s="78">
        <f>'24 DCF Valuation'!G19</f>
        <v/>
      </c>
      <c r="C14" s="75" t="n"/>
      <c r="D14" s="75" t="n"/>
      <c r="E14" s="75" t="n"/>
      <c r="F14" s="75" t="n"/>
      <c r="G14" s="75" t="n"/>
    </row>
    <row r="15">
      <c r="A15" t="inlineStr">
        <is>
          <t>Check Status</t>
        </is>
      </c>
      <c r="B15" s="79">
        <f>'25 Checks'!G8</f>
        <v/>
      </c>
      <c r="C15" s="70" t="n"/>
      <c r="D15" s="70" t="n"/>
      <c r="E15" s="70" t="n"/>
      <c r="F15" s="70" t="n"/>
      <c r="G15" s="70" t="n"/>
    </row>
  </sheetData>
  <mergeCells count="2">
    <mergeCell ref="B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Scenario Manager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scenario toggles and growth drivers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Downside Units Growth</t>
        </is>
      </c>
      <c r="B4" s="65" t="n">
        <v>0</v>
      </c>
      <c r="C4" s="65" t="n">
        <v>0</v>
      </c>
      <c r="D4" s="65" t="n">
        <v>0</v>
      </c>
      <c r="E4" s="65" t="n">
        <v>0</v>
      </c>
      <c r="F4" s="65" t="n">
        <v>0</v>
      </c>
      <c r="G4" s="65" t="n">
        <v>0</v>
      </c>
    </row>
    <row r="5">
      <c r="A5" t="inlineStr">
        <is>
          <t>Base Units Growth</t>
        </is>
      </c>
      <c r="B5" s="80" t="n">
        <v>0.45</v>
      </c>
      <c r="C5" s="80" t="n">
        <v>0.444</v>
      </c>
      <c r="D5" s="80" t="n">
        <v>0.37</v>
      </c>
      <c r="E5" s="80" t="n">
        <v>0.26</v>
      </c>
      <c r="F5" s="80" t="n">
        <v>0.189</v>
      </c>
      <c r="G5" s="80" t="n">
        <v>0.173</v>
      </c>
    </row>
    <row r="6">
      <c r="A6" t="inlineStr">
        <is>
          <t>Upside Units Growth</t>
        </is>
      </c>
      <c r="B6" s="65" t="n">
        <v>0</v>
      </c>
      <c r="C6" s="65" t="n">
        <v>0</v>
      </c>
      <c r="D6" s="65" t="n">
        <v>0</v>
      </c>
      <c r="E6" s="65" t="n">
        <v>0</v>
      </c>
      <c r="F6" s="65" t="n">
        <v>0</v>
      </c>
      <c r="G6" s="65" t="n">
        <v>0</v>
      </c>
    </row>
    <row r="7">
      <c r="A7" t="inlineStr">
        <is>
          <t>Downside ASP Growth</t>
        </is>
      </c>
      <c r="B7" s="65" t="n">
        <v>0</v>
      </c>
      <c r="C7" s="65" t="n">
        <v>0</v>
      </c>
      <c r="D7" s="65" t="n">
        <v>0</v>
      </c>
      <c r="E7" s="65" t="n">
        <v>0</v>
      </c>
      <c r="F7" s="65" t="n">
        <v>0</v>
      </c>
      <c r="G7" s="65" t="n">
        <v>0</v>
      </c>
    </row>
    <row r="8">
      <c r="A8" t="inlineStr">
        <is>
          <t>Base ASP Growth</t>
        </is>
      </c>
      <c r="B8" s="80" t="n">
        <v>0</v>
      </c>
      <c r="C8" s="80" t="n">
        <v>0.019</v>
      </c>
      <c r="D8" s="80" t="n">
        <v>0</v>
      </c>
      <c r="E8" s="80" t="n">
        <v>0.019</v>
      </c>
      <c r="F8" s="80" t="n">
        <v>0.019</v>
      </c>
      <c r="G8" s="80" t="n">
        <v>0.018</v>
      </c>
    </row>
    <row r="9">
      <c r="A9" t="inlineStr">
        <is>
          <t>Upside ASP Growth</t>
        </is>
      </c>
      <c r="B9" s="65" t="n">
        <v>0</v>
      </c>
      <c r="C9" s="65" t="n">
        <v>0</v>
      </c>
      <c r="D9" s="65" t="n">
        <v>0</v>
      </c>
      <c r="E9" s="65" t="n">
        <v>0</v>
      </c>
      <c r="F9" s="65" t="n">
        <v>0</v>
      </c>
      <c r="G9" s="65" t="n">
        <v>0</v>
      </c>
    </row>
    <row r="10">
      <c r="A10" t="inlineStr">
        <is>
          <t>Downside Cloud Rev / Installed CS3 Growth</t>
        </is>
      </c>
      <c r="B10" s="65" t="n">
        <v>0</v>
      </c>
      <c r="C10" s="65" t="n">
        <v>0</v>
      </c>
      <c r="D10" s="65" t="n">
        <v>0</v>
      </c>
      <c r="E10" s="65" t="n">
        <v>0</v>
      </c>
      <c r="F10" s="65" t="n">
        <v>0</v>
      </c>
      <c r="G10" s="65" t="n">
        <v>0</v>
      </c>
    </row>
    <row r="11">
      <c r="A11" t="inlineStr">
        <is>
          <t>Base Cloud Rev / Installed CS3 Growth</t>
        </is>
      </c>
      <c r="B11" s="65" t="n">
        <v>0</v>
      </c>
      <c r="C11" s="65" t="n">
        <v>0</v>
      </c>
      <c r="D11" s="65" t="n">
        <v>0</v>
      </c>
      <c r="E11" s="65" t="n">
        <v>0</v>
      </c>
      <c r="F11" s="65" t="n">
        <v>0</v>
      </c>
      <c r="G11" s="65" t="n">
        <v>0</v>
      </c>
    </row>
    <row r="12">
      <c r="A12" t="inlineStr">
        <is>
          <t>Upside Cloud Rev / Installed CS3 Growth</t>
        </is>
      </c>
      <c r="B12" s="65" t="n">
        <v>0</v>
      </c>
      <c r="C12" s="65" t="n">
        <v>0</v>
      </c>
      <c r="D12" s="65" t="n">
        <v>0</v>
      </c>
      <c r="E12" s="65" t="n">
        <v>0</v>
      </c>
      <c r="F12" s="65" t="n">
        <v>0</v>
      </c>
      <c r="G12" s="65" t="n">
        <v>0</v>
      </c>
    </row>
    <row r="13">
      <c r="A13" t="inlineStr">
        <is>
          <t>Downside Gross Margin Stress</t>
        </is>
      </c>
      <c r="B13" s="65" t="n">
        <v>0</v>
      </c>
      <c r="C13" s="65" t="n">
        <v>0</v>
      </c>
      <c r="D13" s="65" t="n">
        <v>0</v>
      </c>
      <c r="E13" s="65" t="n">
        <v>0</v>
      </c>
      <c r="F13" s="65" t="n">
        <v>0</v>
      </c>
      <c r="G13" s="65" t="n">
        <v>0</v>
      </c>
    </row>
    <row r="14">
      <c r="A14" t="inlineStr">
        <is>
          <t>Base Gross Margin Stress</t>
        </is>
      </c>
      <c r="B14" s="65" t="n">
        <v>0</v>
      </c>
      <c r="C14" s="65" t="n">
        <v>0</v>
      </c>
      <c r="D14" s="65" t="n">
        <v>0</v>
      </c>
      <c r="E14" s="65" t="n">
        <v>0</v>
      </c>
      <c r="F14" s="65" t="n">
        <v>0</v>
      </c>
      <c r="G14" s="65" t="n">
        <v>0</v>
      </c>
    </row>
    <row r="15">
      <c r="A15" t="inlineStr">
        <is>
          <t>Upside Gross Margin Stress</t>
        </is>
      </c>
      <c r="B15" s="65" t="n">
        <v>0</v>
      </c>
      <c r="C15" s="65" t="n">
        <v>0</v>
      </c>
      <c r="D15" s="65" t="n">
        <v>0</v>
      </c>
      <c r="E15" s="65" t="n">
        <v>0</v>
      </c>
      <c r="F15" s="65" t="n">
        <v>0</v>
      </c>
      <c r="G15" s="65" t="n">
        <v>0</v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Revenue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 except units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CS3 Systems Sold</t>
        </is>
      </c>
      <c r="B4" s="81">
        <f>'05 CS3 Systems'!B6</f>
        <v/>
      </c>
      <c r="C4" s="81">
        <f>'05 CS3 Systems'!C6</f>
        <v/>
      </c>
      <c r="D4" s="81">
        <f>'05 CS3 Systems'!D6</f>
        <v/>
      </c>
      <c r="E4" s="81">
        <f>'05 CS3 Systems'!E6</f>
        <v/>
      </c>
      <c r="F4" s="81">
        <f>'05 CS3 Systems'!F6</f>
        <v/>
      </c>
      <c r="G4" s="81">
        <f>'05 CS3 Systems'!G6</f>
        <v/>
      </c>
    </row>
    <row r="5">
      <c r="A5" t="inlineStr">
        <is>
          <t>Average Selling Price / CS3</t>
        </is>
      </c>
      <c r="B5" s="82">
        <f>'05 CS3 Systems'!B8</f>
        <v/>
      </c>
      <c r="C5" s="82">
        <f>'05 CS3 Systems'!C8</f>
        <v/>
      </c>
      <c r="D5" s="82">
        <f>'05 CS3 Systems'!D8</f>
        <v/>
      </c>
      <c r="E5" s="82">
        <f>'05 CS3 Systems'!E8</f>
        <v/>
      </c>
      <c r="F5" s="82">
        <f>'05 CS3 Systems'!F8</f>
        <v/>
      </c>
      <c r="G5" s="82">
        <f>'05 CS3 Systems'!G8</f>
        <v/>
      </c>
    </row>
    <row r="6">
      <c r="A6" t="inlineStr">
        <is>
          <t>Hardware Revenue</t>
        </is>
      </c>
      <c r="B6" s="83">
        <f>B4*B5</f>
        <v/>
      </c>
      <c r="C6" s="83">
        <f>C4*C5</f>
        <v/>
      </c>
      <c r="D6" s="83">
        <f>D4*D5</f>
        <v/>
      </c>
      <c r="E6" s="83">
        <f>E4*E5</f>
        <v/>
      </c>
      <c r="F6" s="83">
        <f>F4*F5</f>
        <v/>
      </c>
      <c r="G6" s="83">
        <f>G4*G5</f>
        <v/>
      </c>
    </row>
    <row r="7">
      <c r="A7" t="inlineStr">
        <is>
          <t>Beginning Installed Base</t>
        </is>
      </c>
      <c r="B7" s="84" t="n">
        <v>285</v>
      </c>
      <c r="C7" s="85">
        <f>B8</f>
        <v/>
      </c>
      <c r="D7" s="85">
        <f>C8</f>
        <v/>
      </c>
      <c r="E7" s="85">
        <f>D8</f>
        <v/>
      </c>
      <c r="F7" s="85">
        <f>E8</f>
        <v/>
      </c>
      <c r="G7" s="85">
        <f>F8</f>
        <v/>
      </c>
    </row>
    <row r="8">
      <c r="A8" s="22" t="inlineStr">
        <is>
          <t>Ending Installed Base</t>
        </is>
      </c>
      <c r="B8" s="86">
        <f>B7+B4</f>
        <v/>
      </c>
      <c r="C8" s="86">
        <f>C7+C4</f>
        <v/>
      </c>
      <c r="D8" s="86">
        <f>D7+D4</f>
        <v/>
      </c>
      <c r="E8" s="86">
        <f>E7+E4</f>
        <v/>
      </c>
      <c r="F8" s="86">
        <f>F7+F4</f>
        <v/>
      </c>
      <c r="G8" s="86">
        <f>G7+G4</f>
        <v/>
      </c>
    </row>
    <row r="9">
      <c r="A9" t="inlineStr">
        <is>
          <t>Cloud Revenue</t>
        </is>
      </c>
      <c r="B9" s="87">
        <f>'07 Cloud Revenue'!B8</f>
        <v/>
      </c>
      <c r="C9" s="87">
        <f>'07 Cloud Revenue'!C8</f>
        <v/>
      </c>
      <c r="D9" s="87">
        <f>'07 Cloud Revenue'!D8</f>
        <v/>
      </c>
      <c r="E9" s="87">
        <f>'07 Cloud Revenue'!E8</f>
        <v/>
      </c>
      <c r="F9" s="87">
        <f>'07 Cloud Revenue'!F8</f>
        <v/>
      </c>
      <c r="G9" s="87">
        <f>'07 Cloud Revenue'!G8</f>
        <v/>
      </c>
    </row>
    <row r="10">
      <c r="A10" t="inlineStr">
        <is>
          <t>Services Revenue</t>
        </is>
      </c>
      <c r="B10" s="87">
        <f>'08 Services Support'!B7</f>
        <v/>
      </c>
      <c r="C10" s="87">
        <f>'08 Services Support'!C7</f>
        <v/>
      </c>
      <c r="D10" s="87">
        <f>'08 Services Support'!D7</f>
        <v/>
      </c>
      <c r="E10" s="87">
        <f>'08 Services Support'!E7</f>
        <v/>
      </c>
      <c r="F10" s="87">
        <f>'08 Services Support'!F7</f>
        <v/>
      </c>
      <c r="G10" s="87">
        <f>'08 Services Support'!G7</f>
        <v/>
      </c>
    </row>
    <row r="11">
      <c r="A11" s="22" t="inlineStr">
        <is>
          <t>Total Revenue</t>
        </is>
      </c>
      <c r="B11" s="88">
        <f>SUM(B6,B9,B10)</f>
        <v/>
      </c>
      <c r="C11" s="88">
        <f>SUM(C6,C9,C10)</f>
        <v/>
      </c>
      <c r="D11" s="88">
        <f>SUM(D6,D9,D10)</f>
        <v/>
      </c>
      <c r="E11" s="88">
        <f>SUM(E6,E9,E10)</f>
        <v/>
      </c>
      <c r="F11" s="88">
        <f>SUM(F6,F9,F10)</f>
        <v/>
      </c>
      <c r="G11" s="88">
        <f>SUM(G6,G9,G10)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Installed Base and Utilization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units and %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Beginning CS3 Installed Base</t>
        </is>
      </c>
      <c r="B4" s="84" t="n">
        <v>285</v>
      </c>
      <c r="C4" s="85">
        <f>B7</f>
        <v/>
      </c>
      <c r="D4" s="85">
        <f>C7</f>
        <v/>
      </c>
      <c r="E4" s="85">
        <f>D7</f>
        <v/>
      </c>
      <c r="F4" s="85">
        <f>E7</f>
        <v/>
      </c>
      <c r="G4" s="85">
        <f>F7</f>
        <v/>
      </c>
    </row>
    <row r="5">
      <c r="A5" t="inlineStr">
        <is>
          <t>New CS3 Systems</t>
        </is>
      </c>
      <c r="B5" s="81">
        <f>'05 CS3 Systems'!B6</f>
        <v/>
      </c>
      <c r="C5" s="81">
        <f>'05 CS3 Systems'!C6</f>
        <v/>
      </c>
      <c r="D5" s="81">
        <f>'05 CS3 Systems'!D6</f>
        <v/>
      </c>
      <c r="E5" s="81">
        <f>'05 CS3 Systems'!E6</f>
        <v/>
      </c>
      <c r="F5" s="81">
        <f>'05 CS3 Systems'!F6</f>
        <v/>
      </c>
      <c r="G5" s="81">
        <f>'05 CS3 Systems'!G6</f>
        <v/>
      </c>
    </row>
    <row r="6">
      <c r="A6" t="inlineStr">
        <is>
          <t>Retired CS3 Systems</t>
        </is>
      </c>
      <c r="B6" s="69" t="n">
        <v>0</v>
      </c>
      <c r="C6" s="69" t="n">
        <v>0</v>
      </c>
      <c r="D6" s="69" t="n">
        <v>0</v>
      </c>
      <c r="E6" s="69" t="n">
        <v>0</v>
      </c>
      <c r="F6" s="69" t="n">
        <v>0</v>
      </c>
      <c r="G6" s="69" t="n">
        <v>0</v>
      </c>
    </row>
    <row r="7">
      <c r="A7" s="22" t="inlineStr">
        <is>
          <t>Ending CS3 Installed Base</t>
        </is>
      </c>
      <c r="B7" s="86">
        <f>B4+B5-B6</f>
        <v/>
      </c>
      <c r="C7" s="86">
        <f>C4+C5-C6</f>
        <v/>
      </c>
      <c r="D7" s="86">
        <f>D4+D5-D6</f>
        <v/>
      </c>
      <c r="E7" s="86">
        <f>E4+E5-E6</f>
        <v/>
      </c>
      <c r="F7" s="86">
        <f>F4+F5-F6</f>
        <v/>
      </c>
      <c r="G7" s="86">
        <f>G4+G5-G6</f>
        <v/>
      </c>
    </row>
    <row r="8">
      <c r="A8" t="inlineStr">
        <is>
          <t>Average Installed Base</t>
        </is>
      </c>
      <c r="B8" s="85">
        <f>AVERAGE(B4,B7)</f>
        <v/>
      </c>
      <c r="C8" s="85">
        <f>AVERAGE(C4,C7)</f>
        <v/>
      </c>
      <c r="D8" s="85">
        <f>AVERAGE(D4,D7)</f>
        <v/>
      </c>
      <c r="E8" s="85">
        <f>AVERAGE(E4,E7)</f>
        <v/>
      </c>
      <c r="F8" s="85">
        <f>AVERAGE(F4,F7)</f>
        <v/>
      </c>
      <c r="G8" s="85">
        <f>AVERAGE(G4,G7)</f>
        <v/>
      </c>
    </row>
    <row r="9">
      <c r="A9" t="inlineStr">
        <is>
          <t>Cloud Utilization</t>
        </is>
      </c>
      <c r="B9" s="80" t="n">
        <v>0.105</v>
      </c>
      <c r="C9" s="80" t="n">
        <v>0.105</v>
      </c>
      <c r="D9" s="80" t="n">
        <v>0.105</v>
      </c>
      <c r="E9" s="80" t="n">
        <v>0.105</v>
      </c>
      <c r="F9" s="80" t="n">
        <v>0.105</v>
      </c>
      <c r="G9" s="80" t="n">
        <v>0.105</v>
      </c>
    </row>
    <row r="10">
      <c r="A10" t="inlineStr">
        <is>
          <t>Revenue / Active Cloud System</t>
        </is>
      </c>
      <c r="B10" s="89" t="n">
        <v>4.58</v>
      </c>
      <c r="C10" s="89" t="n">
        <v>4.3</v>
      </c>
      <c r="D10" s="89" t="n">
        <v>4.02</v>
      </c>
      <c r="E10" s="89" t="n">
        <v>3.79</v>
      </c>
      <c r="F10" s="89" t="n">
        <v>3.55</v>
      </c>
      <c r="G10" s="89" t="n">
        <v>3.34</v>
      </c>
    </row>
    <row r="11">
      <c r="A11" t="inlineStr"/>
      <c r="B11" s="90" t="n"/>
      <c r="C11" s="90" t="n"/>
      <c r="D11" s="90" t="n"/>
      <c r="E11" s="90" t="n"/>
      <c r="F11" s="90" t="n"/>
      <c r="G11" s="90" t="n"/>
    </row>
    <row r="12">
      <c r="B12" s="90" t="n"/>
      <c r="C12" s="90" t="n"/>
      <c r="D12" s="90" t="n"/>
      <c r="E12" s="90" t="n"/>
      <c r="F12" s="90" t="n"/>
      <c r="G12" s="90" t="n"/>
    </row>
  </sheetData>
  <mergeCells count="2">
    <mergeCell ref="B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CS3 Systems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units and 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Clusters Sold</t>
        </is>
      </c>
      <c r="B4" s="91">
        <f>'06 CS3 Clusters'!B9</f>
        <v/>
      </c>
      <c r="C4" s="91">
        <f>'06 CS3 Clusters'!C9</f>
        <v/>
      </c>
      <c r="D4" s="91">
        <f>'06 CS3 Clusters'!D9</f>
        <v/>
      </c>
      <c r="E4" s="91">
        <f>'06 CS3 Clusters'!E9</f>
        <v/>
      </c>
      <c r="F4" s="91">
        <f>'06 CS3 Clusters'!F9</f>
        <v/>
      </c>
      <c r="G4" s="91">
        <f>'06 CS3 Clusters'!G9</f>
        <v/>
      </c>
    </row>
    <row r="5">
      <c r="A5" t="inlineStr">
        <is>
          <t>CS3 per Cluster</t>
        </is>
      </c>
      <c r="B5" s="89" t="n">
        <v>11.5</v>
      </c>
      <c r="C5" s="89" t="n">
        <v>11.5</v>
      </c>
      <c r="D5" s="89" t="n">
        <v>11.7</v>
      </c>
      <c r="E5" s="89" t="n">
        <v>12</v>
      </c>
      <c r="F5" s="89" t="n">
        <v>11.8</v>
      </c>
      <c r="G5" s="89" t="n">
        <v>12</v>
      </c>
    </row>
    <row r="6">
      <c r="A6" t="inlineStr">
        <is>
          <t>CS3 Systems Sold</t>
        </is>
      </c>
      <c r="B6" s="92">
        <f>B4*B5</f>
        <v/>
      </c>
      <c r="C6" s="92">
        <f>C4*C5</f>
        <v/>
      </c>
      <c r="D6" s="92">
        <f>D4*D5</f>
        <v/>
      </c>
      <c r="E6" s="92">
        <f>E4*E5</f>
        <v/>
      </c>
      <c r="F6" s="92">
        <f>F4*F5</f>
        <v/>
      </c>
      <c r="G6" s="92">
        <f>G4*G5</f>
        <v/>
      </c>
    </row>
    <row r="7">
      <c r="A7" t="inlineStr">
        <is>
          <t>Unit Growth</t>
        </is>
      </c>
      <c r="B7" s="93" t="n">
        <v>0</v>
      </c>
      <c r="C7" s="93">
        <f>IFERROR(C6/B6-1,0)</f>
        <v/>
      </c>
      <c r="D7" s="93">
        <f>IFERROR(D6/C6-1,0)</f>
        <v/>
      </c>
      <c r="E7" s="93">
        <f>IFERROR(E6/D6-1,0)</f>
        <v/>
      </c>
      <c r="F7" s="93">
        <f>IFERROR(F6/E6-1,0)</f>
        <v/>
      </c>
      <c r="G7" s="93">
        <f>IFERROR(G6/F6-1,0)</f>
        <v/>
      </c>
    </row>
    <row r="8">
      <c r="A8" t="inlineStr">
        <is>
          <t>ASP per CS3</t>
        </is>
      </c>
      <c r="B8" s="94" t="n">
        <v>2.6</v>
      </c>
      <c r="C8" s="94" t="n">
        <v>2.65</v>
      </c>
      <c r="D8" s="94" t="n">
        <v>2.65</v>
      </c>
      <c r="E8" s="94" t="n">
        <v>2.7</v>
      </c>
      <c r="F8" s="94" t="n">
        <v>2.75</v>
      </c>
      <c r="G8" s="94" t="n">
        <v>2.8</v>
      </c>
    </row>
    <row r="9">
      <c r="A9" t="inlineStr">
        <is>
          <t>ASP Growth</t>
        </is>
      </c>
      <c r="B9" s="95" t="n">
        <v>0</v>
      </c>
      <c r="C9" s="95">
        <f>IFERROR(C8/B8-1,0)</f>
        <v/>
      </c>
      <c r="D9" s="95">
        <f>IFERROR(D8/C8-1,0)</f>
        <v/>
      </c>
      <c r="E9" s="95">
        <f>IFERROR(E8/D8-1,0)</f>
        <v/>
      </c>
      <c r="F9" s="95">
        <f>IFERROR(F8/E8-1,0)</f>
        <v/>
      </c>
      <c r="G9" s="95">
        <f>IFERROR(G8/F8-1,0)</f>
        <v/>
      </c>
    </row>
    <row r="10">
      <c r="A10" t="inlineStr">
        <is>
          <t>Hardware Revenue</t>
        </is>
      </c>
      <c r="B10" s="96">
        <f>B6*B8</f>
        <v/>
      </c>
      <c r="C10" s="96">
        <f>C6*C8</f>
        <v/>
      </c>
      <c r="D10" s="96">
        <f>D6*D8</f>
        <v/>
      </c>
      <c r="E10" s="96">
        <f>E6*E8</f>
        <v/>
      </c>
      <c r="F10" s="96">
        <f>F6*F8</f>
        <v/>
      </c>
      <c r="G10" s="96">
        <f>G6*G8</f>
        <v/>
      </c>
    </row>
    <row r="11">
      <c r="B11" s="97" t="n"/>
      <c r="C11" s="97" t="n"/>
      <c r="D11" s="97" t="n"/>
      <c r="E11" s="97" t="n"/>
      <c r="F11" s="97" t="n"/>
      <c r="G11" s="97" t="n"/>
    </row>
  </sheetData>
  <mergeCells count="2">
    <mergeCell ref="B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CS3 Cluster Demand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units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Enterprise AI Clusters</t>
        </is>
      </c>
      <c r="B4" s="68" t="n">
        <v>8</v>
      </c>
      <c r="C4" s="68" t="n">
        <v>12</v>
      </c>
      <c r="D4" s="68" t="n">
        <v>16</v>
      </c>
      <c r="E4" s="68" t="n">
        <v>20</v>
      </c>
      <c r="F4" s="68" t="n">
        <v>24</v>
      </c>
      <c r="G4" s="68" t="n">
        <v>28</v>
      </c>
    </row>
    <row r="5">
      <c r="A5" t="inlineStr">
        <is>
          <t>National Lab / Research Clusters</t>
        </is>
      </c>
      <c r="B5" s="68" t="n">
        <v>2</v>
      </c>
      <c r="C5" s="68" t="n">
        <v>3</v>
      </c>
      <c r="D5" s="68" t="n">
        <v>4</v>
      </c>
      <c r="E5" s="68" t="n">
        <v>5</v>
      </c>
      <c r="F5" s="68" t="n">
        <v>6</v>
      </c>
      <c r="G5" s="68" t="n">
        <v>7</v>
      </c>
    </row>
    <row r="6">
      <c r="A6" t="inlineStr">
        <is>
          <t>Sovereign AI Clusters</t>
        </is>
      </c>
      <c r="B6" s="68" t="n">
        <v>5</v>
      </c>
      <c r="C6" s="68" t="n">
        <v>7</v>
      </c>
      <c r="D6" s="68" t="n">
        <v>9</v>
      </c>
      <c r="E6" s="68" t="n">
        <v>11</v>
      </c>
      <c r="F6" s="68" t="n">
        <v>13</v>
      </c>
      <c r="G6" s="68" t="n">
        <v>15</v>
      </c>
    </row>
    <row r="7">
      <c r="A7" t="inlineStr">
        <is>
          <t>Hyperscaler Clusters</t>
        </is>
      </c>
      <c r="B7" s="68" t="n">
        <v>2</v>
      </c>
      <c r="C7" s="68" t="n">
        <v>3</v>
      </c>
      <c r="D7" s="68" t="n">
        <v>4</v>
      </c>
      <c r="E7" s="68" t="n">
        <v>5</v>
      </c>
      <c r="F7" s="68" t="n">
        <v>6</v>
      </c>
      <c r="G7" s="68" t="n">
        <v>7</v>
      </c>
    </row>
    <row r="8">
      <c r="A8" t="inlineStr">
        <is>
          <t>Other Clusters</t>
        </is>
      </c>
      <c r="B8" s="68" t="n">
        <v>1</v>
      </c>
      <c r="C8" s="68" t="n">
        <v>1</v>
      </c>
      <c r="D8" s="68" t="n">
        <v>2</v>
      </c>
      <c r="E8" s="68" t="n">
        <v>2</v>
      </c>
      <c r="F8" s="68" t="n">
        <v>3</v>
      </c>
      <c r="G8" s="68" t="n">
        <v>3</v>
      </c>
    </row>
    <row r="9">
      <c r="A9" s="22" t="inlineStr">
        <is>
          <t>Total Clusters</t>
        </is>
      </c>
      <c r="B9" s="86">
        <f>SUM(B4:B8)</f>
        <v/>
      </c>
      <c r="C9" s="86">
        <f>SUM(C4:C8)</f>
        <v/>
      </c>
      <c r="D9" s="86">
        <f>SUM(D4:D8)</f>
        <v/>
      </c>
      <c r="E9" s="86">
        <f>SUM(E4:E8)</f>
        <v/>
      </c>
      <c r="F9" s="86">
        <f>SUM(F4:F8)</f>
        <v/>
      </c>
      <c r="G9" s="86">
        <f>SUM(G4:G8)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Cloud Revenue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 except utilization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Average Installed Base</t>
        </is>
      </c>
      <c r="B4" s="77">
        <f>'04 Installed Base'!B8</f>
        <v/>
      </c>
      <c r="C4" s="77">
        <f>'04 Installed Base'!C8</f>
        <v/>
      </c>
      <c r="D4" s="77">
        <f>'04 Installed Base'!D8</f>
        <v/>
      </c>
      <c r="E4" s="77">
        <f>'04 Installed Base'!E8</f>
        <v/>
      </c>
      <c r="F4" s="77">
        <f>'04 Installed Base'!F8</f>
        <v/>
      </c>
      <c r="G4" s="77">
        <f>'04 Installed Base'!G8</f>
        <v/>
      </c>
    </row>
    <row r="5">
      <c r="A5" t="inlineStr">
        <is>
          <t>Cloud Utilization</t>
        </is>
      </c>
      <c r="B5" s="76">
        <f>'04 Installed Base'!B9</f>
        <v/>
      </c>
      <c r="C5" s="76">
        <f>'04 Installed Base'!C9</f>
        <v/>
      </c>
      <c r="D5" s="76">
        <f>'04 Installed Base'!D9</f>
        <v/>
      </c>
      <c r="E5" s="76">
        <f>'04 Installed Base'!E9</f>
        <v/>
      </c>
      <c r="F5" s="76">
        <f>'04 Installed Base'!F9</f>
        <v/>
      </c>
      <c r="G5" s="76">
        <f>'04 Installed Base'!G9</f>
        <v/>
      </c>
    </row>
    <row r="6">
      <c r="A6" t="inlineStr">
        <is>
          <t>Active Cloud Systems</t>
        </is>
      </c>
      <c r="B6" s="85">
        <f>B4*B5</f>
        <v/>
      </c>
      <c r="C6" s="85">
        <f>C4*C5</f>
        <v/>
      </c>
      <c r="D6" s="85">
        <f>D4*D5</f>
        <v/>
      </c>
      <c r="E6" s="85">
        <f>E4*E5</f>
        <v/>
      </c>
      <c r="F6" s="85">
        <f>F4*F5</f>
        <v/>
      </c>
      <c r="G6" s="85">
        <f>G4*G5</f>
        <v/>
      </c>
    </row>
    <row r="7">
      <c r="A7" t="inlineStr">
        <is>
          <t>Revenue / Active Cloud System</t>
        </is>
      </c>
      <c r="B7" s="98">
        <f>'04 Installed Base'!B10</f>
        <v/>
      </c>
      <c r="C7" s="98">
        <f>'04 Installed Base'!C10</f>
        <v/>
      </c>
      <c r="D7" s="98">
        <f>'04 Installed Base'!D10</f>
        <v/>
      </c>
      <c r="E7" s="98">
        <f>'04 Installed Base'!E10</f>
        <v/>
      </c>
      <c r="F7" s="98">
        <f>'04 Installed Base'!F10</f>
        <v/>
      </c>
      <c r="G7" s="98">
        <f>'04 Installed Base'!G10</f>
        <v/>
      </c>
    </row>
    <row r="8">
      <c r="A8" t="inlineStr">
        <is>
          <t>Cloud Revenue</t>
        </is>
      </c>
      <c r="B8" s="83">
        <f>B6*B7</f>
        <v/>
      </c>
      <c r="C8" s="83">
        <f>C6*C7</f>
        <v/>
      </c>
      <c r="D8" s="83">
        <f>D6*D7</f>
        <v/>
      </c>
      <c r="E8" s="83">
        <f>E6*E7</f>
        <v/>
      </c>
      <c r="F8" s="83">
        <f>F6*F7</f>
        <v/>
      </c>
      <c r="G8" s="83">
        <f>G6*G7</f>
        <v/>
      </c>
    </row>
    <row r="9">
      <c r="A9" t="inlineStr">
        <is>
          <t>Cloud Revenue Growth</t>
        </is>
      </c>
      <c r="B9" s="99">
        <f>0</f>
        <v/>
      </c>
      <c r="C9" s="99">
        <f>IFERROR(C8/B8-1,0)</f>
        <v/>
      </c>
      <c r="D9" s="99">
        <f>IFERROR(D8/C8-1,0)</f>
        <v/>
      </c>
      <c r="E9" s="99">
        <f>IFERROR(E8/D8-1,0)</f>
        <v/>
      </c>
      <c r="F9" s="99">
        <f>IFERROR(F8/E8-1,0)</f>
        <v/>
      </c>
      <c r="G9" s="99">
        <f>IFERROR(G8/F8-1,0)</f>
        <v/>
      </c>
    </row>
    <row r="10">
      <c r="A10" t="inlineStr">
        <is>
          <t>Cloud Gross Margin</t>
        </is>
      </c>
      <c r="B10" s="80" t="n">
        <v>0.33</v>
      </c>
      <c r="C10" s="80" t="n">
        <v>0.36</v>
      </c>
      <c r="D10" s="80" t="n">
        <v>0.39</v>
      </c>
      <c r="E10" s="80" t="n">
        <v>0.41</v>
      </c>
      <c r="F10" s="80" t="n">
        <v>0.43</v>
      </c>
      <c r="G10" s="80" t="n">
        <v>0.45</v>
      </c>
    </row>
    <row r="11">
      <c r="B11" s="100" t="n"/>
      <c r="C11" s="100" t="n"/>
      <c r="D11" s="100" t="n"/>
      <c r="E11" s="100" t="n"/>
      <c r="F11" s="100" t="n"/>
      <c r="G11" s="100" t="n"/>
    </row>
  </sheetData>
  <mergeCells count="2">
    <mergeCell ref="B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Services and Support Revenue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Hardware Revenue</t>
        </is>
      </c>
      <c r="B4" s="72">
        <f>'03 Revenue Build'!B6</f>
        <v/>
      </c>
      <c r="C4" s="72">
        <f>'03 Revenue Build'!C6</f>
        <v/>
      </c>
      <c r="D4" s="72">
        <f>'03 Revenue Build'!D6</f>
        <v/>
      </c>
      <c r="E4" s="72">
        <f>'03 Revenue Build'!E6</f>
        <v/>
      </c>
      <c r="F4" s="72">
        <f>'03 Revenue Build'!F6</f>
        <v/>
      </c>
      <c r="G4" s="72">
        <f>'03 Revenue Build'!G6</f>
        <v/>
      </c>
    </row>
    <row r="5">
      <c r="A5" t="inlineStr">
        <is>
          <t>Service Attach Rate</t>
        </is>
      </c>
      <c r="B5" s="80" t="n">
        <v>0.85</v>
      </c>
      <c r="C5" s="80" t="n">
        <v>0.85</v>
      </c>
      <c r="D5" s="80" t="n">
        <v>0.85</v>
      </c>
      <c r="E5" s="80" t="n">
        <v>0.85</v>
      </c>
      <c r="F5" s="80" t="n">
        <v>0.85</v>
      </c>
      <c r="G5" s="80" t="n">
        <v>0.85</v>
      </c>
    </row>
    <row r="6">
      <c r="A6" t="inlineStr">
        <is>
          <t>Annual Service Fee % of ASP</t>
        </is>
      </c>
      <c r="B6" s="80" t="n">
        <v>0.12</v>
      </c>
      <c r="C6" s="80" t="n">
        <v>0.104</v>
      </c>
      <c r="D6" s="80" t="n">
        <v>0.096</v>
      </c>
      <c r="E6" s="80" t="n">
        <v>0.091</v>
      </c>
      <c r="F6" s="80" t="n">
        <v>0.091</v>
      </c>
      <c r="G6" s="80" t="n">
        <v>0.089</v>
      </c>
    </row>
    <row r="7">
      <c r="A7" t="inlineStr">
        <is>
          <t>Service Revenue</t>
        </is>
      </c>
      <c r="B7" s="83">
        <f>B4*B5*B6</f>
        <v/>
      </c>
      <c r="C7" s="83">
        <f>C4*C5*C6</f>
        <v/>
      </c>
      <c r="D7" s="83">
        <f>D4*D5*D6</f>
        <v/>
      </c>
      <c r="E7" s="83">
        <f>E4*E5*E6</f>
        <v/>
      </c>
      <c r="F7" s="83">
        <f>F4*F5*F6</f>
        <v/>
      </c>
      <c r="G7" s="83">
        <f>G4*G5*G6</f>
        <v/>
      </c>
    </row>
    <row r="8">
      <c r="A8" t="inlineStr">
        <is>
          <t>Support Cost % of Service Revenue</t>
        </is>
      </c>
      <c r="B8" s="101" t="n">
        <v>0.4</v>
      </c>
      <c r="C8" s="101" t="n">
        <v>0.4</v>
      </c>
      <c r="D8" s="101" t="n">
        <v>0.4</v>
      </c>
      <c r="E8" s="101" t="n">
        <v>0.4</v>
      </c>
      <c r="F8" s="101" t="n">
        <v>0.4</v>
      </c>
      <c r="G8" s="101" t="n">
        <v>0.4</v>
      </c>
    </row>
    <row r="9">
      <c r="A9" t="inlineStr">
        <is>
          <t>Support Cost</t>
        </is>
      </c>
      <c r="B9" s="83">
        <f>B7*B8</f>
        <v/>
      </c>
      <c r="C9" s="83">
        <f>C7*C8</f>
        <v/>
      </c>
      <c r="D9" s="83">
        <f>D7*D8</f>
        <v/>
      </c>
      <c r="E9" s="83">
        <f>E7*E8</f>
        <v/>
      </c>
      <c r="F9" s="83">
        <f>F7*F8</f>
        <v/>
      </c>
      <c r="G9" s="83">
        <f>G7*G8</f>
        <v/>
      </c>
    </row>
    <row r="10">
      <c r="A10" t="inlineStr">
        <is>
          <t>Service Gross Profit</t>
        </is>
      </c>
      <c r="B10" s="83">
        <f>B7-B9</f>
        <v/>
      </c>
      <c r="C10" s="83">
        <f>C7-C9</f>
        <v/>
      </c>
      <c r="D10" s="83">
        <f>D7-D9</f>
        <v/>
      </c>
      <c r="E10" s="83">
        <f>E7-E9</f>
        <v/>
      </c>
      <c r="F10" s="83">
        <f>F7-F9</f>
        <v/>
      </c>
      <c r="G10" s="83">
        <f>G7-G9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Wafer and Die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units and 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CS3 Systems Sold</t>
        </is>
      </c>
      <c r="B4" s="77">
        <f>'03 Revenue Build'!B4</f>
        <v/>
      </c>
      <c r="C4" s="77">
        <f>'03 Revenue Build'!C4</f>
        <v/>
      </c>
      <c r="D4" s="77">
        <f>'03 Revenue Build'!D4</f>
        <v/>
      </c>
      <c r="E4" s="77">
        <f>'03 Revenue Build'!E4</f>
        <v/>
      </c>
      <c r="F4" s="77">
        <f>'03 Revenue Build'!F4</f>
        <v/>
      </c>
      <c r="G4" s="77">
        <f>'03 Revenue Build'!G4</f>
        <v/>
      </c>
    </row>
    <row r="5">
      <c r="A5" t="inlineStr">
        <is>
          <t>Wafers per CS3</t>
        </is>
      </c>
      <c r="B5" s="89" t="n">
        <v>1</v>
      </c>
      <c r="C5" s="89" t="n">
        <v>1</v>
      </c>
      <c r="D5" s="89" t="n">
        <v>1</v>
      </c>
      <c r="E5" s="89" t="n">
        <v>1</v>
      </c>
      <c r="F5" s="89" t="n">
        <v>1</v>
      </c>
      <c r="G5" s="89" t="n">
        <v>1</v>
      </c>
    </row>
    <row r="6">
      <c r="A6" t="inlineStr">
        <is>
          <t>Gross Wafers Required</t>
        </is>
      </c>
      <c r="B6" s="85">
        <f>B4*B5</f>
        <v/>
      </c>
      <c r="C6" s="85">
        <f>C4*C5</f>
        <v/>
      </c>
      <c r="D6" s="85">
        <f>D4*D5</f>
        <v/>
      </c>
      <c r="E6" s="85">
        <f>E4*E5</f>
        <v/>
      </c>
      <c r="F6" s="85">
        <f>F4*F5</f>
        <v/>
      </c>
      <c r="G6" s="85">
        <f>G4*G5</f>
        <v/>
      </c>
    </row>
    <row r="7">
      <c r="A7" t="inlineStr">
        <is>
          <t>Wafer Cost per Wafer</t>
        </is>
      </c>
      <c r="B7" s="102" t="n">
        <v>0.4176</v>
      </c>
      <c r="C7" s="102" t="n">
        <v>0.4277</v>
      </c>
      <c r="D7" s="102" t="n">
        <v>0.4275</v>
      </c>
      <c r="E7" s="102" t="n">
        <v>0.4279</v>
      </c>
      <c r="F7" s="102" t="n">
        <v>0.4281</v>
      </c>
      <c r="G7" s="102" t="n">
        <v>0.429</v>
      </c>
    </row>
    <row r="8">
      <c r="A8" t="inlineStr">
        <is>
          <t>Gross Wafer Cost</t>
        </is>
      </c>
      <c r="B8" s="83">
        <f>B6*B7</f>
        <v/>
      </c>
      <c r="C8" s="83">
        <f>C6*C7</f>
        <v/>
      </c>
      <c r="D8" s="83">
        <f>D6*D7</f>
        <v/>
      </c>
      <c r="E8" s="83">
        <f>E6*E7</f>
        <v/>
      </c>
      <c r="F8" s="83">
        <f>F6*F7</f>
        <v/>
      </c>
      <c r="G8" s="83">
        <f>G6*G7</f>
        <v/>
      </c>
    </row>
    <row r="9">
      <c r="A9" t="inlineStr">
        <is>
          <t>Yield</t>
        </is>
      </c>
      <c r="B9" s="80" t="n">
        <v>0.72</v>
      </c>
      <c r="C9" s="80" t="n">
        <v>0.74</v>
      </c>
      <c r="D9" s="80" t="n">
        <v>0.75</v>
      </c>
      <c r="E9" s="80" t="n">
        <v>0.76</v>
      </c>
      <c r="F9" s="80" t="n">
        <v>0.77</v>
      </c>
      <c r="G9" s="80" t="n">
        <v>0.78</v>
      </c>
    </row>
    <row r="10">
      <c r="A10" t="inlineStr">
        <is>
          <t>Net Wafer Cost (total)</t>
        </is>
      </c>
      <c r="B10" s="103">
        <f>B8/B9</f>
        <v/>
      </c>
      <c r="C10" s="103">
        <f>C8/C9</f>
        <v/>
      </c>
      <c r="D10" s="103">
        <f>D8/D9</f>
        <v/>
      </c>
      <c r="E10" s="103">
        <f>E8/E9</f>
        <v/>
      </c>
      <c r="F10" s="103">
        <f>F8/F9</f>
        <v/>
      </c>
      <c r="G10" s="103">
        <f>G8/G9</f>
        <v/>
      </c>
    </row>
    <row r="11">
      <c r="A11" t="inlineStr">
        <is>
          <t>Chip Design Allocation / CS3</t>
        </is>
      </c>
      <c r="B11" s="104" t="n">
        <v>0.12</v>
      </c>
      <c r="C11" s="104" t="n">
        <v>0.112</v>
      </c>
      <c r="D11" s="104" t="n">
        <v>0.105</v>
      </c>
      <c r="E11" s="104" t="n">
        <v>0.099</v>
      </c>
      <c r="F11" s="104" t="n">
        <v>0.094</v>
      </c>
      <c r="G11" s="104" t="n">
        <v>0.09</v>
      </c>
    </row>
    <row r="12">
      <c r="A12" t="inlineStr">
        <is>
          <t>Design Allocation (total)</t>
        </is>
      </c>
      <c r="B12" s="96">
        <f>B11*B4</f>
        <v/>
      </c>
      <c r="C12" s="96">
        <f>C11*C4</f>
        <v/>
      </c>
      <c r="D12" s="96">
        <f>D11*D4</f>
        <v/>
      </c>
      <c r="E12" s="96">
        <f>E11*E4</f>
        <v/>
      </c>
      <c r="F12" s="96">
        <f>F11*F4</f>
        <v/>
      </c>
      <c r="G12" s="96">
        <f>G11*G4</f>
        <v/>
      </c>
    </row>
    <row r="13">
      <c r="A13" s="22" t="inlineStr">
        <is>
          <t>Total Wafer and Die Cost</t>
        </is>
      </c>
      <c r="B13" s="105">
        <f>B10+B12</f>
        <v/>
      </c>
      <c r="C13" s="105">
        <f>C10+C12</f>
        <v/>
      </c>
      <c r="D13" s="105">
        <f>D10+D12</f>
        <v/>
      </c>
      <c r="E13" s="105">
        <f>E10+E12</f>
        <v/>
      </c>
      <c r="F13" s="105">
        <f>F10+F12</f>
        <v/>
      </c>
      <c r="G13" s="105">
        <f>G10+G12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Yield and Packaging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CS3 Systems Sold</t>
        </is>
      </c>
      <c r="B4" s="77">
        <f>'03 Revenue Build'!B4</f>
        <v/>
      </c>
      <c r="C4" s="77">
        <f>'03 Revenue Build'!C4</f>
        <v/>
      </c>
      <c r="D4" s="77">
        <f>'03 Revenue Build'!D4</f>
        <v/>
      </c>
      <c r="E4" s="77">
        <f>'03 Revenue Build'!E4</f>
        <v/>
      </c>
      <c r="F4" s="77">
        <f>'03 Revenue Build'!F4</f>
        <v/>
      </c>
      <c r="G4" s="77">
        <f>'03 Revenue Build'!G4</f>
        <v/>
      </c>
    </row>
    <row r="5">
      <c r="A5" t="inlineStr">
        <is>
          <t>Advanced Packaging Cost / CS3</t>
        </is>
      </c>
      <c r="B5" s="102" t="n">
        <v>0.1</v>
      </c>
      <c r="C5" s="102" t="n">
        <v>0.097</v>
      </c>
      <c r="D5" s="102" t="n">
        <v>0.094</v>
      </c>
      <c r="E5" s="102" t="n">
        <v>0.091</v>
      </c>
      <c r="F5" s="102" t="n">
        <v>0.08799999999999999</v>
      </c>
      <c r="G5" s="102" t="n">
        <v>0.08500000000000001</v>
      </c>
    </row>
    <row r="6">
      <c r="A6" t="inlineStr">
        <is>
          <t>Test Cost / CS3</t>
        </is>
      </c>
      <c r="B6" s="102" t="n">
        <v>0.05</v>
      </c>
      <c r="C6" s="102" t="n">
        <v>0.048</v>
      </c>
      <c r="D6" s="102" t="n">
        <v>0.046</v>
      </c>
      <c r="E6" s="102" t="n">
        <v>0.044</v>
      </c>
      <c r="F6" s="102" t="n">
        <v>0.042</v>
      </c>
      <c r="G6" s="102" t="n">
        <v>0.04</v>
      </c>
    </row>
    <row r="7">
      <c r="A7" t="inlineStr">
        <is>
          <t>Scrap / Rework % of Hardware Revenue</t>
        </is>
      </c>
      <c r="B7" s="80" t="n">
        <v>0.005</v>
      </c>
      <c r="C7" s="80" t="n">
        <v>0.005</v>
      </c>
      <c r="D7" s="80" t="n">
        <v>0.005</v>
      </c>
      <c r="E7" s="80" t="n">
        <v>0.005</v>
      </c>
      <c r="F7" s="80" t="n">
        <v>0.005</v>
      </c>
      <c r="G7" s="80" t="n">
        <v>0.005</v>
      </c>
    </row>
    <row r="8">
      <c r="A8" t="inlineStr">
        <is>
          <t>Packaging Cost</t>
        </is>
      </c>
      <c r="B8" s="83">
        <f>B4*B5</f>
        <v/>
      </c>
      <c r="C8" s="83">
        <f>C4*C5</f>
        <v/>
      </c>
      <c r="D8" s="83">
        <f>D4*D5</f>
        <v/>
      </c>
      <c r="E8" s="83">
        <f>E4*E5</f>
        <v/>
      </c>
      <c r="F8" s="83">
        <f>F4*F5</f>
        <v/>
      </c>
      <c r="G8" s="83">
        <f>G4*G5</f>
        <v/>
      </c>
    </row>
    <row r="9">
      <c r="A9" t="inlineStr">
        <is>
          <t>Test Cost</t>
        </is>
      </c>
      <c r="B9" s="83">
        <f>B4*B6</f>
        <v/>
      </c>
      <c r="C9" s="83">
        <f>C4*C6</f>
        <v/>
      </c>
      <c r="D9" s="83">
        <f>D4*D6</f>
        <v/>
      </c>
      <c r="E9" s="83">
        <f>E4*E6</f>
        <v/>
      </c>
      <c r="F9" s="83">
        <f>F4*F6</f>
        <v/>
      </c>
      <c r="G9" s="83">
        <f>G4*G6</f>
        <v/>
      </c>
    </row>
    <row r="10">
      <c r="A10" t="inlineStr">
        <is>
          <t>Scrap / Rework Cost</t>
        </is>
      </c>
      <c r="B10" s="83">
        <f>'03 Revenue Build'!B6*B7</f>
        <v/>
      </c>
      <c r="C10" s="83">
        <f>'03 Revenue Build'!C6*C7</f>
        <v/>
      </c>
      <c r="D10" s="83">
        <f>'03 Revenue Build'!D6*D7</f>
        <v/>
      </c>
      <c r="E10" s="83">
        <f>'03 Revenue Build'!E6*E7</f>
        <v/>
      </c>
      <c r="F10" s="83">
        <f>'03 Revenue Build'!F6*F7</f>
        <v/>
      </c>
      <c r="G10" s="83">
        <f>'03 Revenue Build'!G6*G7</f>
        <v/>
      </c>
    </row>
    <row r="11">
      <c r="A11" s="22" t="inlineStr">
        <is>
          <t>Total Packaging and Test Cost</t>
        </is>
      </c>
      <c r="B11" s="88">
        <f>SUM(B8:B10)</f>
        <v/>
      </c>
      <c r="C11" s="88">
        <f>SUM(C8:C10)</f>
        <v/>
      </c>
      <c r="D11" s="88">
        <f>SUM(D8:D10)</f>
        <v/>
      </c>
      <c r="E11" s="88">
        <f>SUM(E8:E10)</f>
        <v/>
      </c>
      <c r="F11" s="88">
        <f>SUM(F8:F10)</f>
        <v/>
      </c>
      <c r="G11" s="88">
        <f>SUM(G8:G10)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MemoryX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CS3 Systems Sold</t>
        </is>
      </c>
      <c r="B4" s="77">
        <f>'03 Revenue Build'!B4</f>
        <v/>
      </c>
      <c r="C4" s="77">
        <f>'03 Revenue Build'!C4</f>
        <v/>
      </c>
      <c r="D4" s="77">
        <f>'03 Revenue Build'!D4</f>
        <v/>
      </c>
      <c r="E4" s="77">
        <f>'03 Revenue Build'!E4</f>
        <v/>
      </c>
      <c r="F4" s="77">
        <f>'03 Revenue Build'!F4</f>
        <v/>
      </c>
      <c r="G4" s="77">
        <f>'03 Revenue Build'!G4</f>
        <v/>
      </c>
    </row>
    <row r="5">
      <c r="A5" t="inlineStr">
        <is>
          <t>MemoryX Modules / CS3</t>
        </is>
      </c>
      <c r="B5" s="68" t="n">
        <v>6</v>
      </c>
      <c r="C5" s="68" t="n">
        <v>6</v>
      </c>
      <c r="D5" s="68" t="n">
        <v>6</v>
      </c>
      <c r="E5" s="68" t="n">
        <v>6</v>
      </c>
      <c r="F5" s="68" t="n">
        <v>6</v>
      </c>
      <c r="G5" s="68" t="n">
        <v>6</v>
      </c>
    </row>
    <row r="6">
      <c r="A6" t="inlineStr">
        <is>
          <t>Cost / Module</t>
        </is>
      </c>
      <c r="B6" s="106" t="n">
        <v>0.019</v>
      </c>
      <c r="C6" s="106" t="n">
        <v>0.0184</v>
      </c>
      <c r="D6" s="106" t="n">
        <v>0.0178</v>
      </c>
      <c r="E6" s="106" t="n">
        <v>0.0172</v>
      </c>
      <c r="F6" s="106" t="n">
        <v>0.0166</v>
      </c>
      <c r="G6" s="106" t="n">
        <v>0.016</v>
      </c>
    </row>
    <row r="7">
      <c r="A7" t="inlineStr">
        <is>
          <t>Yield / Scrap Factor</t>
        </is>
      </c>
      <c r="B7" s="80" t="n">
        <v>0.05</v>
      </c>
      <c r="C7" s="80" t="n">
        <v>0.05</v>
      </c>
      <c r="D7" s="80" t="n">
        <v>0.05</v>
      </c>
      <c r="E7" s="80" t="n">
        <v>0.05</v>
      </c>
      <c r="F7" s="80" t="n">
        <v>0.05</v>
      </c>
      <c r="G7" s="80" t="n">
        <v>0.05</v>
      </c>
    </row>
    <row r="8">
      <c r="A8" t="inlineStr">
        <is>
          <t>Gross MemoryX Cost</t>
        </is>
      </c>
      <c r="B8" s="96">
        <f>B4*B5*B6</f>
        <v/>
      </c>
      <c r="C8" s="96">
        <f>C4*C5*C6</f>
        <v/>
      </c>
      <c r="D8" s="96">
        <f>D4*D5*D6</f>
        <v/>
      </c>
      <c r="E8" s="96">
        <f>E4*E5*E6</f>
        <v/>
      </c>
      <c r="F8" s="96">
        <f>F4*F5*F6</f>
        <v/>
      </c>
      <c r="G8" s="96">
        <f>G4*G5*G6</f>
        <v/>
      </c>
    </row>
    <row r="9">
      <c r="A9" t="inlineStr">
        <is>
          <t>Net MemoryX Cost</t>
        </is>
      </c>
      <c r="B9" s="96">
        <f>B8*(1+B7)</f>
        <v/>
      </c>
      <c r="C9" s="96">
        <f>C8*(1+C7)</f>
        <v/>
      </c>
      <c r="D9" s="96">
        <f>D8*(1+D7)</f>
        <v/>
      </c>
      <c r="E9" s="96">
        <f>E8*(1+E7)</f>
        <v/>
      </c>
      <c r="F9" s="96">
        <f>F8*(1+F7)</f>
        <v/>
      </c>
      <c r="G9" s="96">
        <f>G8*(1+G7)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SwarmX Interconnect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CS3 Systems Sold</t>
        </is>
      </c>
      <c r="B4" s="77">
        <f>'03 Revenue Build'!B4</f>
        <v/>
      </c>
      <c r="C4" s="77">
        <f>'03 Revenue Build'!C4</f>
        <v/>
      </c>
      <c r="D4" s="77">
        <f>'03 Revenue Build'!D4</f>
        <v/>
      </c>
      <c r="E4" s="77">
        <f>'03 Revenue Build'!E4</f>
        <v/>
      </c>
      <c r="F4" s="77">
        <f>'03 Revenue Build'!F4</f>
        <v/>
      </c>
      <c r="G4" s="77">
        <f>'03 Revenue Build'!G4</f>
        <v/>
      </c>
    </row>
    <row r="5">
      <c r="A5" t="inlineStr">
        <is>
          <t>SwarmX Units / CS3</t>
        </is>
      </c>
      <c r="B5" s="68" t="n">
        <v>4</v>
      </c>
      <c r="C5" s="68" t="n">
        <v>4</v>
      </c>
      <c r="D5" s="68" t="n">
        <v>4</v>
      </c>
      <c r="E5" s="68" t="n">
        <v>4</v>
      </c>
      <c r="F5" s="68" t="n">
        <v>4</v>
      </c>
      <c r="G5" s="68" t="n">
        <v>4</v>
      </c>
    </row>
    <row r="6">
      <c r="A6" t="inlineStr">
        <is>
          <t>Cost / SwarmX Unit</t>
        </is>
      </c>
      <c r="B6" s="106" t="n">
        <v>0.02</v>
      </c>
      <c r="C6" s="106" t="n">
        <v>0.0192</v>
      </c>
      <c r="D6" s="106" t="n">
        <v>0.0184</v>
      </c>
      <c r="E6" s="106" t="n">
        <v>0.0176</v>
      </c>
      <c r="F6" s="106" t="n">
        <v>0.0168</v>
      </c>
      <c r="G6" s="106" t="n">
        <v>0.016</v>
      </c>
    </row>
    <row r="7">
      <c r="A7" t="inlineStr">
        <is>
          <t>Network Switch Cost / CS3</t>
        </is>
      </c>
      <c r="B7" s="102" t="n">
        <v>0.06</v>
      </c>
      <c r="C7" s="102" t="n">
        <v>0.057</v>
      </c>
      <c r="D7" s="102" t="n">
        <v>0.054</v>
      </c>
      <c r="E7" s="102" t="n">
        <v>0.051</v>
      </c>
      <c r="F7" s="102" t="n">
        <v>0.048</v>
      </c>
      <c r="G7" s="102" t="n">
        <v>0.045</v>
      </c>
    </row>
    <row r="8">
      <c r="A8" t="inlineStr">
        <is>
          <t>Cables and Optics / CS3</t>
        </is>
      </c>
      <c r="B8" s="102" t="n">
        <v>0.04</v>
      </c>
      <c r="C8" s="102" t="n">
        <v>0.038</v>
      </c>
      <c r="D8" s="102" t="n">
        <v>0.036</v>
      </c>
      <c r="E8" s="102" t="n">
        <v>0.034</v>
      </c>
      <c r="F8" s="102" t="n">
        <v>0.032</v>
      </c>
      <c r="G8" s="102" t="n">
        <v>0.03</v>
      </c>
    </row>
    <row r="9">
      <c r="A9" t="inlineStr">
        <is>
          <t>SwarmX Cost</t>
        </is>
      </c>
      <c r="B9" s="83">
        <f>B4*B5*B6</f>
        <v/>
      </c>
      <c r="C9" s="83">
        <f>C4*C5*C6</f>
        <v/>
      </c>
      <c r="D9" s="83">
        <f>D4*D5*D6</f>
        <v/>
      </c>
      <c r="E9" s="83">
        <f>E4*E5*E6</f>
        <v/>
      </c>
      <c r="F9" s="83">
        <f>F4*F5*F6</f>
        <v/>
      </c>
      <c r="G9" s="83">
        <f>G4*G5*G6</f>
        <v/>
      </c>
    </row>
    <row r="10">
      <c r="A10" t="inlineStr">
        <is>
          <t>Network Hardware Cost</t>
        </is>
      </c>
      <c r="B10" s="83">
        <f>B4*(B7+B8)</f>
        <v/>
      </c>
      <c r="C10" s="83">
        <f>C4*(C7+C8)</f>
        <v/>
      </c>
      <c r="D10" s="83">
        <f>D4*(D7+D8)</f>
        <v/>
      </c>
      <c r="E10" s="83">
        <f>E4*(E7+E8)</f>
        <v/>
      </c>
      <c r="F10" s="83">
        <f>F4*(F7+F8)</f>
        <v/>
      </c>
      <c r="G10" s="83">
        <f>G4*(G7+G8)</f>
        <v/>
      </c>
    </row>
    <row r="11">
      <c r="A11" s="22" t="inlineStr">
        <is>
          <t>Total SwarmX Cost</t>
        </is>
      </c>
      <c r="B11" s="88">
        <f>SUM(B9:B10)</f>
        <v/>
      </c>
      <c r="C11" s="88">
        <f>SUM(C9:C10)</f>
        <v/>
      </c>
      <c r="D11" s="88">
        <f>SUM(D9:D10)</f>
        <v/>
      </c>
      <c r="E11" s="88">
        <f>SUM(E9:E10)</f>
        <v/>
      </c>
      <c r="F11" s="88">
        <f>SUM(F9:F10)</f>
        <v/>
      </c>
      <c r="G11" s="88">
        <f>SUM(G9:G10)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x86, Cooling, Power and Other Hardware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CS3 Systems Sold</t>
        </is>
      </c>
      <c r="B4" s="77">
        <f>'03 Revenue Build'!B4</f>
        <v/>
      </c>
      <c r="C4" s="77">
        <f>'03 Revenue Build'!C4</f>
        <v/>
      </c>
      <c r="D4" s="77">
        <f>'03 Revenue Build'!D4</f>
        <v/>
      </c>
      <c r="E4" s="77">
        <f>'03 Revenue Build'!E4</f>
        <v/>
      </c>
      <c r="F4" s="77">
        <f>'03 Revenue Build'!F4</f>
        <v/>
      </c>
      <c r="G4" s="77">
        <f>'03 Revenue Build'!G4</f>
        <v/>
      </c>
    </row>
    <row r="5">
      <c r="A5" t="inlineStr">
        <is>
          <t>x86 Server Cost / CS3</t>
        </is>
      </c>
      <c r="B5" s="102" t="n">
        <v>0.05</v>
      </c>
      <c r="C5" s="102" t="n">
        <v>0.048</v>
      </c>
      <c r="D5" s="102" t="n">
        <v>0.046</v>
      </c>
      <c r="E5" s="102" t="n">
        <v>0.044</v>
      </c>
      <c r="F5" s="102" t="n">
        <v>0.042</v>
      </c>
      <c r="G5" s="102" t="n">
        <v>0.04</v>
      </c>
    </row>
    <row r="6">
      <c r="A6" t="inlineStr">
        <is>
          <t>Cooling Cost / CS3</t>
        </is>
      </c>
      <c r="B6" s="102" t="n">
        <v>0.04</v>
      </c>
      <c r="C6" s="102" t="n">
        <v>0.038</v>
      </c>
      <c r="D6" s="102" t="n">
        <v>0.036</v>
      </c>
      <c r="E6" s="102" t="n">
        <v>0.034</v>
      </c>
      <c r="F6" s="102" t="n">
        <v>0.032</v>
      </c>
      <c r="G6" s="102" t="n">
        <v>0.03</v>
      </c>
    </row>
    <row r="7">
      <c r="A7" t="inlineStr">
        <is>
          <t>Power Delivery Cost / CS3</t>
        </is>
      </c>
      <c r="B7" s="102" t="n">
        <v>0.04</v>
      </c>
      <c r="C7" s="102" t="n">
        <v>0.038</v>
      </c>
      <c r="D7" s="102" t="n">
        <v>0.036</v>
      </c>
      <c r="E7" s="102" t="n">
        <v>0.034</v>
      </c>
      <c r="F7" s="102" t="n">
        <v>0.032</v>
      </c>
      <c r="G7" s="102" t="n">
        <v>0.03</v>
      </c>
    </row>
    <row r="8">
      <c r="A8" t="inlineStr">
        <is>
          <t>Rack / Chassis Cost / CS3</t>
        </is>
      </c>
      <c r="B8" s="102" t="n">
        <v>0.03</v>
      </c>
      <c r="C8" s="102" t="n">
        <v>0.029</v>
      </c>
      <c r="D8" s="102" t="n">
        <v>0.028</v>
      </c>
      <c r="E8" s="102" t="n">
        <v>0.027</v>
      </c>
      <c r="F8" s="102" t="n">
        <v>0.026</v>
      </c>
      <c r="G8" s="102" t="n">
        <v>0.025</v>
      </c>
    </row>
    <row r="9">
      <c r="A9" t="inlineStr">
        <is>
          <t>Management Hardware / CS3</t>
        </is>
      </c>
      <c r="B9" s="102" t="n">
        <v>0.02</v>
      </c>
      <c r="C9" s="102" t="n">
        <v>0.019</v>
      </c>
      <c r="D9" s="102" t="n">
        <v>0.018</v>
      </c>
      <c r="E9" s="102" t="n">
        <v>0.017</v>
      </c>
      <c r="F9" s="102" t="n">
        <v>0.016</v>
      </c>
      <c r="G9" s="102" t="n">
        <v>0.015</v>
      </c>
    </row>
    <row r="10">
      <c r="A10" t="inlineStr">
        <is>
          <t>Other Cost / CS3</t>
        </is>
      </c>
      <c r="B10" s="102" t="n">
        <v>0.02</v>
      </c>
      <c r="C10" s="102" t="n">
        <v>0.019</v>
      </c>
      <c r="D10" s="102" t="n">
        <v>0.018</v>
      </c>
      <c r="E10" s="102" t="n">
        <v>0.017</v>
      </c>
      <c r="F10" s="102" t="n">
        <v>0.016</v>
      </c>
      <c r="G10" s="102" t="n">
        <v>0.015</v>
      </c>
    </row>
    <row r="11">
      <c r="A11" s="22" t="inlineStr">
        <is>
          <t>Total Other Hardware Cost</t>
        </is>
      </c>
      <c r="B11" s="88">
        <f>B4*SUM(B5:B10)</f>
        <v/>
      </c>
      <c r="C11" s="88">
        <f>C4*SUM(C5:C10)</f>
        <v/>
      </c>
      <c r="D11" s="88">
        <f>D4*SUM(D5:D10)</f>
        <v/>
      </c>
      <c r="E11" s="88">
        <f>E4*SUM(E5:E10)</f>
        <v/>
      </c>
      <c r="F11" s="88">
        <f>F4*SUM(F5:F10)</f>
        <v/>
      </c>
      <c r="G11" s="88">
        <f>G4*SUM(G5:G10)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Cost of Goods Sold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Hardware Revenue</t>
        </is>
      </c>
      <c r="B4" s="72">
        <f>'03 Revenue Build'!B6</f>
        <v/>
      </c>
      <c r="C4" s="72">
        <f>'03 Revenue Build'!C6</f>
        <v/>
      </c>
      <c r="D4" s="72">
        <f>'03 Revenue Build'!D6</f>
        <v/>
      </c>
      <c r="E4" s="72">
        <f>'03 Revenue Build'!E6</f>
        <v/>
      </c>
      <c r="F4" s="72">
        <f>'03 Revenue Build'!F6</f>
        <v/>
      </c>
      <c r="G4" s="72">
        <f>'03 Revenue Build'!G6</f>
        <v/>
      </c>
    </row>
    <row r="5">
      <c r="A5" t="inlineStr">
        <is>
          <t>Wafer and Die</t>
        </is>
      </c>
      <c r="B5" s="72">
        <f>'09 Wafer Die'!B13</f>
        <v/>
      </c>
      <c r="C5" s="72">
        <f>'09 Wafer Die'!C13</f>
        <v/>
      </c>
      <c r="D5" s="72">
        <f>'09 Wafer Die'!D13</f>
        <v/>
      </c>
      <c r="E5" s="72">
        <f>'09 Wafer Die'!E13</f>
        <v/>
      </c>
      <c r="F5" s="72">
        <f>'09 Wafer Die'!F13</f>
        <v/>
      </c>
      <c r="G5" s="72">
        <f>'09 Wafer Die'!G13</f>
        <v/>
      </c>
    </row>
    <row r="6">
      <c r="A6" t="inlineStr">
        <is>
          <t>Packaging and Test</t>
        </is>
      </c>
      <c r="B6" s="72">
        <f>'10 Yield Packaging'!B11</f>
        <v/>
      </c>
      <c r="C6" s="72">
        <f>'10 Yield Packaging'!C11</f>
        <v/>
      </c>
      <c r="D6" s="72">
        <f>'10 Yield Packaging'!D11</f>
        <v/>
      </c>
      <c r="E6" s="72">
        <f>'10 Yield Packaging'!E11</f>
        <v/>
      </c>
      <c r="F6" s="72">
        <f>'10 Yield Packaging'!F11</f>
        <v/>
      </c>
      <c r="G6" s="72">
        <f>'10 Yield Packaging'!G11</f>
        <v/>
      </c>
    </row>
    <row r="7">
      <c r="A7" t="inlineStr">
        <is>
          <t>MemoryX</t>
        </is>
      </c>
      <c r="B7" s="72">
        <f>'11 MemoryX'!B9</f>
        <v/>
      </c>
      <c r="C7" s="72">
        <f>'11 MemoryX'!C9</f>
        <v/>
      </c>
      <c r="D7" s="72">
        <f>'11 MemoryX'!D9</f>
        <v/>
      </c>
      <c r="E7" s="72">
        <f>'11 MemoryX'!E9</f>
        <v/>
      </c>
      <c r="F7" s="72">
        <f>'11 MemoryX'!F9</f>
        <v/>
      </c>
      <c r="G7" s="72">
        <f>'11 MemoryX'!G9</f>
        <v/>
      </c>
    </row>
    <row r="8">
      <c r="A8" t="inlineStr">
        <is>
          <t>SwarmX</t>
        </is>
      </c>
      <c r="B8" s="72">
        <f>'12 SwarmX'!B11</f>
        <v/>
      </c>
      <c r="C8" s="72">
        <f>'12 SwarmX'!C11</f>
        <v/>
      </c>
      <c r="D8" s="72">
        <f>'12 SwarmX'!D11</f>
        <v/>
      </c>
      <c r="E8" s="72">
        <f>'12 SwarmX'!E11</f>
        <v/>
      </c>
      <c r="F8" s="72">
        <f>'12 SwarmX'!F11</f>
        <v/>
      </c>
      <c r="G8" s="72">
        <f>'12 SwarmX'!G11</f>
        <v/>
      </c>
    </row>
    <row r="9">
      <c r="A9" t="inlineStr">
        <is>
          <t>Other Hardware</t>
        </is>
      </c>
      <c r="B9" s="72">
        <f>'13 Hardware Other'!B11</f>
        <v/>
      </c>
      <c r="C9" s="72">
        <f>'13 Hardware Other'!C11</f>
        <v/>
      </c>
      <c r="D9" s="72">
        <f>'13 Hardware Other'!D11</f>
        <v/>
      </c>
      <c r="E9" s="72">
        <f>'13 Hardware Other'!E11</f>
        <v/>
      </c>
      <c r="F9" s="72">
        <f>'13 Hardware Other'!F11</f>
        <v/>
      </c>
      <c r="G9" s="72">
        <f>'13 Hardware Other'!G11</f>
        <v/>
      </c>
    </row>
    <row r="10">
      <c r="A10" t="inlineStr">
        <is>
          <t>Direct Labor / CS3</t>
        </is>
      </c>
      <c r="B10" s="102" t="n">
        <v>0.04</v>
      </c>
      <c r="C10" s="102" t="n">
        <v>0.038</v>
      </c>
      <c r="D10" s="102" t="n">
        <v>0.036</v>
      </c>
      <c r="E10" s="102" t="n">
        <v>0.034</v>
      </c>
      <c r="F10" s="102" t="n">
        <v>0.032</v>
      </c>
      <c r="G10" s="102" t="n">
        <v>0.03</v>
      </c>
    </row>
    <row r="11">
      <c r="A11" t="inlineStr">
        <is>
          <t>Mfg Overhead / CS3</t>
        </is>
      </c>
      <c r="B11" s="102" t="n">
        <v>0.05</v>
      </c>
      <c r="C11" s="102" t="n">
        <v>0.048</v>
      </c>
      <c r="D11" s="102" t="n">
        <v>0.046</v>
      </c>
      <c r="E11" s="102" t="n">
        <v>0.044</v>
      </c>
      <c r="F11" s="102" t="n">
        <v>0.042</v>
      </c>
      <c r="G11" s="102" t="n">
        <v>0.04</v>
      </c>
    </row>
    <row r="12">
      <c r="A12" t="inlineStr">
        <is>
          <t>Warranty % Hardware Rev</t>
        </is>
      </c>
      <c r="B12" s="80" t="n">
        <v>0.015</v>
      </c>
      <c r="C12" s="80" t="n">
        <v>0.015</v>
      </c>
      <c r="D12" s="80" t="n">
        <v>0.015</v>
      </c>
      <c r="E12" s="80" t="n">
        <v>0.015</v>
      </c>
      <c r="F12" s="80" t="n">
        <v>0.015</v>
      </c>
      <c r="G12" s="80" t="n">
        <v>0.015</v>
      </c>
    </row>
    <row r="13">
      <c r="A13" t="inlineStr">
        <is>
          <t>Freight / CS3</t>
        </is>
      </c>
      <c r="B13" s="102" t="n">
        <v>0.012</v>
      </c>
      <c r="C13" s="102" t="n">
        <v>0.011</v>
      </c>
      <c r="D13" s="102" t="n">
        <v>0.01</v>
      </c>
      <c r="E13" s="102" t="n">
        <v>0.01</v>
      </c>
      <c r="F13" s="102" t="n">
        <v>0.008999999999999999</v>
      </c>
      <c r="G13" s="102" t="n">
        <v>0.008999999999999999</v>
      </c>
    </row>
    <row r="14">
      <c r="A14" t="inlineStr">
        <is>
          <t>Hardware COGS</t>
        </is>
      </c>
      <c r="B14" s="96">
        <f>SUM(B5:B9)+'03 Revenue Build'!B4*(B10+B11+B13)+B4*B12</f>
        <v/>
      </c>
      <c r="C14" s="96">
        <f>SUM(C5:C9)+'03 Revenue Build'!C4*(C10+C11+C13)+C4*C12</f>
        <v/>
      </c>
      <c r="D14" s="96">
        <f>SUM(D5:D9)+'03 Revenue Build'!D4*(D10+D11+D13)+D4*D12</f>
        <v/>
      </c>
      <c r="E14" s="96">
        <f>SUM(E5:E9)+'03 Revenue Build'!E4*(E10+E11+E13)+E4*E12</f>
        <v/>
      </c>
      <c r="F14" s="96">
        <f>SUM(F5:F9)+'03 Revenue Build'!F4*(F10+F11+F13)+F4*F12</f>
        <v/>
      </c>
      <c r="G14" s="96">
        <f>SUM(G5:G9)+'03 Revenue Build'!G4*(G10+G11+G13)+G4*G12</f>
        <v/>
      </c>
    </row>
    <row r="15">
      <c r="A15" t="inlineStr">
        <is>
          <t>Cloud COGS</t>
        </is>
      </c>
      <c r="B15" s="96">
        <f>'07 Cloud Revenue'!B8*(1-'07 Cloud Revenue'!B10)</f>
        <v/>
      </c>
      <c r="C15" s="96">
        <f>'07 Cloud Revenue'!C8*(1-'07 Cloud Revenue'!C10)</f>
        <v/>
      </c>
      <c r="D15" s="96">
        <f>'07 Cloud Revenue'!D8*(1-'07 Cloud Revenue'!D10)</f>
        <v/>
      </c>
      <c r="E15" s="96">
        <f>'07 Cloud Revenue'!E8*(1-'07 Cloud Revenue'!E10)</f>
        <v/>
      </c>
      <c r="F15" s="96">
        <f>'07 Cloud Revenue'!F8*(1-'07 Cloud Revenue'!F10)</f>
        <v/>
      </c>
      <c r="G15" s="96">
        <f>'07 Cloud Revenue'!G8*(1-'07 Cloud Revenue'!G10)</f>
        <v/>
      </c>
    </row>
    <row r="16">
      <c r="A16" t="inlineStr">
        <is>
          <t>Service COGS</t>
        </is>
      </c>
      <c r="B16" s="96">
        <f>'08 Services Support'!B9</f>
        <v/>
      </c>
      <c r="C16" s="96">
        <f>'08 Services Support'!C9</f>
        <v/>
      </c>
      <c r="D16" s="96">
        <f>'08 Services Support'!D9</f>
        <v/>
      </c>
      <c r="E16" s="96">
        <f>'08 Services Support'!E9</f>
        <v/>
      </c>
      <c r="F16" s="96">
        <f>'08 Services Support'!F9</f>
        <v/>
      </c>
      <c r="G16" s="96">
        <f>'08 Services Support'!G9</f>
        <v/>
      </c>
    </row>
    <row r="17">
      <c r="A17" s="22" t="inlineStr">
        <is>
          <t>Total COGS</t>
        </is>
      </c>
      <c r="B17" s="105">
        <f>B14+B15+B16</f>
        <v/>
      </c>
      <c r="C17" s="105">
        <f>C14+C15+C16</f>
        <v/>
      </c>
      <c r="D17" s="105">
        <f>D14+D15+D16</f>
        <v/>
      </c>
      <c r="E17" s="105">
        <f>E14+E15+E16</f>
        <v/>
      </c>
      <c r="F17" s="105">
        <f>F14+F15+F16</f>
        <v/>
      </c>
      <c r="G17" s="105">
        <f>G14+G15+G16</f>
        <v/>
      </c>
    </row>
    <row r="18">
      <c r="A18" s="22" t="inlineStr">
        <is>
          <t>Gross Profit</t>
        </is>
      </c>
      <c r="B18" s="105">
        <f>'03 Revenue Build'!B11-B17</f>
        <v/>
      </c>
      <c r="C18" s="105">
        <f>'03 Revenue Build'!C11-C17</f>
        <v/>
      </c>
      <c r="D18" s="105">
        <f>'03 Revenue Build'!D11-D17</f>
        <v/>
      </c>
      <c r="E18" s="105">
        <f>'03 Revenue Build'!E11-E17</f>
        <v/>
      </c>
      <c r="F18" s="105">
        <f>'03 Revenue Build'!F11-F17</f>
        <v/>
      </c>
      <c r="G18" s="105">
        <f>'03 Revenue Build'!G11-G17</f>
        <v/>
      </c>
    </row>
    <row r="19">
      <c r="A19" s="22" t="inlineStr">
        <is>
          <t>Gross Margin %</t>
        </is>
      </c>
      <c r="B19" s="107">
        <f>IFERROR(B18/'03 Revenue Build'!B11,0)</f>
        <v/>
      </c>
      <c r="C19" s="107">
        <f>IFERROR(C18/'03 Revenue Build'!C11,0)</f>
        <v/>
      </c>
      <c r="D19" s="107">
        <f>IFERROR(D18/'03 Revenue Build'!D11,0)</f>
        <v/>
      </c>
      <c r="E19" s="107">
        <f>IFERROR(E18/'03 Revenue Build'!E11,0)</f>
        <v/>
      </c>
      <c r="F19" s="107">
        <f>IFERROR(F18/'03 Revenue Build'!F11,0)</f>
        <v/>
      </c>
      <c r="G19" s="107">
        <f>IFERROR(G18/'03 Revenue Build'!G11,0)</f>
        <v/>
      </c>
    </row>
    <row r="20">
      <c r="B20" s="100" t="n"/>
      <c r="C20" s="100" t="n"/>
      <c r="D20" s="100" t="n"/>
      <c r="E20" s="100" t="n"/>
      <c r="F20" s="100" t="n"/>
      <c r="G20" s="100" t="n"/>
    </row>
  </sheetData>
  <mergeCells count="2">
    <mergeCell ref="B2:H2"/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Headcount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employees and 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Engineering HC</t>
        </is>
      </c>
      <c r="B4" s="68" t="n">
        <v>620</v>
      </c>
      <c r="C4" s="68" t="n">
        <v>760</v>
      </c>
      <c r="D4" s="68" t="n">
        <v>910</v>
      </c>
      <c r="E4" s="68" t="n">
        <v>1060</v>
      </c>
      <c r="F4" s="68" t="n">
        <v>1210</v>
      </c>
      <c r="G4" s="68" t="n">
        <v>1360</v>
      </c>
    </row>
    <row r="5">
      <c r="A5" t="inlineStr">
        <is>
          <t>Manufacturing HC</t>
        </is>
      </c>
      <c r="B5" s="68" t="n">
        <v>120</v>
      </c>
      <c r="C5" s="68" t="n">
        <v>150</v>
      </c>
      <c r="D5" s="68" t="n">
        <v>185</v>
      </c>
      <c r="E5" s="68" t="n">
        <v>220</v>
      </c>
      <c r="F5" s="68" t="n">
        <v>255</v>
      </c>
      <c r="G5" s="68" t="n">
        <v>290</v>
      </c>
    </row>
    <row r="6">
      <c r="A6" t="inlineStr">
        <is>
          <t>Sales HC</t>
        </is>
      </c>
      <c r="B6" s="68" t="n">
        <v>110</v>
      </c>
      <c r="C6" s="68" t="n">
        <v>140</v>
      </c>
      <c r="D6" s="68" t="n">
        <v>175</v>
      </c>
      <c r="E6" s="68" t="n">
        <v>210</v>
      </c>
      <c r="F6" s="68" t="n">
        <v>245</v>
      </c>
      <c r="G6" s="68" t="n">
        <v>280</v>
      </c>
    </row>
    <row r="7">
      <c r="A7" t="inlineStr">
        <is>
          <t>G&amp;A HC</t>
        </is>
      </c>
      <c r="B7" s="68" t="n">
        <v>90</v>
      </c>
      <c r="C7" s="68" t="n">
        <v>110</v>
      </c>
      <c r="D7" s="68" t="n">
        <v>135</v>
      </c>
      <c r="E7" s="68" t="n">
        <v>160</v>
      </c>
      <c r="F7" s="68" t="n">
        <v>185</v>
      </c>
      <c r="G7" s="68" t="n">
        <v>210</v>
      </c>
    </row>
    <row r="8">
      <c r="A8" s="22" t="inlineStr">
        <is>
          <t>Total HC</t>
        </is>
      </c>
      <c r="B8" s="108">
        <f>SUM(B4:B7)</f>
        <v/>
      </c>
      <c r="C8" s="108">
        <f>SUM(C4:C7)</f>
        <v/>
      </c>
      <c r="D8" s="108">
        <f>SUM(D4:D7)</f>
        <v/>
      </c>
      <c r="E8" s="108">
        <f>SUM(E4:E7)</f>
        <v/>
      </c>
      <c r="F8" s="108">
        <f>SUM(F4:F7)</f>
        <v/>
      </c>
      <c r="G8" s="108">
        <f>SUM(G4:G7)</f>
        <v/>
      </c>
    </row>
    <row r="9">
      <c r="A9" t="inlineStr">
        <is>
          <t>Avg Comp / Engineering</t>
        </is>
      </c>
      <c r="B9" s="89" t="n">
        <v>0.26</v>
      </c>
      <c r="C9" s="89" t="n">
        <v>0.26</v>
      </c>
      <c r="D9" s="89" t="n">
        <v>0.26</v>
      </c>
      <c r="E9" s="89" t="n">
        <v>0.26</v>
      </c>
      <c r="F9" s="89" t="n">
        <v>0.26</v>
      </c>
      <c r="G9" s="89" t="n">
        <v>0.26</v>
      </c>
    </row>
    <row r="10">
      <c r="A10" t="inlineStr">
        <is>
          <t>Avg Comp / Manufacturing</t>
        </is>
      </c>
      <c r="B10" s="89" t="n">
        <v>0.15</v>
      </c>
      <c r="C10" s="89" t="n">
        <v>0.15</v>
      </c>
      <c r="D10" s="89" t="n">
        <v>0.15</v>
      </c>
      <c r="E10" s="89" t="n">
        <v>0.15</v>
      </c>
      <c r="F10" s="89" t="n">
        <v>0.15</v>
      </c>
      <c r="G10" s="89" t="n">
        <v>0.15</v>
      </c>
    </row>
    <row r="11">
      <c r="A11" t="inlineStr">
        <is>
          <t>Avg Comp / Sales</t>
        </is>
      </c>
      <c r="B11" s="89" t="n">
        <v>0.24</v>
      </c>
      <c r="C11" s="89" t="n">
        <v>0.24</v>
      </c>
      <c r="D11" s="89" t="n">
        <v>0.24</v>
      </c>
      <c r="E11" s="89" t="n">
        <v>0.24</v>
      </c>
      <c r="F11" s="89" t="n">
        <v>0.24</v>
      </c>
      <c r="G11" s="89" t="n">
        <v>0.24</v>
      </c>
    </row>
    <row r="12">
      <c r="A12" t="inlineStr">
        <is>
          <t>Avg Comp / G&amp;A</t>
        </is>
      </c>
      <c r="B12" s="89" t="n">
        <v>0.23</v>
      </c>
      <c r="C12" s="89" t="n">
        <v>0.23</v>
      </c>
      <c r="D12" s="89" t="n">
        <v>0.23</v>
      </c>
      <c r="E12" s="89" t="n">
        <v>0.23</v>
      </c>
      <c r="F12" s="89" t="n">
        <v>0.23</v>
      </c>
      <c r="G12" s="89" t="n">
        <v>0.23</v>
      </c>
    </row>
    <row r="13">
      <c r="A13" t="inlineStr">
        <is>
          <t>Cash Compensation</t>
        </is>
      </c>
      <c r="B13" s="83">
        <f>B4*B9+B5*B10+B6*B11+B7*B12</f>
        <v/>
      </c>
      <c r="C13" s="83">
        <f>C4*C9+C5*C10+C6*C11+C7*C12</f>
        <v/>
      </c>
      <c r="D13" s="83">
        <f>D4*D9+D5*D10+D6*D11+D7*D12</f>
        <v/>
      </c>
      <c r="E13" s="83">
        <f>E4*E9+E5*E10+E6*E11+E7*E12</f>
        <v/>
      </c>
      <c r="F13" s="83">
        <f>F4*F9+F5*F10+F6*F11+F7*F12</f>
        <v/>
      </c>
      <c r="G13" s="83">
        <f>G4*G9+G5*G10+G6*G11+G7*G12</f>
        <v/>
      </c>
    </row>
    <row r="14">
      <c r="A14" t="inlineStr">
        <is>
          <t>Stock Based Compensation % Revenue</t>
        </is>
      </c>
      <c r="B14" s="101" t="n">
        <v>0.09</v>
      </c>
      <c r="C14" s="101" t="n">
        <v>0.08</v>
      </c>
      <c r="D14" s="101" t="n">
        <v>0.07000000000000001</v>
      </c>
      <c r="E14" s="101" t="n">
        <v>0.065</v>
      </c>
      <c r="F14" s="101" t="n">
        <v>0.06</v>
      </c>
      <c r="G14" s="101" t="n">
        <v>0.055</v>
      </c>
    </row>
    <row r="15">
      <c r="A15" t="inlineStr">
        <is>
          <t>Stock Based Compensation</t>
        </is>
      </c>
      <c r="B15" s="83">
        <f>'03 Revenue Build'!B11*B14</f>
        <v/>
      </c>
      <c r="C15" s="83">
        <f>'03 Revenue Build'!C11*C14</f>
        <v/>
      </c>
      <c r="D15" s="83">
        <f>'03 Revenue Build'!D11*D14</f>
        <v/>
      </c>
      <c r="E15" s="83">
        <f>'03 Revenue Build'!E11*E14</f>
        <v/>
      </c>
      <c r="F15" s="83">
        <f>'03 Revenue Build'!F11*F14</f>
        <v/>
      </c>
      <c r="G15" s="83">
        <f>'03 Revenue Build'!G11*G14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Research and Development by Team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Chip Design</t>
        </is>
      </c>
      <c r="B4" s="67" t="n">
        <v>95</v>
      </c>
      <c r="C4" s="67" t="n">
        <v>112</v>
      </c>
      <c r="D4" s="67" t="n">
        <v>130</v>
      </c>
      <c r="E4" s="67" t="n">
        <v>150</v>
      </c>
      <c r="F4" s="67" t="n">
        <v>170</v>
      </c>
      <c r="G4" s="67" t="n">
        <v>192</v>
      </c>
    </row>
    <row r="5">
      <c r="A5" t="inlineStr">
        <is>
          <t>Compiler</t>
        </is>
      </c>
      <c r="B5" s="67" t="n">
        <v>34</v>
      </c>
      <c r="C5" s="67" t="n">
        <v>41</v>
      </c>
      <c r="D5" s="67" t="n">
        <v>48</v>
      </c>
      <c r="E5" s="67" t="n">
        <v>56</v>
      </c>
      <c r="F5" s="67" t="n">
        <v>64</v>
      </c>
      <c r="G5" s="67" t="n">
        <v>72</v>
      </c>
    </row>
    <row r="6">
      <c r="A6" t="inlineStr">
        <is>
          <t>Software Platform</t>
        </is>
      </c>
      <c r="B6" s="67" t="n">
        <v>55</v>
      </c>
      <c r="C6" s="67" t="n">
        <v>66</v>
      </c>
      <c r="D6" s="67" t="n">
        <v>78</v>
      </c>
      <c r="E6" s="67" t="n">
        <v>92</v>
      </c>
      <c r="F6" s="67" t="n">
        <v>106</v>
      </c>
      <c r="G6" s="67" t="n">
        <v>120</v>
      </c>
    </row>
    <row r="7">
      <c r="A7" t="inlineStr">
        <is>
          <t>MemoryX</t>
        </is>
      </c>
      <c r="B7" s="67" t="n">
        <v>16</v>
      </c>
      <c r="C7" s="67" t="n">
        <v>19</v>
      </c>
      <c r="D7" s="67" t="n">
        <v>22</v>
      </c>
      <c r="E7" s="67" t="n">
        <v>25</v>
      </c>
      <c r="F7" s="67" t="n">
        <v>28</v>
      </c>
      <c r="G7" s="67" t="n">
        <v>31</v>
      </c>
    </row>
    <row r="8">
      <c r="A8" t="inlineStr">
        <is>
          <t>SwarmX</t>
        </is>
      </c>
      <c r="B8" s="67" t="n">
        <v>16</v>
      </c>
      <c r="C8" s="67" t="n">
        <v>19</v>
      </c>
      <c r="D8" s="67" t="n">
        <v>22</v>
      </c>
      <c r="E8" s="67" t="n">
        <v>25</v>
      </c>
      <c r="F8" s="67" t="n">
        <v>28</v>
      </c>
      <c r="G8" s="67" t="n">
        <v>31</v>
      </c>
    </row>
    <row r="9">
      <c r="A9" t="inlineStr">
        <is>
          <t>Cooling</t>
        </is>
      </c>
      <c r="B9" s="67" t="n">
        <v>10</v>
      </c>
      <c r="C9" s="67" t="n">
        <v>12</v>
      </c>
      <c r="D9" s="67" t="n">
        <v>14</v>
      </c>
      <c r="E9" s="67" t="n">
        <v>16</v>
      </c>
      <c r="F9" s="67" t="n">
        <v>18</v>
      </c>
      <c r="G9" s="67" t="n">
        <v>20</v>
      </c>
    </row>
    <row r="10">
      <c r="A10" t="inlineStr">
        <is>
          <t>Power Delivery</t>
        </is>
      </c>
      <c r="B10" s="67" t="n">
        <v>10</v>
      </c>
      <c r="C10" s="67" t="n">
        <v>12</v>
      </c>
      <c r="D10" s="67" t="n">
        <v>14</v>
      </c>
      <c r="E10" s="67" t="n">
        <v>16</v>
      </c>
      <c r="F10" s="67" t="n">
        <v>18</v>
      </c>
      <c r="G10" s="67" t="n">
        <v>20</v>
      </c>
    </row>
    <row r="11">
      <c r="A11" t="inlineStr">
        <is>
          <t>AI Model / Customer Engineering</t>
        </is>
      </c>
      <c r="B11" s="67" t="n">
        <v>40</v>
      </c>
      <c r="C11" s="67" t="n">
        <v>50</v>
      </c>
      <c r="D11" s="67" t="n">
        <v>62</v>
      </c>
      <c r="E11" s="67" t="n">
        <v>76</v>
      </c>
      <c r="F11" s="67" t="n">
        <v>90</v>
      </c>
      <c r="G11" s="67" t="n">
        <v>105</v>
      </c>
    </row>
    <row r="12">
      <c r="A12" t="inlineStr">
        <is>
          <t>Other R&amp;D</t>
        </is>
      </c>
      <c r="B12" s="67" t="n">
        <v>24</v>
      </c>
      <c r="C12" s="67" t="n">
        <v>29</v>
      </c>
      <c r="D12" s="67" t="n">
        <v>35</v>
      </c>
      <c r="E12" s="67" t="n">
        <v>44</v>
      </c>
      <c r="F12" s="67" t="n">
        <v>53</v>
      </c>
      <c r="G12" s="67" t="n">
        <v>64</v>
      </c>
    </row>
    <row r="13">
      <c r="A13" s="22" t="inlineStr">
        <is>
          <t>Total R&amp;D</t>
        </is>
      </c>
      <c r="B13" s="88">
        <f>SUM(B4:B12)</f>
        <v/>
      </c>
      <c r="C13" s="88">
        <f>SUM(C4:C12)</f>
        <v/>
      </c>
      <c r="D13" s="88">
        <f>SUM(D4:D12)</f>
        <v/>
      </c>
      <c r="E13" s="88">
        <f>SUM(E4:E12)</f>
        <v/>
      </c>
      <c r="F13" s="88">
        <f>SUM(F4:F12)</f>
        <v/>
      </c>
      <c r="G13" s="88">
        <f>SUM(G4:G12)</f>
        <v/>
      </c>
    </row>
    <row r="14">
      <c r="A14" t="inlineStr">
        <is>
          <t>R&amp;D % Revenue</t>
        </is>
      </c>
      <c r="B14" s="99">
        <f>IFERROR(B13/'03 Revenue Build'!B11,0)</f>
        <v/>
      </c>
      <c r="C14" s="99">
        <f>IFERROR(C13/'03 Revenue Build'!C11,0)</f>
        <v/>
      </c>
      <c r="D14" s="99">
        <f>IFERROR(D13/'03 Revenue Build'!D11,0)</f>
        <v/>
      </c>
      <c r="E14" s="99">
        <f>IFERROR(E13/'03 Revenue Build'!E11,0)</f>
        <v/>
      </c>
      <c r="F14" s="99">
        <f>IFERROR(F13/'03 Revenue Build'!F11,0)</f>
        <v/>
      </c>
      <c r="G14" s="99">
        <f>IFERROR(G13/'03 Revenue Build'!G11,0)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Operating Expense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Revenue</t>
        </is>
      </c>
      <c r="B4" s="72">
        <f>'03 Revenue Build'!B11</f>
        <v/>
      </c>
      <c r="C4" s="72">
        <f>'03 Revenue Build'!C11</f>
        <v/>
      </c>
      <c r="D4" s="72">
        <f>'03 Revenue Build'!D11</f>
        <v/>
      </c>
      <c r="E4" s="72">
        <f>'03 Revenue Build'!E11</f>
        <v/>
      </c>
      <c r="F4" s="72">
        <f>'03 Revenue Build'!F11</f>
        <v/>
      </c>
      <c r="G4" s="72">
        <f>'03 Revenue Build'!G11</f>
        <v/>
      </c>
    </row>
    <row r="5">
      <c r="A5" t="inlineStr">
        <is>
          <t>R&amp;D</t>
        </is>
      </c>
      <c r="B5" s="72">
        <f>'16 R&amp;D Teams'!B13</f>
        <v/>
      </c>
      <c r="C5" s="72">
        <f>'16 R&amp;D Teams'!C13</f>
        <v/>
      </c>
      <c r="D5" s="72">
        <f>'16 R&amp;D Teams'!D13</f>
        <v/>
      </c>
      <c r="E5" s="72">
        <f>'16 R&amp;D Teams'!E13</f>
        <v/>
      </c>
      <c r="F5" s="72">
        <f>'16 R&amp;D Teams'!F13</f>
        <v/>
      </c>
      <c r="G5" s="72">
        <f>'16 R&amp;D Teams'!G13</f>
        <v/>
      </c>
    </row>
    <row r="6">
      <c r="A6" t="inlineStr">
        <is>
          <t>Sales and Marketing</t>
        </is>
      </c>
      <c r="B6" s="67" t="n">
        <v>70</v>
      </c>
      <c r="C6" s="67" t="n">
        <v>88</v>
      </c>
      <c r="D6" s="67" t="n">
        <v>108</v>
      </c>
      <c r="E6" s="67" t="n">
        <v>130</v>
      </c>
      <c r="F6" s="67" t="n">
        <v>155</v>
      </c>
      <c r="G6" s="67" t="n">
        <v>180</v>
      </c>
    </row>
    <row r="7">
      <c r="A7" t="inlineStr">
        <is>
          <t>General and Administrative</t>
        </is>
      </c>
      <c r="B7" s="67" t="n">
        <v>55</v>
      </c>
      <c r="C7" s="67" t="n">
        <v>66</v>
      </c>
      <c r="D7" s="67" t="n">
        <v>78</v>
      </c>
      <c r="E7" s="67" t="n">
        <v>92</v>
      </c>
      <c r="F7" s="67" t="n">
        <v>110</v>
      </c>
      <c r="G7" s="67" t="n">
        <v>130</v>
      </c>
    </row>
    <row r="8">
      <c r="A8" t="inlineStr">
        <is>
          <t>Facilities</t>
        </is>
      </c>
      <c r="B8" s="67" t="n">
        <v>12</v>
      </c>
      <c r="C8" s="67" t="n">
        <v>15</v>
      </c>
      <c r="D8" s="67" t="n">
        <v>18</v>
      </c>
      <c r="E8" s="67" t="n">
        <v>22</v>
      </c>
      <c r="F8" s="67" t="n">
        <v>26</v>
      </c>
      <c r="G8" s="67" t="n">
        <v>30</v>
      </c>
    </row>
    <row r="9">
      <c r="A9" t="inlineStr">
        <is>
          <t>Other OpEx</t>
        </is>
      </c>
      <c r="B9" s="67" t="n">
        <v>8</v>
      </c>
      <c r="C9" s="67" t="n">
        <v>10</v>
      </c>
      <c r="D9" s="67" t="n">
        <v>12</v>
      </c>
      <c r="E9" s="67" t="n">
        <v>14</v>
      </c>
      <c r="F9" s="67" t="n">
        <v>16</v>
      </c>
      <c r="G9" s="67" t="n">
        <v>18</v>
      </c>
    </row>
    <row r="10">
      <c r="A10" t="inlineStr">
        <is>
          <t>Stock Based Compensation</t>
        </is>
      </c>
      <c r="B10" s="72">
        <f>'15 Headcount'!B15</f>
        <v/>
      </c>
      <c r="C10" s="72">
        <f>'15 Headcount'!C15</f>
        <v/>
      </c>
      <c r="D10" s="72">
        <f>'15 Headcount'!D15</f>
        <v/>
      </c>
      <c r="E10" s="72">
        <f>'15 Headcount'!E15</f>
        <v/>
      </c>
      <c r="F10" s="72">
        <f>'15 Headcount'!F15</f>
        <v/>
      </c>
      <c r="G10" s="72">
        <f>'15 Headcount'!G15</f>
        <v/>
      </c>
    </row>
    <row r="11">
      <c r="A11" s="22" t="inlineStr">
        <is>
          <t>Total OpEx</t>
        </is>
      </c>
      <c r="B11" s="88">
        <f>SUM(B5:B10)</f>
        <v/>
      </c>
      <c r="C11" s="88">
        <f>SUM(C5:C10)</f>
        <v/>
      </c>
      <c r="D11" s="88">
        <f>SUM(D5:D10)</f>
        <v/>
      </c>
      <c r="E11" s="88">
        <f>SUM(E5:E10)</f>
        <v/>
      </c>
      <c r="F11" s="88">
        <f>SUM(F5:F10)</f>
        <v/>
      </c>
      <c r="G11" s="88">
        <f>SUM(G5:G10)</f>
        <v/>
      </c>
    </row>
    <row r="12">
      <c r="A12" t="inlineStr">
        <is>
          <t>OpEx % Revenue</t>
        </is>
      </c>
      <c r="B12" s="99">
        <f>IFERROR(B11/B4,0)</f>
        <v/>
      </c>
      <c r="C12" s="99">
        <f>IFERROR(C11/C4,0)</f>
        <v/>
      </c>
      <c r="D12" s="99">
        <f>IFERROR(D11/D4,0)</f>
        <v/>
      </c>
      <c r="E12" s="99">
        <f>IFERROR(E11/E4,0)</f>
        <v/>
      </c>
      <c r="F12" s="99">
        <f>IFERROR(F11/F4,0)</f>
        <v/>
      </c>
      <c r="G12" s="99">
        <f>IFERROR(G11/G4,0)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Capital Expenditure Build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Revenue</t>
        </is>
      </c>
      <c r="B4" s="72">
        <f>'03 Revenue Build'!B11</f>
        <v/>
      </c>
      <c r="C4" s="72">
        <f>'03 Revenue Build'!C11</f>
        <v/>
      </c>
      <c r="D4" s="72">
        <f>'03 Revenue Build'!D11</f>
        <v/>
      </c>
      <c r="E4" s="72">
        <f>'03 Revenue Build'!E11</f>
        <v/>
      </c>
      <c r="F4" s="72">
        <f>'03 Revenue Build'!F11</f>
        <v/>
      </c>
      <c r="G4" s="72">
        <f>'03 Revenue Build'!G11</f>
        <v/>
      </c>
    </row>
    <row r="5">
      <c r="A5" t="inlineStr">
        <is>
          <t>Manufacturing CapEx % Revenue</t>
        </is>
      </c>
      <c r="B5" s="80" t="n">
        <v>0.05</v>
      </c>
      <c r="C5" s="80" t="n">
        <v>0.045</v>
      </c>
      <c r="D5" s="80" t="n">
        <v>0.04</v>
      </c>
      <c r="E5" s="80" t="n">
        <v>0.035</v>
      </c>
      <c r="F5" s="80" t="n">
        <v>0.03</v>
      </c>
      <c r="G5" s="80" t="n">
        <v>0.028</v>
      </c>
    </row>
    <row r="6">
      <c r="A6" t="inlineStr">
        <is>
          <t>Cloud Infrastructure CapEx % Cloud Revenue</t>
        </is>
      </c>
      <c r="B6" s="80" t="n">
        <v>1.2</v>
      </c>
      <c r="C6" s="80" t="n">
        <v>0.9</v>
      </c>
      <c r="D6" s="80" t="n">
        <v>0.7</v>
      </c>
      <c r="E6" s="80" t="n">
        <v>0.55</v>
      </c>
      <c r="F6" s="80" t="n">
        <v>0.45</v>
      </c>
      <c r="G6" s="80" t="n">
        <v>0.4</v>
      </c>
    </row>
    <row r="7">
      <c r="A7" t="inlineStr">
        <is>
          <t>Facilities CapEx</t>
        </is>
      </c>
      <c r="B7" s="67" t="n">
        <v>40</v>
      </c>
      <c r="C7" s="67" t="n">
        <v>45</v>
      </c>
      <c r="D7" s="67" t="n">
        <v>50</v>
      </c>
      <c r="E7" s="67" t="n">
        <v>55</v>
      </c>
      <c r="F7" s="67" t="n">
        <v>60</v>
      </c>
      <c r="G7" s="67" t="n">
        <v>65</v>
      </c>
    </row>
    <row r="8">
      <c r="A8" t="inlineStr">
        <is>
          <t>Capitalized Software</t>
        </is>
      </c>
      <c r="B8" s="67" t="n">
        <v>20</v>
      </c>
      <c r="C8" s="67" t="n">
        <v>24</v>
      </c>
      <c r="D8" s="67" t="n">
        <v>28</v>
      </c>
      <c r="E8" s="67" t="n">
        <v>32</v>
      </c>
      <c r="F8" s="67" t="n">
        <v>36</v>
      </c>
      <c r="G8" s="67" t="n">
        <v>40</v>
      </c>
    </row>
    <row r="9">
      <c r="A9" t="inlineStr">
        <is>
          <t>Other CapEx</t>
        </is>
      </c>
      <c r="B9" s="67" t="n">
        <v>15</v>
      </c>
      <c r="C9" s="67" t="n">
        <v>18</v>
      </c>
      <c r="D9" s="67" t="n">
        <v>20</v>
      </c>
      <c r="E9" s="67" t="n">
        <v>22</v>
      </c>
      <c r="F9" s="67" t="n">
        <v>24</v>
      </c>
      <c r="G9" s="67" t="n">
        <v>26</v>
      </c>
    </row>
    <row r="10">
      <c r="A10" s="22" t="inlineStr">
        <is>
          <t>Total CapEx</t>
        </is>
      </c>
      <c r="B10" s="88">
        <f>B4*B5+'07 Cloud Revenue'!B8*B6+SUM(B7:B9)</f>
        <v/>
      </c>
      <c r="C10" s="88">
        <f>C4*C5+'07 Cloud Revenue'!C8*C6+SUM(C7:C9)</f>
        <v/>
      </c>
      <c r="D10" s="88">
        <f>D4*D5+'07 Cloud Revenue'!D8*D6+SUM(D7:D9)</f>
        <v/>
      </c>
      <c r="E10" s="88">
        <f>E4*E5+'07 Cloud Revenue'!E8*E6+SUM(E7:E9)</f>
        <v/>
      </c>
      <c r="F10" s="88">
        <f>F4*F5+'07 Cloud Revenue'!F8*F6+SUM(F7:F9)</f>
        <v/>
      </c>
      <c r="G10" s="88">
        <f>G4*G5+'07 Cloud Revenue'!G8*G6+SUM(G7:G9)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Depreciation Schedule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Beginning PP&amp;E</t>
        </is>
      </c>
      <c r="B4" s="67" t="n">
        <v>686.346</v>
      </c>
      <c r="C4" s="109">
        <f>B8</f>
        <v/>
      </c>
      <c r="D4" s="109">
        <f>C8</f>
        <v/>
      </c>
      <c r="E4" s="109">
        <f>D8</f>
        <v/>
      </c>
      <c r="F4" s="109">
        <f>E8</f>
        <v/>
      </c>
      <c r="G4" s="109">
        <f>F8</f>
        <v/>
      </c>
    </row>
    <row r="5">
      <c r="A5" t="inlineStr">
        <is>
          <t>CapEx</t>
        </is>
      </c>
      <c r="B5" s="72">
        <f>'18 CapEx'!B10</f>
        <v/>
      </c>
      <c r="C5" s="72">
        <f>'18 CapEx'!C10</f>
        <v/>
      </c>
      <c r="D5" s="72">
        <f>'18 CapEx'!D10</f>
        <v/>
      </c>
      <c r="E5" s="72">
        <f>'18 CapEx'!E10</f>
        <v/>
      </c>
      <c r="F5" s="72">
        <f>'18 CapEx'!F10</f>
        <v/>
      </c>
      <c r="G5" s="72">
        <f>'18 CapEx'!G10</f>
        <v/>
      </c>
    </row>
    <row r="6">
      <c r="A6" t="inlineStr">
        <is>
          <t>Depreciation Rate</t>
        </is>
      </c>
      <c r="B6" s="80" t="n">
        <v>0.18</v>
      </c>
      <c r="C6" s="80" t="n">
        <v>0.18</v>
      </c>
      <c r="D6" s="80" t="n">
        <v>0.18</v>
      </c>
      <c r="E6" s="80" t="n">
        <v>0.18</v>
      </c>
      <c r="F6" s="80" t="n">
        <v>0.18</v>
      </c>
      <c r="G6" s="80" t="n">
        <v>0.18</v>
      </c>
    </row>
    <row r="7">
      <c r="A7" t="inlineStr">
        <is>
          <t>Depreciation</t>
        </is>
      </c>
      <c r="B7" s="83">
        <f>AVERAGE(B4,B4+B5)*B6</f>
        <v/>
      </c>
      <c r="C7" s="83">
        <f>AVERAGE(C4,C4+C5)*C6</f>
        <v/>
      </c>
      <c r="D7" s="83">
        <f>AVERAGE(D4,D4+D5)*D6</f>
        <v/>
      </c>
      <c r="E7" s="83">
        <f>AVERAGE(E4,E4+E5)*E6</f>
        <v/>
      </c>
      <c r="F7" s="83">
        <f>AVERAGE(F4,F4+F5)*F6</f>
        <v/>
      </c>
      <c r="G7" s="83">
        <f>AVERAGE(G4,G4+G5)*G6</f>
        <v/>
      </c>
    </row>
    <row r="8">
      <c r="A8" s="22" t="inlineStr">
        <is>
          <t>Ending PP&amp;E</t>
        </is>
      </c>
      <c r="B8" s="88">
        <f>B4+B5-B7</f>
        <v/>
      </c>
      <c r="C8" s="88">
        <f>C4+C5-C7</f>
        <v/>
      </c>
      <c r="D8" s="88">
        <f>D4+D5-D7</f>
        <v/>
      </c>
      <c r="E8" s="88">
        <f>E4+E5-E7</f>
        <v/>
      </c>
      <c r="F8" s="88">
        <f>F4+F5-F7</f>
        <v/>
      </c>
      <c r="G8" s="88">
        <f>G4+G5-G7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Net Operating Working Capital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Revenue</t>
        </is>
      </c>
      <c r="B4" s="72">
        <f>'03 Revenue Build'!B11</f>
        <v/>
      </c>
      <c r="C4" s="72">
        <f>'03 Revenue Build'!C11</f>
        <v/>
      </c>
      <c r="D4" s="72">
        <f>'03 Revenue Build'!D11</f>
        <v/>
      </c>
      <c r="E4" s="72">
        <f>'03 Revenue Build'!E11</f>
        <v/>
      </c>
      <c r="F4" s="72">
        <f>'03 Revenue Build'!F11</f>
        <v/>
      </c>
      <c r="G4" s="72">
        <f>'03 Revenue Build'!G11</f>
        <v/>
      </c>
    </row>
    <row r="5">
      <c r="A5" t="inlineStr">
        <is>
          <t>Days Sales Outstanding</t>
        </is>
      </c>
      <c r="B5" s="110" t="n">
        <v>40</v>
      </c>
      <c r="C5" s="110" t="n">
        <v>40</v>
      </c>
      <c r="D5" s="110" t="n">
        <v>40</v>
      </c>
      <c r="E5" s="110" t="n">
        <v>40</v>
      </c>
      <c r="F5" s="110" t="n">
        <v>40</v>
      </c>
      <c r="G5" s="110" t="n">
        <v>40</v>
      </c>
    </row>
    <row r="6">
      <c r="A6" t="inlineStr">
        <is>
          <t>Accounts Receivable</t>
        </is>
      </c>
      <c r="B6" s="83">
        <f>B4/365*B5</f>
        <v/>
      </c>
      <c r="C6" s="83">
        <f>C4/365*C5</f>
        <v/>
      </c>
      <c r="D6" s="83">
        <f>D4/365*D5</f>
        <v/>
      </c>
      <c r="E6" s="83">
        <f>E4/365*E5</f>
        <v/>
      </c>
      <c r="F6" s="83">
        <f>F4/365*F5</f>
        <v/>
      </c>
      <c r="G6" s="83">
        <f>G4/365*G5</f>
        <v/>
      </c>
    </row>
    <row r="7">
      <c r="A7" t="inlineStr">
        <is>
          <t>Inventory Days</t>
        </is>
      </c>
      <c r="B7" s="110" t="n">
        <v>70</v>
      </c>
      <c r="C7" s="110" t="n">
        <v>68</v>
      </c>
      <c r="D7" s="110" t="n">
        <v>66</v>
      </c>
      <c r="E7" s="110" t="n">
        <v>64</v>
      </c>
      <c r="F7" s="110" t="n">
        <v>62</v>
      </c>
      <c r="G7" s="110" t="n">
        <v>60</v>
      </c>
    </row>
    <row r="8">
      <c r="A8" t="inlineStr">
        <is>
          <t>Inventory</t>
        </is>
      </c>
      <c r="B8" s="83">
        <f>'14 COGS'!B18/365*B7</f>
        <v/>
      </c>
      <c r="C8" s="83">
        <f>'14 COGS'!C18/365*C7</f>
        <v/>
      </c>
      <c r="D8" s="83">
        <f>'14 COGS'!D18/365*D7</f>
        <v/>
      </c>
      <c r="E8" s="83">
        <f>'14 COGS'!E18/365*E7</f>
        <v/>
      </c>
      <c r="F8" s="83">
        <f>'14 COGS'!F18/365*F7</f>
        <v/>
      </c>
      <c r="G8" s="83">
        <f>'14 COGS'!G18/365*G7</f>
        <v/>
      </c>
    </row>
    <row r="9">
      <c r="A9" t="inlineStr">
        <is>
          <t>Days Payable Outstanding</t>
        </is>
      </c>
      <c r="B9" s="110" t="n">
        <v>55</v>
      </c>
      <c r="C9" s="110" t="n">
        <v>55</v>
      </c>
      <c r="D9" s="110" t="n">
        <v>55</v>
      </c>
      <c r="E9" s="110" t="n">
        <v>55</v>
      </c>
      <c r="F9" s="110" t="n">
        <v>55</v>
      </c>
      <c r="G9" s="110" t="n">
        <v>55</v>
      </c>
    </row>
    <row r="10">
      <c r="A10" t="inlineStr">
        <is>
          <t>Accounts Payable</t>
        </is>
      </c>
      <c r="B10" s="83">
        <f>'14 COGS'!B18/365*B9</f>
        <v/>
      </c>
      <c r="C10" s="83">
        <f>'14 COGS'!C18/365*C9</f>
        <v/>
      </c>
      <c r="D10" s="83">
        <f>'14 COGS'!D18/365*D9</f>
        <v/>
      </c>
      <c r="E10" s="83">
        <f>'14 COGS'!E18/365*E9</f>
        <v/>
      </c>
      <c r="F10" s="83">
        <f>'14 COGS'!F18/365*F9</f>
        <v/>
      </c>
      <c r="G10" s="83">
        <f>'14 COGS'!G18/365*G9</f>
        <v/>
      </c>
    </row>
    <row r="11">
      <c r="A11" t="inlineStr">
        <is>
          <t>Deferred Revenue % Revenue</t>
        </is>
      </c>
      <c r="B11" s="80" t="n">
        <v>0.25</v>
      </c>
      <c r="C11" s="80" t="n">
        <v>0.24</v>
      </c>
      <c r="D11" s="80" t="n">
        <v>0.23</v>
      </c>
      <c r="E11" s="80" t="n">
        <v>0.22</v>
      </c>
      <c r="F11" s="80" t="n">
        <v>0.21</v>
      </c>
      <c r="G11" s="80" t="n">
        <v>0.2</v>
      </c>
    </row>
    <row r="12">
      <c r="A12" t="inlineStr">
        <is>
          <t>Deferred Revenue</t>
        </is>
      </c>
      <c r="B12" s="83">
        <f>B4*B11</f>
        <v/>
      </c>
      <c r="C12" s="83">
        <f>C4*C11</f>
        <v/>
      </c>
      <c r="D12" s="83">
        <f>D4*D11</f>
        <v/>
      </c>
      <c r="E12" s="83">
        <f>E4*E11</f>
        <v/>
      </c>
      <c r="F12" s="83">
        <f>F4*F11</f>
        <v/>
      </c>
      <c r="G12" s="83">
        <f>G4*G11</f>
        <v/>
      </c>
    </row>
    <row r="13">
      <c r="A13" t="inlineStr">
        <is>
          <t>Net Operating Working Capital</t>
        </is>
      </c>
      <c r="B13" s="83">
        <f>B6+B8-B10-B12</f>
        <v/>
      </c>
      <c r="C13" s="83">
        <f>C6+C8-C10-C12</f>
        <v/>
      </c>
      <c r="D13" s="83">
        <f>D6+D8-D10-D12</f>
        <v/>
      </c>
      <c r="E13" s="83">
        <f>E6+E8-E10-E12</f>
        <v/>
      </c>
      <c r="F13" s="83">
        <f>F6+F8-F10-F12</f>
        <v/>
      </c>
      <c r="G13" s="83">
        <f>G6+G8-G10-G12</f>
        <v/>
      </c>
    </row>
    <row r="14">
      <c r="A14" t="inlineStr">
        <is>
          <t>Change in NOWC</t>
        </is>
      </c>
      <c r="B14" s="96">
        <f>B13-$B$15</f>
        <v/>
      </c>
      <c r="C14" s="83">
        <f>C13-B13</f>
        <v/>
      </c>
      <c r="D14" s="83">
        <f>D13-C13</f>
        <v/>
      </c>
      <c r="E14" s="83">
        <f>E13-D13</f>
        <v/>
      </c>
      <c r="F14" s="83">
        <f>F13-E13</f>
        <v/>
      </c>
      <c r="G14" s="83">
        <f>G13-F13</f>
        <v/>
      </c>
    </row>
    <row r="15">
      <c r="A15" t="inlineStr">
        <is>
          <t>FY2025 NOWC (actual, seed)</t>
        </is>
      </c>
      <c r="B15" s="111" t="n">
        <v>-101.477</v>
      </c>
      <c r="C15" s="73" t="n"/>
      <c r="D15" s="73" t="n"/>
      <c r="E15" s="73" t="n"/>
      <c r="F15" s="73" t="n"/>
      <c r="G15" s="73" t="n"/>
    </row>
  </sheetData>
  <mergeCells count="2">
    <mergeCell ref="B2:H2"/>
    <mergeCell ref="A1:H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Income Statement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Revenue</t>
        </is>
      </c>
      <c r="B4" s="72">
        <f>'03 Revenue Build'!B11</f>
        <v/>
      </c>
      <c r="C4" s="72">
        <f>'03 Revenue Build'!C11</f>
        <v/>
      </c>
      <c r="D4" s="72">
        <f>'03 Revenue Build'!D11</f>
        <v/>
      </c>
      <c r="E4" s="72">
        <f>'03 Revenue Build'!E11</f>
        <v/>
      </c>
      <c r="F4" s="72">
        <f>'03 Revenue Build'!F11</f>
        <v/>
      </c>
      <c r="G4" s="72">
        <f>'03 Revenue Build'!G11</f>
        <v/>
      </c>
    </row>
    <row r="5">
      <c r="A5" t="inlineStr">
        <is>
          <t>COGS</t>
        </is>
      </c>
      <c r="B5" s="87">
        <f>'14 COGS'!B17</f>
        <v/>
      </c>
      <c r="C5" s="87">
        <f>'14 COGS'!C17</f>
        <v/>
      </c>
      <c r="D5" s="87">
        <f>'14 COGS'!D17</f>
        <v/>
      </c>
      <c r="E5" s="87">
        <f>'14 COGS'!E17</f>
        <v/>
      </c>
      <c r="F5" s="87">
        <f>'14 COGS'!F17</f>
        <v/>
      </c>
      <c r="G5" s="87">
        <f>'14 COGS'!G17</f>
        <v/>
      </c>
    </row>
    <row r="6">
      <c r="A6" s="22" t="inlineStr">
        <is>
          <t>Gross Profit</t>
        </is>
      </c>
      <c r="B6" s="88">
        <f>B4-B5</f>
        <v/>
      </c>
      <c r="C6" s="88">
        <f>C4-C5</f>
        <v/>
      </c>
      <c r="D6" s="88">
        <f>D4-D5</f>
        <v/>
      </c>
      <c r="E6" s="88">
        <f>E4-E5</f>
        <v/>
      </c>
      <c r="F6" s="88">
        <f>F4-F5</f>
        <v/>
      </c>
      <c r="G6" s="88">
        <f>G4-G5</f>
        <v/>
      </c>
    </row>
    <row r="7">
      <c r="A7" t="inlineStr">
        <is>
          <t>Gross Margin</t>
        </is>
      </c>
      <c r="B7" s="99">
        <f>IFERROR(B6/B4,0)</f>
        <v/>
      </c>
      <c r="C7" s="99">
        <f>IFERROR(C6/C4,0)</f>
        <v/>
      </c>
      <c r="D7" s="99">
        <f>IFERROR(D6/D4,0)</f>
        <v/>
      </c>
      <c r="E7" s="99">
        <f>IFERROR(E6/E4,0)</f>
        <v/>
      </c>
      <c r="F7" s="99">
        <f>IFERROR(F6/F4,0)</f>
        <v/>
      </c>
      <c r="G7" s="99">
        <f>IFERROR(G6/G4,0)</f>
        <v/>
      </c>
    </row>
    <row r="8">
      <c r="A8" t="inlineStr">
        <is>
          <t>Operating Expenses</t>
        </is>
      </c>
      <c r="B8" s="83">
        <f>'17 OpEx'!B11</f>
        <v/>
      </c>
      <c r="C8" s="83">
        <f>'17 OpEx'!C11</f>
        <v/>
      </c>
      <c r="D8" s="83">
        <f>'17 OpEx'!D11</f>
        <v/>
      </c>
      <c r="E8" s="83">
        <f>'17 OpEx'!E11</f>
        <v/>
      </c>
      <c r="F8" s="83">
        <f>'17 OpEx'!F11</f>
        <v/>
      </c>
      <c r="G8" s="83">
        <f>'17 OpEx'!G11</f>
        <v/>
      </c>
    </row>
    <row r="9">
      <c r="A9" s="22" t="inlineStr">
        <is>
          <t>EBIT</t>
        </is>
      </c>
      <c r="B9" s="88">
        <f>B6-B8</f>
        <v/>
      </c>
      <c r="C9" s="88">
        <f>C6-C8</f>
        <v/>
      </c>
      <c r="D9" s="88">
        <f>D6-D8</f>
        <v/>
      </c>
      <c r="E9" s="88">
        <f>E6-E8</f>
        <v/>
      </c>
      <c r="F9" s="88">
        <f>F6-F8</f>
        <v/>
      </c>
      <c r="G9" s="88">
        <f>G6-G8</f>
        <v/>
      </c>
    </row>
    <row r="10">
      <c r="A10" t="inlineStr">
        <is>
          <t>EBIT Margin</t>
        </is>
      </c>
      <c r="B10" s="99">
        <f>IFERROR(B9/B4,0)</f>
        <v/>
      </c>
      <c r="C10" s="99">
        <f>IFERROR(C9/C4,0)</f>
        <v/>
      </c>
      <c r="D10" s="99">
        <f>IFERROR(D9/D4,0)</f>
        <v/>
      </c>
      <c r="E10" s="99">
        <f>IFERROR(E9/E4,0)</f>
        <v/>
      </c>
      <c r="F10" s="99">
        <f>IFERROR(F9/F4,0)</f>
        <v/>
      </c>
      <c r="G10" s="99">
        <f>IFERROR(G9/G4,0)</f>
        <v/>
      </c>
    </row>
    <row r="11">
      <c r="A11" t="inlineStr">
        <is>
          <t>Taxes</t>
        </is>
      </c>
      <c r="B11" s="83">
        <f>MAX(0,B9*'00 Control'!B6)</f>
        <v/>
      </c>
      <c r="C11" s="83">
        <f>MAX(0,C9*'00 Control'!C6)</f>
        <v/>
      </c>
      <c r="D11" s="83">
        <f>MAX(0,D9*'00 Control'!D6)</f>
        <v/>
      </c>
      <c r="E11" s="83">
        <f>MAX(0,E9*'00 Control'!E6)</f>
        <v/>
      </c>
      <c r="F11" s="83">
        <f>MAX(0,F9*'00 Control'!F6)</f>
        <v/>
      </c>
      <c r="G11" s="83">
        <f>MAX(0,G9*'00 Control'!G6)</f>
        <v/>
      </c>
    </row>
    <row r="12">
      <c r="A12" s="22" t="inlineStr">
        <is>
          <t>NOPAT</t>
        </is>
      </c>
      <c r="B12" s="88">
        <f>B9-B11</f>
        <v/>
      </c>
      <c r="C12" s="88">
        <f>C9-C11</f>
        <v/>
      </c>
      <c r="D12" s="88">
        <f>D9-D11</f>
        <v/>
      </c>
      <c r="E12" s="88">
        <f>E9-E11</f>
        <v/>
      </c>
      <c r="F12" s="88">
        <f>F9-F11</f>
        <v/>
      </c>
      <c r="G12" s="88">
        <f>G9-G11</f>
        <v/>
      </c>
    </row>
    <row r="13">
      <c r="A13" t="inlineStr">
        <is>
          <t>NOPAT Margin</t>
        </is>
      </c>
      <c r="B13" s="99">
        <f>IFERROR(B12/B4,0)</f>
        <v/>
      </c>
      <c r="C13" s="99">
        <f>IFERROR(C12/C4,0)</f>
        <v/>
      </c>
      <c r="D13" s="99">
        <f>IFERROR(D12/D4,0)</f>
        <v/>
      </c>
      <c r="E13" s="99">
        <f>IFERROR(E12/E4,0)</f>
        <v/>
      </c>
      <c r="F13" s="99">
        <f>IFERROR(F12/F4,0)</f>
        <v/>
      </c>
      <c r="G13" s="99">
        <f>IFERROR(G12/G4,0)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Balance Sheet Support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Cash</t>
        </is>
      </c>
      <c r="B4" s="72">
        <f>'00 Control'!B10</f>
        <v/>
      </c>
      <c r="C4" s="72">
        <f>'00 Control'!C10</f>
        <v/>
      </c>
      <c r="D4" s="72">
        <f>'00 Control'!D10</f>
        <v/>
      </c>
      <c r="E4" s="72">
        <f>'00 Control'!E10</f>
        <v/>
      </c>
      <c r="F4" s="72">
        <f>'00 Control'!F10</f>
        <v/>
      </c>
      <c r="G4" s="72">
        <f>'00 Control'!G10</f>
        <v/>
      </c>
    </row>
    <row r="5">
      <c r="A5" t="inlineStr">
        <is>
          <t>Accounts Receivable</t>
        </is>
      </c>
      <c r="B5" s="72">
        <f>'20 Working Capital'!B6</f>
        <v/>
      </c>
      <c r="C5" s="72">
        <f>'20 Working Capital'!C6</f>
        <v/>
      </c>
      <c r="D5" s="72">
        <f>'20 Working Capital'!D6</f>
        <v/>
      </c>
      <c r="E5" s="72">
        <f>'20 Working Capital'!E6</f>
        <v/>
      </c>
      <c r="F5" s="72">
        <f>'20 Working Capital'!F6</f>
        <v/>
      </c>
      <c r="G5" s="72">
        <f>'20 Working Capital'!G6</f>
        <v/>
      </c>
    </row>
    <row r="6">
      <c r="A6" t="inlineStr">
        <is>
          <t>Inventory</t>
        </is>
      </c>
      <c r="B6" s="72">
        <f>'20 Working Capital'!B8</f>
        <v/>
      </c>
      <c r="C6" s="72">
        <f>'20 Working Capital'!C8</f>
        <v/>
      </c>
      <c r="D6" s="72">
        <f>'20 Working Capital'!D8</f>
        <v/>
      </c>
      <c r="E6" s="72">
        <f>'20 Working Capital'!E8</f>
        <v/>
      </c>
      <c r="F6" s="72">
        <f>'20 Working Capital'!F8</f>
        <v/>
      </c>
      <c r="G6" s="72">
        <f>'20 Working Capital'!G8</f>
        <v/>
      </c>
    </row>
    <row r="7">
      <c r="A7" t="inlineStr">
        <is>
          <t>PP&amp;E</t>
        </is>
      </c>
      <c r="B7" s="72">
        <f>'19 Depreciation'!B8</f>
        <v/>
      </c>
      <c r="C7" s="72">
        <f>'19 Depreciation'!C8</f>
        <v/>
      </c>
      <c r="D7" s="72">
        <f>'19 Depreciation'!D8</f>
        <v/>
      </c>
      <c r="E7" s="72">
        <f>'19 Depreciation'!E8</f>
        <v/>
      </c>
      <c r="F7" s="72">
        <f>'19 Depreciation'!F8</f>
        <v/>
      </c>
      <c r="G7" s="72">
        <f>'19 Depreciation'!G8</f>
        <v/>
      </c>
    </row>
    <row r="8">
      <c r="A8" s="22" t="inlineStr">
        <is>
          <t>Total Assets</t>
        </is>
      </c>
      <c r="B8" s="74">
        <f>SUM(B4:B7)</f>
        <v/>
      </c>
      <c r="C8" s="74">
        <f>SUM(C4:C7)</f>
        <v/>
      </c>
      <c r="D8" s="74">
        <f>SUM(D4:D7)</f>
        <v/>
      </c>
      <c r="E8" s="74">
        <f>SUM(E4:E7)</f>
        <v/>
      </c>
      <c r="F8" s="74">
        <f>SUM(F4:F7)</f>
        <v/>
      </c>
      <c r="G8" s="74">
        <f>SUM(G4:G7)</f>
        <v/>
      </c>
    </row>
    <row r="9">
      <c r="A9" t="inlineStr">
        <is>
          <t>Accounts Payable</t>
        </is>
      </c>
      <c r="B9" s="72">
        <f>'20 Working Capital'!B10</f>
        <v/>
      </c>
      <c r="C9" s="72">
        <f>'20 Working Capital'!C10</f>
        <v/>
      </c>
      <c r="D9" s="72">
        <f>'20 Working Capital'!D10</f>
        <v/>
      </c>
      <c r="E9" s="72">
        <f>'20 Working Capital'!E10</f>
        <v/>
      </c>
      <c r="F9" s="72">
        <f>'20 Working Capital'!F10</f>
        <v/>
      </c>
      <c r="G9" s="72">
        <f>'20 Working Capital'!G10</f>
        <v/>
      </c>
    </row>
    <row r="10">
      <c r="A10" t="inlineStr">
        <is>
          <t>Deferred Revenue</t>
        </is>
      </c>
      <c r="B10" s="72">
        <f>'20 Working Capital'!B12</f>
        <v/>
      </c>
      <c r="C10" s="72">
        <f>'20 Working Capital'!C12</f>
        <v/>
      </c>
      <c r="D10" s="72">
        <f>'20 Working Capital'!D12</f>
        <v/>
      </c>
      <c r="E10" s="72">
        <f>'20 Working Capital'!E12</f>
        <v/>
      </c>
      <c r="F10" s="72">
        <f>'20 Working Capital'!F12</f>
        <v/>
      </c>
      <c r="G10" s="72">
        <f>'20 Working Capital'!G12</f>
        <v/>
      </c>
    </row>
    <row r="11">
      <c r="A11" t="inlineStr">
        <is>
          <t>Debt</t>
        </is>
      </c>
      <c r="B11" s="72">
        <f>'00 Control'!B11</f>
        <v/>
      </c>
      <c r="C11" s="72">
        <f>'00 Control'!C11</f>
        <v/>
      </c>
      <c r="D11" s="72">
        <f>'00 Control'!D11</f>
        <v/>
      </c>
      <c r="E11" s="72">
        <f>'00 Control'!E11</f>
        <v/>
      </c>
      <c r="F11" s="72">
        <f>'00 Control'!F11</f>
        <v/>
      </c>
      <c r="G11" s="72">
        <f>'00 Control'!G11</f>
        <v/>
      </c>
    </row>
    <row r="12">
      <c r="A12" s="22" t="inlineStr">
        <is>
          <t>Total Liabilities</t>
        </is>
      </c>
      <c r="B12" s="74">
        <f>SUM(B9:B11)</f>
        <v/>
      </c>
      <c r="C12" s="74">
        <f>SUM(C9:C11)</f>
        <v/>
      </c>
      <c r="D12" s="74">
        <f>SUM(D9:D11)</f>
        <v/>
      </c>
      <c r="E12" s="74">
        <f>SUM(E9:E11)</f>
        <v/>
      </c>
      <c r="F12" s="74">
        <f>SUM(F9:F11)</f>
        <v/>
      </c>
      <c r="G12" s="74">
        <f>SUM(G9:G11)</f>
        <v/>
      </c>
    </row>
    <row r="13">
      <c r="A13" t="inlineStr">
        <is>
          <t>Equity Plug</t>
        </is>
      </c>
      <c r="B13" s="72">
        <f>B8-B12</f>
        <v/>
      </c>
      <c r="C13" s="72">
        <f>C8-C12</f>
        <v/>
      </c>
      <c r="D13" s="72">
        <f>D8-D12</f>
        <v/>
      </c>
      <c r="E13" s="72">
        <f>E8-E12</f>
        <v/>
      </c>
      <c r="F13" s="72">
        <f>F8-F12</f>
        <v/>
      </c>
      <c r="G13" s="72">
        <f>G8-G12</f>
        <v/>
      </c>
    </row>
    <row r="14">
      <c r="A14" s="22" t="inlineStr">
        <is>
          <t>Total Liabilities + Equity</t>
        </is>
      </c>
      <c r="B14" s="74">
        <f>B12+B13</f>
        <v/>
      </c>
      <c r="C14" s="74">
        <f>C12+C13</f>
        <v/>
      </c>
      <c r="D14" s="74">
        <f>D12+D13</f>
        <v/>
      </c>
      <c r="E14" s="74">
        <f>E12+E13</f>
        <v/>
      </c>
      <c r="F14" s="74">
        <f>F12+F13</f>
        <v/>
      </c>
      <c r="G14" s="74">
        <f>G12+G13</f>
        <v/>
      </c>
    </row>
    <row r="15">
      <c r="A15" t="inlineStr">
        <is>
          <t>Balance Check</t>
        </is>
      </c>
      <c r="B15" s="72">
        <f>B8-B14</f>
        <v/>
      </c>
      <c r="C15" s="72">
        <f>C8-C14</f>
        <v/>
      </c>
      <c r="D15" s="72">
        <f>D8-D14</f>
        <v/>
      </c>
      <c r="E15" s="72">
        <f>E8-E14</f>
        <v/>
      </c>
      <c r="F15" s="72">
        <f>F8-F14</f>
        <v/>
      </c>
      <c r="G15" s="72">
        <f>G8-G14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Free Cash Flow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s="22" t="inlineStr">
        <is>
          <t>EBIT</t>
        </is>
      </c>
      <c r="B4" s="74">
        <f>'21 Income Statement'!B9</f>
        <v/>
      </c>
      <c r="C4" s="74">
        <f>'21 Income Statement'!C9</f>
        <v/>
      </c>
      <c r="D4" s="74">
        <f>'21 Income Statement'!D9</f>
        <v/>
      </c>
      <c r="E4" s="74">
        <f>'21 Income Statement'!E9</f>
        <v/>
      </c>
      <c r="F4" s="74">
        <f>'21 Income Statement'!F9</f>
        <v/>
      </c>
      <c r="G4" s="74">
        <f>'21 Income Statement'!G9</f>
        <v/>
      </c>
    </row>
    <row r="5">
      <c r="A5" t="inlineStr">
        <is>
          <t>Tax Rate</t>
        </is>
      </c>
      <c r="B5" s="76">
        <f>'00 Control'!B6</f>
        <v/>
      </c>
      <c r="C5" s="76">
        <f>'00 Control'!C6</f>
        <v/>
      </c>
      <c r="D5" s="76">
        <f>'00 Control'!D6</f>
        <v/>
      </c>
      <c r="E5" s="76">
        <f>'00 Control'!E6</f>
        <v/>
      </c>
      <c r="F5" s="76">
        <f>'00 Control'!F6</f>
        <v/>
      </c>
      <c r="G5" s="76">
        <f>'00 Control'!G6</f>
        <v/>
      </c>
    </row>
    <row r="6">
      <c r="A6" s="22" t="inlineStr">
        <is>
          <t>NOPAT</t>
        </is>
      </c>
      <c r="B6" s="112">
        <f>'21 Income Statement'!B12</f>
        <v/>
      </c>
      <c r="C6" s="112">
        <f>'21 Income Statement'!C12</f>
        <v/>
      </c>
      <c r="D6" s="112">
        <f>'21 Income Statement'!D12</f>
        <v/>
      </c>
      <c r="E6" s="112">
        <f>'21 Income Statement'!E12</f>
        <v/>
      </c>
      <c r="F6" s="112">
        <f>'21 Income Statement'!F12</f>
        <v/>
      </c>
      <c r="G6" s="112">
        <f>'21 Income Statement'!G12</f>
        <v/>
      </c>
    </row>
    <row r="7">
      <c r="A7" t="inlineStr">
        <is>
          <t>Depreciation</t>
        </is>
      </c>
      <c r="B7" s="72">
        <f>'19 Depreciation'!B7</f>
        <v/>
      </c>
      <c r="C7" s="72">
        <f>'19 Depreciation'!C7</f>
        <v/>
      </c>
      <c r="D7" s="72">
        <f>'19 Depreciation'!D7</f>
        <v/>
      </c>
      <c r="E7" s="72">
        <f>'19 Depreciation'!E7</f>
        <v/>
      </c>
      <c r="F7" s="72">
        <f>'19 Depreciation'!F7</f>
        <v/>
      </c>
      <c r="G7" s="72">
        <f>'19 Depreciation'!G7</f>
        <v/>
      </c>
    </row>
    <row r="8">
      <c r="A8" t="inlineStr">
        <is>
          <t>Capital Expenditures</t>
        </is>
      </c>
      <c r="B8" s="72">
        <f>'18 CapEx'!B10</f>
        <v/>
      </c>
      <c r="C8" s="72">
        <f>'18 CapEx'!C10</f>
        <v/>
      </c>
      <c r="D8" s="72">
        <f>'18 CapEx'!D10</f>
        <v/>
      </c>
      <c r="E8" s="72">
        <f>'18 CapEx'!E10</f>
        <v/>
      </c>
      <c r="F8" s="72">
        <f>'18 CapEx'!F10</f>
        <v/>
      </c>
      <c r="G8" s="72">
        <f>'18 CapEx'!G10</f>
        <v/>
      </c>
    </row>
    <row r="9">
      <c r="A9" t="inlineStr">
        <is>
          <t>Change in NOWC</t>
        </is>
      </c>
      <c r="B9" s="72">
        <f>'20 Working Capital'!B14</f>
        <v/>
      </c>
      <c r="C9" s="72">
        <f>'20 Working Capital'!C14</f>
        <v/>
      </c>
      <c r="D9" s="72">
        <f>'20 Working Capital'!D14</f>
        <v/>
      </c>
      <c r="E9" s="72">
        <f>'20 Working Capital'!E14</f>
        <v/>
      </c>
      <c r="F9" s="72">
        <f>'20 Working Capital'!F14</f>
        <v/>
      </c>
      <c r="G9" s="72">
        <f>'20 Working Capital'!G14</f>
        <v/>
      </c>
    </row>
    <row r="10">
      <c r="A10" s="22" t="inlineStr">
        <is>
          <t>Free Cash Flow</t>
        </is>
      </c>
      <c r="B10" s="74">
        <f>B6+B7-B8-B9</f>
        <v/>
      </c>
      <c r="C10" s="74">
        <f>C6+C7-C8-C9</f>
        <v/>
      </c>
      <c r="D10" s="74">
        <f>D6+D7-D8-D9</f>
        <v/>
      </c>
      <c r="E10" s="74">
        <f>E6+E7-E8-E9</f>
        <v/>
      </c>
      <c r="F10" s="74">
        <f>F6+F7-F8-F9</f>
        <v/>
      </c>
      <c r="G10" s="74">
        <f>G6+G7-G8-G9</f>
        <v/>
      </c>
    </row>
    <row r="11">
      <c r="A11" s="22" t="inlineStr">
        <is>
          <t>Cumulative FCF</t>
        </is>
      </c>
      <c r="B11" s="74">
        <f>B10</f>
        <v/>
      </c>
      <c r="C11" s="74">
        <f>B11+C10</f>
        <v/>
      </c>
      <c r="D11" s="74">
        <f>C11+D10</f>
        <v/>
      </c>
      <c r="E11" s="74">
        <f>D11+E10</f>
        <v/>
      </c>
      <c r="F11" s="74">
        <f>E11+F10</f>
        <v/>
      </c>
      <c r="G11" s="74">
        <f>F11+G10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DCF Valuation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$mm except per share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s="22" t="inlineStr">
        <is>
          <t>Free Cash Flow</t>
        </is>
      </c>
      <c r="B4" s="74">
        <f>'23 Cash Flow'!B10</f>
        <v/>
      </c>
      <c r="C4" s="74">
        <f>'23 Cash Flow'!C10</f>
        <v/>
      </c>
      <c r="D4" s="74">
        <f>'23 Cash Flow'!D10</f>
        <v/>
      </c>
      <c r="E4" s="74">
        <f>'23 Cash Flow'!E10</f>
        <v/>
      </c>
      <c r="F4" s="74">
        <f>'23 Cash Flow'!F10</f>
        <v/>
      </c>
      <c r="G4" s="74">
        <f>'23 Cash Flow'!G10</f>
        <v/>
      </c>
    </row>
    <row r="5">
      <c r="A5" t="inlineStr">
        <is>
          <t>Discount Rate</t>
        </is>
      </c>
      <c r="B5" s="76">
        <f>'00 Control'!B7</f>
        <v/>
      </c>
      <c r="C5" s="76">
        <f>'00 Control'!C7</f>
        <v/>
      </c>
      <c r="D5" s="76">
        <f>'00 Control'!D7</f>
        <v/>
      </c>
      <c r="E5" s="76">
        <f>'00 Control'!E7</f>
        <v/>
      </c>
      <c r="F5" s="76">
        <f>'00 Control'!F7</f>
        <v/>
      </c>
      <c r="G5" s="76">
        <f>'00 Control'!G7</f>
        <v/>
      </c>
    </row>
    <row r="6">
      <c r="A6" t="inlineStr">
        <is>
          <t>Discount Period</t>
        </is>
      </c>
      <c r="B6" s="113" t="n">
        <v>1</v>
      </c>
      <c r="C6" s="113" t="n">
        <v>2</v>
      </c>
      <c r="D6" s="113" t="n">
        <v>3</v>
      </c>
      <c r="E6" s="113" t="n">
        <v>4</v>
      </c>
      <c r="F6" s="113" t="n">
        <v>5</v>
      </c>
      <c r="G6" s="113" t="n">
        <v>6</v>
      </c>
    </row>
    <row r="7">
      <c r="A7" t="inlineStr">
        <is>
          <t>Discount Factor</t>
        </is>
      </c>
      <c r="B7" s="114">
        <f>1/(1+B5)^B6</f>
        <v/>
      </c>
      <c r="C7" s="114">
        <f>1/(1+C5)^C6</f>
        <v/>
      </c>
      <c r="D7" s="114">
        <f>1/(1+D5)^D6</f>
        <v/>
      </c>
      <c r="E7" s="114">
        <f>1/(1+E5)^E6</f>
        <v/>
      </c>
      <c r="F7" s="114">
        <f>1/(1+F5)^F6</f>
        <v/>
      </c>
      <c r="G7" s="114">
        <f>1/(1+G5)^G6</f>
        <v/>
      </c>
    </row>
    <row r="8">
      <c r="A8" t="inlineStr">
        <is>
          <t>PV of FCF</t>
        </is>
      </c>
      <c r="B8" s="83">
        <f>B4*B7</f>
        <v/>
      </c>
      <c r="C8" s="83">
        <f>C4*C7</f>
        <v/>
      </c>
      <c r="D8" s="83">
        <f>D4*D7</f>
        <v/>
      </c>
      <c r="E8" s="83">
        <f>E4*E7</f>
        <v/>
      </c>
      <c r="F8" s="83">
        <f>F4*F7</f>
        <v/>
      </c>
      <c r="G8" s="83">
        <f>G4*G7</f>
        <v/>
      </c>
    </row>
    <row r="9">
      <c r="A9" t="inlineStr">
        <is>
          <t>Terminal FCF</t>
        </is>
      </c>
      <c r="B9" s="83" t="str"/>
      <c r="C9" s="83" t="str"/>
      <c r="D9" s="83" t="str"/>
      <c r="E9" s="83" t="str"/>
      <c r="F9" s="83" t="str"/>
      <c r="G9" s="83">
        <f>'23 Cash Flow'!G10</f>
        <v/>
      </c>
    </row>
    <row r="10">
      <c r="A10" t="inlineStr">
        <is>
          <t>Perpetuity Terminal Value</t>
        </is>
      </c>
      <c r="B10" s="83" t="str"/>
      <c r="C10" s="83" t="str"/>
      <c r="D10" s="83" t="str"/>
      <c r="E10" s="83" t="str"/>
      <c r="F10" s="83" t="str"/>
      <c r="G10" s="83">
        <f>IFERROR(G9*(1+'00 Control'!G8)/('00 Control'!G7-'00 Control'!G8),0)</f>
        <v/>
      </c>
    </row>
    <row r="11">
      <c r="A11" t="inlineStr">
        <is>
          <t>Exit Multiple Terminal Value</t>
        </is>
      </c>
      <c r="B11" s="83" t="str"/>
      <c r="C11" s="83" t="str"/>
      <c r="D11" s="83" t="str"/>
      <c r="E11" s="83" t="str"/>
      <c r="F11" s="83" t="str"/>
      <c r="G11" s="83">
        <f>'21 Income Statement'!G9*'00 Control'!G9</f>
        <v/>
      </c>
    </row>
    <row r="12">
      <c r="A12" t="inlineStr">
        <is>
          <t>Selected Terminal Value</t>
        </is>
      </c>
      <c r="B12" s="83" t="str"/>
      <c r="C12" s="83" t="str"/>
      <c r="D12" s="83" t="str"/>
      <c r="E12" s="83" t="str"/>
      <c r="F12" s="83" t="str"/>
      <c r="G12" s="83">
        <f>IF('00 Control'!G13=1,G10,G11)</f>
        <v/>
      </c>
    </row>
    <row r="13">
      <c r="A13" t="inlineStr">
        <is>
          <t>PV of Terminal Value</t>
        </is>
      </c>
      <c r="B13" s="83" t="str"/>
      <c r="C13" s="83" t="str"/>
      <c r="D13" s="83" t="str"/>
      <c r="E13" s="83" t="str"/>
      <c r="F13" s="83" t="str"/>
      <c r="G13" s="83">
        <f>G12*G7</f>
        <v/>
      </c>
    </row>
    <row r="14">
      <c r="A14" s="22" t="inlineStr">
        <is>
          <t>Enterprise Value</t>
        </is>
      </c>
      <c r="B14" s="88" t="str"/>
      <c r="C14" s="88" t="str"/>
      <c r="D14" s="88" t="str"/>
      <c r="E14" s="88" t="str"/>
      <c r="F14" s="88" t="str"/>
      <c r="G14" s="88">
        <f>SUM(B8:G8)+G13</f>
        <v/>
      </c>
    </row>
    <row r="15">
      <c r="A15" t="inlineStr">
        <is>
          <t>Cash</t>
        </is>
      </c>
      <c r="B15" s="83" t="str"/>
      <c r="C15" s="83" t="str"/>
      <c r="D15" s="83" t="str"/>
      <c r="E15" s="83" t="str"/>
      <c r="F15" s="83" t="str"/>
      <c r="G15" s="83">
        <f>'00 Control'!G10</f>
        <v/>
      </c>
    </row>
    <row r="16">
      <c r="A16" t="inlineStr">
        <is>
          <t>Debt</t>
        </is>
      </c>
      <c r="B16" s="83" t="str"/>
      <c r="C16" s="83" t="str"/>
      <c r="D16" s="83" t="str"/>
      <c r="E16" s="83" t="str"/>
      <c r="F16" s="83" t="str"/>
      <c r="G16" s="83">
        <f>'00 Control'!G11</f>
        <v/>
      </c>
    </row>
    <row r="17">
      <c r="A17" s="22" t="inlineStr">
        <is>
          <t>Equity Value</t>
        </is>
      </c>
      <c r="B17" s="88" t="str"/>
      <c r="C17" s="88" t="str"/>
      <c r="D17" s="88" t="str"/>
      <c r="E17" s="88" t="str"/>
      <c r="F17" s="88" t="str"/>
      <c r="G17" s="88">
        <f>G14+G15-G16</f>
        <v/>
      </c>
    </row>
    <row r="18">
      <c r="A18" t="inlineStr">
        <is>
          <t>Diluted Shares</t>
        </is>
      </c>
      <c r="B18" s="85" t="str"/>
      <c r="C18" s="85" t="str"/>
      <c r="D18" s="85" t="str"/>
      <c r="E18" s="85" t="str"/>
      <c r="F18" s="85" t="str"/>
      <c r="G18" s="85">
        <f>'00 Control'!G12</f>
        <v/>
      </c>
    </row>
    <row r="19">
      <c r="A19" s="22" t="inlineStr">
        <is>
          <t>Implied Share Price</t>
        </is>
      </c>
      <c r="B19" s="115" t="str"/>
      <c r="C19" s="115" t="str"/>
      <c r="D19" s="115" t="str"/>
      <c r="E19" s="115" t="str"/>
      <c r="F19" s="115" t="str"/>
      <c r="G19" s="115">
        <f>IFERROR(G17/G18,0)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58" t="inlineStr">
        <is>
          <t>Model Checks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check outputs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t="inlineStr">
        <is>
          <t>Balance Sheet Check</t>
        </is>
      </c>
      <c r="B4" s="83">
        <f>'22 Balance Sheet'!B15</f>
        <v/>
      </c>
      <c r="C4" s="83">
        <f>'22 Balance Sheet'!C15</f>
        <v/>
      </c>
      <c r="D4" s="83">
        <f>'22 Balance Sheet'!D15</f>
        <v/>
      </c>
      <c r="E4" s="83">
        <f>'22 Balance Sheet'!E15</f>
        <v/>
      </c>
      <c r="F4" s="83">
        <f>'22 Balance Sheet'!F15</f>
        <v/>
      </c>
      <c r="G4" s="83">
        <f>'22 Balance Sheet'!G15</f>
        <v/>
      </c>
    </row>
    <row r="5">
      <c r="A5" t="inlineStr">
        <is>
          <t>Revenue Tie Check</t>
        </is>
      </c>
      <c r="B5" s="83">
        <f>'03 Revenue Build'!B11-'21 Income Statement'!B4</f>
        <v/>
      </c>
      <c r="C5" s="83">
        <f>'03 Revenue Build'!C11-'21 Income Statement'!C4</f>
        <v/>
      </c>
      <c r="D5" s="83">
        <f>'03 Revenue Build'!D11-'21 Income Statement'!D4</f>
        <v/>
      </c>
      <c r="E5" s="83">
        <f>'03 Revenue Build'!E11-'21 Income Statement'!E4</f>
        <v/>
      </c>
      <c r="F5" s="83">
        <f>'03 Revenue Build'!F11-'21 Income Statement'!F4</f>
        <v/>
      </c>
      <c r="G5" s="83">
        <f>'03 Revenue Build'!G11-'21 Income Statement'!G4</f>
        <v/>
      </c>
    </row>
    <row r="6">
      <c r="A6" t="inlineStr">
        <is>
          <t>COGS Tie Check</t>
        </is>
      </c>
      <c r="B6" s="96">
        <f>'14 COGS'!B17-'21 Income Statement'!B5</f>
        <v/>
      </c>
      <c r="C6" s="96">
        <f>'14 COGS'!C17-'21 Income Statement'!C5</f>
        <v/>
      </c>
      <c r="D6" s="96">
        <f>'14 COGS'!D17-'21 Income Statement'!D5</f>
        <v/>
      </c>
      <c r="E6" s="96">
        <f>'14 COGS'!E17-'21 Income Statement'!E5</f>
        <v/>
      </c>
      <c r="F6" s="96">
        <f>'14 COGS'!F17-'21 Income Statement'!F5</f>
        <v/>
      </c>
      <c r="G6" s="96">
        <f>'14 COGS'!G17-'21 Income Statement'!G5</f>
        <v/>
      </c>
    </row>
    <row r="7">
      <c r="A7" t="inlineStr">
        <is>
          <t>FCF Tie Check</t>
        </is>
      </c>
      <c r="B7" s="83">
        <f>'23 Cash Flow'!B10-('23 Cash Flow'!B6+'23 Cash Flow'!B7-'23 Cash Flow'!B8-'23 Cash Flow'!B9)</f>
        <v/>
      </c>
      <c r="C7" s="83">
        <f>'23 Cash Flow'!C10-('23 Cash Flow'!C6+'23 Cash Flow'!C7-'23 Cash Flow'!C8-'23 Cash Flow'!C9)</f>
        <v/>
      </c>
      <c r="D7" s="83">
        <f>'23 Cash Flow'!D10-('23 Cash Flow'!D6+'23 Cash Flow'!D7-'23 Cash Flow'!D8-'23 Cash Flow'!D9)</f>
        <v/>
      </c>
      <c r="E7" s="83">
        <f>'23 Cash Flow'!E10-('23 Cash Flow'!E6+'23 Cash Flow'!E7-'23 Cash Flow'!E8-'23 Cash Flow'!E9)</f>
        <v/>
      </c>
      <c r="F7" s="83">
        <f>'23 Cash Flow'!F10-('23 Cash Flow'!F6+'23 Cash Flow'!F7-'23 Cash Flow'!F8-'23 Cash Flow'!F9)</f>
        <v/>
      </c>
      <c r="G7" s="83">
        <f>'23 Cash Flow'!G10-('23 Cash Flow'!G6+'23 Cash Flow'!G7-'23 Cash Flow'!G8-'23 Cash Flow'!G9)</f>
        <v/>
      </c>
    </row>
    <row r="8">
      <c r="A8" t="inlineStr">
        <is>
          <t>Any Check Failed?</t>
        </is>
      </c>
      <c r="B8" s="90">
        <f>IF(OR(ABS(B4)&gt;0.01,ABS(B5)&gt;0.01,ABS(B6)&gt;0.01,ABS(B7)&gt;0.01),"FAIL","OK")</f>
        <v/>
      </c>
      <c r="C8" s="90">
        <f>IF(OR(ABS(C4)&gt;0.01,ABS(C5)&gt;0.01,ABS(C6)&gt;0.01,ABS(C7)&gt;0.01),"FAIL","OK")</f>
        <v/>
      </c>
      <c r="D8" s="90">
        <f>IF(OR(ABS(D4)&gt;0.01,ABS(D5)&gt;0.01,ABS(D6)&gt;0.01,ABS(D7)&gt;0.01),"FAIL","OK")</f>
        <v/>
      </c>
      <c r="E8" s="90">
        <f>IF(OR(ABS(E4)&gt;0.01,ABS(E5)&gt;0.01,ABS(E6)&gt;0.01,ABS(E7)&gt;0.01),"FAIL","OK")</f>
        <v/>
      </c>
      <c r="F8" s="90">
        <f>IF(OR(ABS(F4)&gt;0.01,ABS(F5)&gt;0.01,ABS(F6)&gt;0.01,ABS(F7)&gt;0.01),"FAIL","OK")</f>
        <v/>
      </c>
      <c r="G8" s="90">
        <f>IF(OR(ABS(G4)&gt;0.01,ABS(G5)&gt;0.01,ABS(G6)&gt;0.01,ABS(G7)&gt;0.01),"FAIL","OK")</f>
        <v/>
      </c>
    </row>
  </sheetData>
  <mergeCells count="2">
    <mergeCell ref="B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  <col width="12" customWidth="1" min="4" max="4"/>
    <col width="52" customWidth="1" min="5" max="5"/>
    <col width="13" customWidth="1" min="6" max="6"/>
    <col width="13" customWidth="1" min="7" max="7"/>
  </cols>
  <sheetData>
    <row r="1">
      <c r="A1" s="58" t="inlineStr">
        <is>
          <t>Sources and Input Log</t>
        </is>
      </c>
      <c r="B1" s="59" t="n"/>
      <c r="C1" s="59" t="n"/>
      <c r="D1" s="59" t="n"/>
      <c r="E1" s="59" t="n"/>
      <c r="F1" s="59" t="n"/>
      <c r="G1" s="59" t="n"/>
      <c r="H1" s="59" t="n"/>
    </row>
    <row r="2">
      <c r="A2" s="60" t="inlineStr">
        <is>
          <t>Units</t>
        </is>
      </c>
      <c r="B2" s="61" t="inlineStr">
        <is>
          <t>plain text URLs and notes</t>
        </is>
      </c>
      <c r="C2" s="1" t="n"/>
      <c r="D2" s="1" t="n"/>
      <c r="E2" s="1" t="n"/>
      <c r="F2" s="1" t="n"/>
      <c r="G2" s="1" t="n"/>
      <c r="H2" s="1" t="n"/>
    </row>
    <row r="3">
      <c r="A3" s="62" t="n"/>
      <c r="B3" s="63" t="n">
        <v>2026</v>
      </c>
      <c r="C3" s="63" t="n">
        <v>2027</v>
      </c>
      <c r="D3" s="63" t="n">
        <v>2028</v>
      </c>
      <c r="E3" s="63" t="n">
        <v>2029</v>
      </c>
      <c r="F3" s="63" t="n">
        <v>2030</v>
      </c>
      <c r="G3" s="63" t="n">
        <v>2031</v>
      </c>
    </row>
    <row r="4">
      <c r="A4" s="116" t="inlineStr">
        <is>
          <t>Sheet</t>
        </is>
      </c>
      <c r="B4" s="117" t="inlineStr">
        <is>
          <t>Line Item</t>
        </is>
      </c>
      <c r="C4" s="117" t="inlineStr">
        <is>
          <t>Source URL</t>
        </is>
      </c>
      <c r="D4" s="117" t="inlineStr">
        <is>
          <t>Source Date</t>
        </is>
      </c>
      <c r="E4" s="117" t="inlineStr">
        <is>
          <t>Notes</t>
        </is>
      </c>
      <c r="F4" s="70" t="n"/>
      <c r="G4" s="70" t="n"/>
    </row>
    <row r="5">
      <c r="A5" t="inlineStr">
        <is>
          <t>All</t>
        </is>
      </c>
      <c r="B5" s="70" t="inlineStr">
        <is>
          <t>Historical anchor</t>
        </is>
      </c>
      <c r="C5" s="70" t="inlineStr">
        <is>
          <t>cbrs-financials.xlsx (FY24/FY25, Q1-26)</t>
        </is>
      </c>
      <c r="D5" s="70" t="inlineStr">
        <is>
          <t>2026-06</t>
        </is>
      </c>
      <c r="E5" s="70" t="inlineStr">
        <is>
          <t>FY25 rev $510.0mm; Q1-26 rev $193.4mm validates 2026 base</t>
        </is>
      </c>
      <c r="F5" s="70" t="n"/>
      <c r="G5" s="70" t="n"/>
    </row>
    <row r="6">
      <c r="A6" t="inlineStr">
        <is>
          <t>03 Revenue Build</t>
        </is>
      </c>
      <c r="B6" s="70" t="inlineStr">
        <is>
          <t>Hardware/Cloud split</t>
        </is>
      </c>
      <c r="C6" s="70" t="inlineStr">
        <is>
          <t>cbrs-metrics-annual.xlsx</t>
        </is>
      </c>
      <c r="D6" s="70" t="inlineStr">
        <is>
          <t>2026-06</t>
        </is>
      </c>
      <c r="E6" s="70" t="inlineStr">
        <is>
          <t>FY25 Hardware $358.4mm, Cloud&amp;Svc $151.6mm</t>
        </is>
      </c>
      <c r="F6" s="70" t="n"/>
      <c r="G6" s="70" t="n"/>
    </row>
    <row r="7">
      <c r="A7" t="inlineStr">
        <is>
          <t>05 CS3 Systems</t>
        </is>
      </c>
      <c r="B7" s="70" t="inlineStr">
        <is>
          <t>ASP per CS3 ~$2.6-2.8mm</t>
        </is>
      </c>
      <c r="C7" s="70" t="inlineStr">
        <is>
          <t>Analyst estimate</t>
        </is>
      </c>
      <c r="D7" s="70" t="inlineStr">
        <is>
          <t>2026-06</t>
        </is>
      </c>
      <c r="E7" s="70" t="inlineStr">
        <is>
          <t>Wafer-scale CS-3 price; not disclosed by company</t>
        </is>
      </c>
      <c r="F7" s="70" t="n"/>
      <c r="G7" s="70" t="n"/>
    </row>
    <row r="8">
      <c r="A8" t="inlineStr">
        <is>
          <t>04/07 Cloud</t>
        </is>
      </c>
      <c r="B8" s="70" t="inlineStr">
        <is>
          <t>Installed base seed 285</t>
        </is>
      </c>
      <c r="C8" s="70" t="inlineStr">
        <is>
          <t>Analyst estimate</t>
        </is>
      </c>
      <c r="D8" s="70" t="inlineStr">
        <is>
          <t>2026-06</t>
        </is>
      </c>
      <c r="E8" s="70" t="inlineStr">
        <is>
          <t>Cumulative CS-2/CS-3 fleet shipped thru FY25</t>
        </is>
      </c>
      <c r="F8" s="70" t="n"/>
      <c r="G8" s="70" t="n"/>
    </row>
    <row r="9">
      <c r="A9" t="inlineStr">
        <is>
          <t>06 Clusters</t>
        </is>
      </c>
      <c r="B9" s="70" t="inlineStr">
        <is>
          <t>RPO $25.0bn backlog</t>
        </is>
      </c>
      <c r="C9" s="70" t="inlineStr">
        <is>
          <t>cbrs-metrics-annual (3).xlsx</t>
        </is>
      </c>
      <c r="D9" s="70" t="inlineStr">
        <is>
          <t>2026-06</t>
        </is>
      </c>
      <c r="E9" s="70" t="inlineStr">
        <is>
          <t>Drives unit ramp; Customer A 62%, B 24% concentration</t>
        </is>
      </c>
      <c r="F9" s="70" t="n"/>
      <c r="G9" s="70" t="n"/>
    </row>
    <row r="10">
      <c r="A10" t="inlineStr">
        <is>
          <t>14 COGS</t>
        </is>
      </c>
      <c r="B10" s="70" t="inlineStr">
        <is>
          <t>Hardware GM 42%-&gt;54%</t>
        </is>
      </c>
      <c r="C10" s="70" t="inlineStr">
        <is>
          <t>Analyst est / FY25 42.9% actual</t>
        </is>
      </c>
      <c r="D10" s="70" t="inlineStr">
        <is>
          <t>2026-06</t>
        </is>
      </c>
      <c r="E10" s="70" t="inlineStr">
        <is>
          <t>Yield + scale; cloud GM 30%-&gt;45%</t>
        </is>
      </c>
      <c r="F10" s="70" t="n"/>
      <c r="G10" s="70" t="n"/>
    </row>
    <row r="11">
      <c r="A11" t="inlineStr">
        <is>
          <t>16 R&amp;D</t>
        </is>
      </c>
      <c r="B11" s="70" t="inlineStr">
        <is>
          <t>R&amp;D ramp, falling % rev</t>
        </is>
      </c>
      <c r="C11" s="70" t="inlineStr">
        <is>
          <t>FY25 R&amp;D $243.3mm (48% rev)</t>
        </is>
      </c>
      <c r="D11" s="70" t="inlineStr">
        <is>
          <t>2026-06</t>
        </is>
      </c>
      <c r="E11" s="70" t="inlineStr">
        <is>
          <t>Grows in $ but to ~21% of revenue by 2031</t>
        </is>
      </c>
      <c r="F11" s="70" t="n"/>
      <c r="G11" s="70" t="n"/>
    </row>
    <row r="12">
      <c r="A12" t="inlineStr">
        <is>
          <t>15 OpEx</t>
        </is>
      </c>
      <c r="B12" s="70" t="inlineStr">
        <is>
          <t>SBC % revenue 9%-&gt;5.5%</t>
        </is>
      </c>
      <c r="C12" s="70" t="inlineStr">
        <is>
          <t>FY25 SBC $49.8mm</t>
        </is>
      </c>
      <c r="D12" s="70" t="inlineStr">
        <is>
          <t>2026-06</t>
        </is>
      </c>
      <c r="E12" s="70" t="inlineStr">
        <is>
          <t>Declines with scale</t>
        </is>
      </c>
      <c r="F12" s="70" t="n"/>
      <c r="G12" s="70" t="n"/>
    </row>
    <row r="13">
      <c r="A13" t="inlineStr">
        <is>
          <t>18 CapEx</t>
        </is>
      </c>
      <c r="B13" s="70" t="inlineStr">
        <is>
          <t>Cloud capex heavy early</t>
        </is>
      </c>
      <c r="C13" s="70" t="inlineStr">
        <is>
          <t>FY25 capex $382.7mm (75% rev)</t>
        </is>
      </c>
      <c r="D13" s="70" t="inlineStr">
        <is>
          <t>2026-06</t>
        </is>
      </c>
      <c r="E13" s="70" t="inlineStr">
        <is>
          <t>Cloud datacenter buildout; tapers to ~19% rev</t>
        </is>
      </c>
      <c r="F13" s="70" t="n"/>
      <c r="G13" s="70" t="n"/>
    </row>
    <row r="14">
      <c r="A14" t="inlineStr">
        <is>
          <t>20 WC</t>
        </is>
      </c>
      <c r="B14" s="70" t="inlineStr">
        <is>
          <t>DSO40/Inv~65/DPO55/Def25%</t>
        </is>
      </c>
      <c r="C14" s="70" t="inlineStr">
        <is>
          <t>FY25 actuals</t>
        </is>
      </c>
      <c r="D14" s="70" t="inlineStr">
        <is>
          <t>2026-06</t>
        </is>
      </c>
      <c r="E14" s="70" t="inlineStr">
        <is>
          <t>FY25 NOWC -$101.5mm seeded for 2026 change</t>
        </is>
      </c>
      <c r="F14" s="70" t="n"/>
      <c r="G14" s="70" t="n"/>
    </row>
    <row r="15">
      <c r="A15" t="inlineStr">
        <is>
          <t>00 Control</t>
        </is>
      </c>
      <c r="B15" s="70" t="inlineStr">
        <is>
          <t>Cash $1,336.9 Debt $261.8</t>
        </is>
      </c>
      <c r="C15" s="70" t="inlineStr">
        <is>
          <t>FY25 balance sheet</t>
        </is>
      </c>
      <c r="D15" s="70" t="inlineStr">
        <is>
          <t>2026-06</t>
        </is>
      </c>
      <c r="E15" s="70" t="inlineStr">
        <is>
          <t>Net cash bridge for DCF; 190mm diluted shares</t>
        </is>
      </c>
      <c r="F15" s="70" t="n"/>
      <c r="G15" s="70" t="n"/>
    </row>
    <row r="16">
      <c r="A16" t="inlineStr">
        <is>
          <t>24 DCF</t>
        </is>
      </c>
      <c r="B16" s="70" t="inlineStr">
        <is>
          <t>12% disc, 20x exit EBIT</t>
        </is>
      </c>
      <c r="C16" s="70" t="inlineStr">
        <is>
          <t>Assumption</t>
        </is>
      </c>
      <c r="D16" s="70" t="inlineStr">
        <is>
          <t>2026-06</t>
        </is>
      </c>
      <c r="E16" s="70" t="inlineStr">
        <is>
          <t>Exit-multiple TV (growth co, pre-FCF); perpetuity toggle avail</t>
        </is>
      </c>
      <c r="F16" s="70" t="n"/>
      <c r="G16" s="70" t="n"/>
    </row>
    <row r="17">
      <c r="B17" s="70" t="str"/>
      <c r="C17" s="70" t="str"/>
      <c r="D17" s="70" t="str"/>
      <c r="E17" s="70" t="str"/>
      <c r="F17" s="70" t="n"/>
      <c r="G17" s="70" t="n"/>
    </row>
    <row r="18">
      <c r="B18" s="70" t="str"/>
      <c r="C18" s="70" t="str"/>
      <c r="D18" s="70" t="str"/>
      <c r="E18" s="70" t="str"/>
      <c r="F18" s="70" t="n"/>
      <c r="G18" s="70" t="n"/>
    </row>
    <row r="19">
      <c r="B19" s="70" t="str"/>
      <c r="C19" s="70" t="str"/>
      <c r="D19" s="70" t="str"/>
      <c r="E19" s="70" t="str"/>
      <c r="F19" s="70" t="n"/>
      <c r="G19" s="70" t="n"/>
    </row>
    <row r="20">
      <c r="B20" s="70" t="str"/>
      <c r="C20" s="70" t="str"/>
      <c r="D20" s="70" t="str"/>
      <c r="E20" s="70" t="str"/>
      <c r="F20" s="70" t="n"/>
      <c r="G20" s="70" t="n"/>
    </row>
    <row r="21">
      <c r="B21" s="70" t="str"/>
      <c r="C21" s="70" t="str"/>
      <c r="D21" s="70" t="str"/>
      <c r="E21" s="70" t="str"/>
      <c r="F21" s="70" t="n"/>
      <c r="G21" s="70" t="n"/>
    </row>
    <row r="22">
      <c r="B22" s="70" t="str"/>
      <c r="C22" s="70" t="str"/>
      <c r="D22" s="70" t="str"/>
      <c r="E22" s="70" t="str"/>
      <c r="F22" s="70" t="n"/>
      <c r="G22" s="70" t="n"/>
    </row>
    <row r="23">
      <c r="B23" s="70" t="str"/>
      <c r="C23" s="70" t="str"/>
      <c r="D23" s="70" t="str"/>
      <c r="E23" s="70" t="str"/>
      <c r="F23" s="70" t="n"/>
      <c r="G23" s="70" t="n"/>
    </row>
    <row r="24">
      <c r="B24" s="70" t="str"/>
      <c r="C24" s="70" t="str"/>
      <c r="D24" s="70" t="str"/>
      <c r="E24" s="70" t="str"/>
      <c r="F24" s="70" t="n"/>
      <c r="G24" s="70" t="n"/>
    </row>
    <row r="25">
      <c r="B25" s="70" t="str"/>
      <c r="C25" s="70" t="str"/>
      <c r="D25" s="70" t="str"/>
      <c r="E25" s="70" t="str"/>
      <c r="F25" s="70" t="n"/>
      <c r="G25" s="70" t="n"/>
    </row>
    <row r="26">
      <c r="B26" s="70" t="str"/>
      <c r="C26" s="70" t="str"/>
      <c r="D26" s="70" t="str"/>
      <c r="E26" s="70" t="str"/>
      <c r="F26" s="70" t="n"/>
      <c r="G26" s="70" t="n"/>
    </row>
    <row r="27">
      <c r="B27" s="70" t="str"/>
      <c r="C27" s="70" t="str"/>
      <c r="D27" s="70" t="str"/>
      <c r="E27" s="70" t="str"/>
      <c r="F27" s="70" t="n"/>
      <c r="G27" s="70" t="n"/>
    </row>
    <row r="28">
      <c r="B28" s="70" t="str"/>
      <c r="C28" s="70" t="str"/>
      <c r="D28" s="70" t="str"/>
      <c r="E28" s="70" t="str"/>
      <c r="F28" s="70" t="n"/>
      <c r="G28" s="70" t="n"/>
    </row>
    <row r="29">
      <c r="B29" s="70" t="str"/>
      <c r="C29" s="70" t="str"/>
      <c r="D29" s="70" t="str"/>
      <c r="E29" s="70" t="str"/>
      <c r="F29" s="70" t="n"/>
      <c r="G29" s="70" t="n"/>
    </row>
    <row r="30">
      <c r="B30" s="70" t="str"/>
      <c r="C30" s="70" t="str"/>
      <c r="D30" s="70" t="str"/>
      <c r="E30" s="70" t="str"/>
      <c r="F30" s="70" t="n"/>
      <c r="G30" s="70" t="n"/>
    </row>
    <row r="31">
      <c r="B31" s="70" t="str"/>
      <c r="C31" s="70" t="str"/>
      <c r="D31" s="70" t="str"/>
      <c r="E31" s="70" t="str"/>
      <c r="F31" s="70" t="n"/>
      <c r="G31" s="70" t="n"/>
    </row>
    <row r="32">
      <c r="B32" s="70" t="str"/>
      <c r="C32" s="70" t="str"/>
      <c r="D32" s="70" t="str"/>
      <c r="E32" s="70" t="str"/>
      <c r="F32" s="70" t="n"/>
      <c r="G32" s="70" t="n"/>
    </row>
    <row r="33">
      <c r="B33" s="70" t="str"/>
      <c r="C33" s="70" t="str"/>
      <c r="D33" s="70" t="str"/>
      <c r="E33" s="70" t="str"/>
      <c r="F33" s="70" t="n"/>
      <c r="G33" s="70" t="n"/>
    </row>
    <row r="34">
      <c r="B34" s="70" t="str"/>
      <c r="C34" s="70" t="str"/>
      <c r="D34" s="70" t="str"/>
      <c r="E34" s="70" t="str"/>
      <c r="F34" s="70" t="n"/>
      <c r="G34" s="70" t="n"/>
    </row>
    <row r="35">
      <c r="B35" s="70" t="str"/>
      <c r="C35" s="70" t="str"/>
      <c r="D35" s="70" t="str"/>
      <c r="E35" s="70" t="str"/>
      <c r="F35" s="70" t="n"/>
      <c r="G35" s="70" t="n"/>
    </row>
    <row r="36">
      <c r="B36" s="70" t="str"/>
      <c r="C36" s="70" t="str"/>
      <c r="D36" s="70" t="str"/>
      <c r="E36" s="70" t="str"/>
      <c r="F36" s="70" t="n"/>
      <c r="G36" s="70" t="n"/>
    </row>
    <row r="37">
      <c r="B37" s="70" t="str"/>
      <c r="C37" s="70" t="str"/>
      <c r="D37" s="70" t="str"/>
      <c r="E37" s="70" t="str"/>
      <c r="F37" s="70" t="n"/>
      <c r="G37" s="70" t="n"/>
    </row>
    <row r="38">
      <c r="B38" s="70" t="str"/>
      <c r="C38" s="70" t="str"/>
      <c r="D38" s="70" t="str"/>
      <c r="E38" s="70" t="str"/>
      <c r="F38" s="70" t="n"/>
      <c r="G38" s="70" t="n"/>
    </row>
    <row r="39">
      <c r="B39" s="70" t="str"/>
      <c r="C39" s="70" t="str"/>
      <c r="D39" s="70" t="str"/>
      <c r="E39" s="70" t="str"/>
      <c r="F39" s="70" t="n"/>
      <c r="G39" s="70" t="n"/>
    </row>
    <row r="40">
      <c r="B40" s="70" t="str"/>
      <c r="C40" s="70" t="str"/>
      <c r="D40" s="70" t="str"/>
      <c r="E40" s="70" t="str"/>
      <c r="F40" s="70" t="n"/>
      <c r="G40" s="70" t="n"/>
    </row>
    <row r="41">
      <c r="B41" s="70" t="str"/>
      <c r="C41" s="70" t="str"/>
      <c r="D41" s="70" t="str"/>
      <c r="E41" s="70" t="str"/>
      <c r="F41" s="70" t="n"/>
      <c r="G41" s="70" t="n"/>
    </row>
    <row r="42">
      <c r="B42" s="70" t="str"/>
      <c r="C42" s="70" t="str"/>
      <c r="D42" s="70" t="str"/>
      <c r="E42" s="70" t="str"/>
      <c r="F42" s="70" t="n"/>
      <c r="G42" s="70" t="n"/>
    </row>
    <row r="43">
      <c r="B43" s="70" t="str"/>
      <c r="C43" s="70" t="str"/>
      <c r="D43" s="70" t="str"/>
      <c r="E43" s="70" t="str"/>
      <c r="F43" s="70" t="n"/>
      <c r="G43" s="70" t="n"/>
    </row>
    <row r="44">
      <c r="B44" s="70" t="str"/>
      <c r="C44" s="70" t="str"/>
      <c r="D44" s="70" t="str"/>
      <c r="E44" s="70" t="str"/>
      <c r="F44" s="70" t="n"/>
      <c r="G44" s="70" t="n"/>
    </row>
    <row r="45">
      <c r="B45" s="70" t="str"/>
      <c r="C45" s="70" t="str"/>
      <c r="D45" s="70" t="str"/>
      <c r="E45" s="70" t="str"/>
      <c r="F45" s="70" t="n"/>
      <c r="G45" s="70" t="n"/>
    </row>
    <row r="46">
      <c r="B46" s="70" t="str"/>
      <c r="C46" s="70" t="str"/>
      <c r="D46" s="70" t="str"/>
      <c r="E46" s="70" t="str"/>
      <c r="F46" s="70" t="n"/>
      <c r="G46" s="70" t="n"/>
    </row>
    <row r="47">
      <c r="B47" s="70" t="str"/>
      <c r="C47" s="70" t="str"/>
      <c r="D47" s="70" t="str"/>
      <c r="E47" s="70" t="str"/>
      <c r="F47" s="70" t="n"/>
      <c r="G47" s="70" t="n"/>
    </row>
    <row r="48">
      <c r="B48" s="70" t="str"/>
      <c r="C48" s="70" t="str"/>
      <c r="D48" s="70" t="str"/>
      <c r="E48" s="70" t="str"/>
      <c r="F48" s="70" t="n"/>
      <c r="G48" s="70" t="n"/>
    </row>
    <row r="49">
      <c r="B49" s="70" t="str"/>
      <c r="C49" s="70" t="str"/>
      <c r="D49" s="70" t="str"/>
      <c r="E49" s="70" t="str"/>
      <c r="F49" s="70" t="n"/>
      <c r="G49" s="70" t="n"/>
    </row>
    <row r="50">
      <c r="B50" s="70" t="str"/>
      <c r="C50" s="70" t="str"/>
      <c r="D50" s="70" t="str"/>
      <c r="E50" s="70" t="str"/>
      <c r="F50" s="70" t="n"/>
      <c r="G50" s="70" t="n"/>
    </row>
    <row r="51">
      <c r="B51" s="70" t="str"/>
      <c r="C51" s="70" t="str"/>
      <c r="D51" s="70" t="str"/>
      <c r="E51" s="70" t="str"/>
      <c r="F51" s="70" t="n"/>
      <c r="G51" s="70" t="n"/>
    </row>
    <row r="52">
      <c r="B52" s="70" t="str"/>
      <c r="C52" s="70" t="str"/>
      <c r="D52" s="70" t="str"/>
      <c r="E52" s="70" t="str"/>
      <c r="F52" s="70" t="n"/>
      <c r="G52" s="70" t="n"/>
    </row>
    <row r="53">
      <c r="B53" s="70" t="str"/>
      <c r="C53" s="70" t="str"/>
      <c r="D53" s="70" t="str"/>
      <c r="E53" s="70" t="str"/>
      <c r="F53" s="70" t="n"/>
      <c r="G53" s="70" t="n"/>
    </row>
    <row r="54">
      <c r="B54" s="70" t="str"/>
      <c r="C54" s="70" t="str"/>
      <c r="D54" s="70" t="str"/>
      <c r="E54" s="70" t="str"/>
      <c r="F54" s="70" t="n"/>
      <c r="G54" s="70" t="n"/>
    </row>
    <row r="55">
      <c r="B55" s="70" t="str"/>
      <c r="C55" s="70" t="str"/>
      <c r="D55" s="70" t="str"/>
      <c r="E55" s="70" t="str"/>
      <c r="F55" s="70" t="n"/>
      <c r="G55" s="70" t="n"/>
    </row>
    <row r="56">
      <c r="B56" s="70" t="str"/>
      <c r="C56" s="70" t="str"/>
      <c r="D56" s="70" t="str"/>
      <c r="E56" s="70" t="str"/>
      <c r="F56" s="70" t="n"/>
      <c r="G56" s="70" t="n"/>
    </row>
    <row r="57">
      <c r="B57" s="70" t="str"/>
      <c r="C57" s="70" t="str"/>
      <c r="D57" s="70" t="str"/>
      <c r="E57" s="70" t="str"/>
      <c r="F57" s="70" t="n"/>
      <c r="G57" s="70" t="n"/>
    </row>
    <row r="58">
      <c r="B58" s="70" t="str"/>
      <c r="C58" s="70" t="str"/>
      <c r="D58" s="70" t="str"/>
      <c r="E58" s="70" t="str"/>
      <c r="F58" s="70" t="n"/>
      <c r="G58" s="70" t="n"/>
    </row>
    <row r="59">
      <c r="B59" s="70" t="str"/>
      <c r="C59" s="70" t="str"/>
      <c r="D59" s="70" t="str"/>
      <c r="E59" s="70" t="str"/>
      <c r="F59" s="70" t="n"/>
      <c r="G59" s="70" t="n"/>
    </row>
    <row r="60">
      <c r="B60" s="70" t="str"/>
      <c r="C60" s="70" t="str"/>
      <c r="D60" s="70" t="str"/>
      <c r="E60" s="70" t="str"/>
      <c r="F60" s="70" t="n"/>
      <c r="G60" s="70" t="n"/>
    </row>
  </sheetData>
  <mergeCells count="2">
    <mergeCell ref="B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2026-06-25T13:17:57Z</dcterms:created>
  <dcterms:modified xmlns:dcterms="http://purl.org/dc/terms/" xmlns:xsi="http://www.w3.org/2001/XMLSchema-instance" xsi:type="dcterms:W3CDTF">2026-06-25T13:17:57Z</dcterms:modified>
</cp:coreProperties>
</file>